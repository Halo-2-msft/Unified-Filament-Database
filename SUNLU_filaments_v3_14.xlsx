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6296EB05-54C7-4115-92B2-48DE62FD3A0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<sst xmlns="http://schemas.openxmlformats.org/spreadsheetml/2006/main" count="4122" uniqueCount="659">
  <si>
    <t>📦  SUNLU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</si>
  <si>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</si>
  <si>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</si>
  <si>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</si>
  <si>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</si>
  <si>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</si>
  <si>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</si>
  <si>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</si>
  <si>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</si>
  <si>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</si>
  <si>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</si>
  <si>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</si>
  <si>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</si>
  <si>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</si>
  <si>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</si>
  <si>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</si>
  <si>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</si>
  <si>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</si>
  <si>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</si>
  <si>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</si>
  <si>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</si>
  <si>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</si>
  <si>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</si>
  <si>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</si>
  <si>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</si>
  <si>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ABS (Easy)</t>
  </si>
  <si>
    <t>ABS-FR</t>
  </si>
  <si>
    <t>ABS-GF</t>
  </si>
  <si>
    <t>ASA</t>
  </si>
  <si>
    <t>PA</t>
  </si>
  <si>
    <t>PA-CF</t>
  </si>
  <si>
    <t>PA-GF</t>
  </si>
  <si>
    <t>PC</t>
  </si>
  <si>
    <t>PC-ABS</t>
  </si>
  <si>
    <t>PEEK</t>
  </si>
  <si>
    <t>PETG</t>
  </si>
  <si>
    <t>PETG (High Speed)</t>
  </si>
  <si>
    <t>PETG Glow</t>
  </si>
  <si>
    <t>PETG Rainbow</t>
  </si>
  <si>
    <t>PETG-CF</t>
  </si>
  <si>
    <t>PLA</t>
  </si>
  <si>
    <t>PLA &amp; Silk Rainbow</t>
  </si>
  <si>
    <t>PLA (Anti-string)</t>
  </si>
  <si>
    <t>PLA (High Speed)</t>
  </si>
  <si>
    <t>PLA Galaxy</t>
  </si>
  <si>
    <t>PLA Glow</t>
  </si>
  <si>
    <t>PLA Marble</t>
  </si>
  <si>
    <t>PLA Marble (High Speed)</t>
  </si>
  <si>
    <t>PLA Matte</t>
  </si>
  <si>
    <t>PLA Matte (High Speed)</t>
  </si>
  <si>
    <t>PLA Meta</t>
  </si>
  <si>
    <t>PLA Twinkling</t>
  </si>
  <si>
    <t>PLA Wood</t>
  </si>
  <si>
    <t>PLA+</t>
  </si>
  <si>
    <t>PLA+ (High Speed)</t>
  </si>
  <si>
    <t>PLA+ 2.0</t>
  </si>
  <si>
    <t>PLA+ 2.0 (High Speed)</t>
  </si>
  <si>
    <t>PLA-CF</t>
  </si>
  <si>
    <t>PP</t>
  </si>
  <si>
    <t>PVB</t>
  </si>
  <si>
    <t>Silk Multi-Color</t>
  </si>
  <si>
    <t>Silk PLA</t>
  </si>
  <si>
    <t>TPU</t>
  </si>
  <si>
    <t>TPU Silk</t>
  </si>
  <si>
    <t>SUNLU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</si>
  <si>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</si>
  <si>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</si>
  <si>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</si>
  <si>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</si>
  <si>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</si>
  <si>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</si>
  <si>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</si>
  <si>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</si>
  <si>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</si>
  <si>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</si>
  <si>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</si>
  <si>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</si>
  <si>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</si>
  <si>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</si>
  <si>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</si>
  <si>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</si>
  <si>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</si>
  <si>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</si>
  <si>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</si>
  <si>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SL-ABS-01</t>
  </si>
  <si>
    <t>SUNLU ABS</t>
  </si>
  <si>
    <t>Black</t>
  </si>
  <si>
    <t>#000000</t>
  </si>
  <si>
    <t>1.75mm</t>
  </si>
  <si>
    <t>±0.03mm</t>
  </si>
  <si>
    <t>Plastic</t>
  </si>
  <si>
    <t>No</t>
  </si>
  <si>
    <t>250–280°C</t>
  </si>
  <si>
    <t>80–100°C</t>
  </si>
  <si>
    <t>50°C / 8h</t>
  </si>
  <si>
    <t>✓</t>
  </si>
  <si>
    <t>A</t>
  </si>
  <si>
    <t>Manufacturer TDS-confirmed (store.sunlu.com, full spec table + hex table)</t>
  </si>
  <si>
    <t>Deep-dive pass 2026-07-18 | Hex: manufacturer-confirmed</t>
  </si>
  <si>
    <t>SL-ABS-05</t>
  </si>
  <si>
    <t>Blue(Klein Blue)</t>
  </si>
  <si>
    <t>#1729AB</t>
  </si>
  <si>
    <t>SL-ABS-03</t>
  </si>
  <si>
    <t>Grey</t>
  </si>
  <si>
    <t>#75787B</t>
  </si>
  <si>
    <t>SL-ABS-04</t>
  </si>
  <si>
    <t>Red</t>
  </si>
  <si>
    <t>#BC2726</t>
  </si>
  <si>
    <t>SL-ABS-02</t>
  </si>
  <si>
    <t>White</t>
  </si>
  <si>
    <t>#FFFFFF</t>
  </si>
  <si>
    <t>SL-EABS-01</t>
  </si>
  <si>
    <t>SUNLU Easy ABS</t>
  </si>
  <si>
    <t>230–260°C</t>
  </si>
  <si>
    <t>C</t>
  </si>
  <si>
    <t>Line exists (low-warp ABS variant, confirmed via eBay listing showing 0.9KG and 1KG Black/White SKUs); full color list not verified this pass</t>
  </si>
  <si>
    <t>PLACEHOLDER — line confirmed to exist (store.sunlu.com) but full color list not verified this pass | Hex: manufacturer-confirmed</t>
  </si>
  <si>
    <t>SL-EABS-02</t>
  </si>
  <si>
    <t>Color confirmed (eBay listing); temps not independently TDS-confirmed</t>
  </si>
  <si>
    <t>SL-ABSFR-01</t>
  </si>
  <si>
    <t>SUNLU ABS Flame-Retardant</t>
  </si>
  <si>
    <t>±0.05mm</t>
  </si>
  <si>
    <t>240–270°C</t>
  </si>
  <si>
    <t>90–110°C</t>
  </si>
  <si>
    <t>70°C / 8h</t>
  </si>
  <si>
    <t>Color confirmed (eBay official listing, "FR-ABS Black")</t>
  </si>
  <si>
    <t>Deep-dive pass 2026-07-18; NEW LINE — engineering filaments ship in very limited colors by design | Hex: manufacturer-confirmed</t>
  </si>
  <si>
    <t>SL-ABSGF-01</t>
  </si>
  <si>
    <t>SUNLU ABS Glass Fiber</t>
  </si>
  <si>
    <t>Color NOT independently confirmed this pass — assumed Black based on standard engineering-filament pattern (single color only)</t>
  </si>
  <si>
    <t>PLACEHOLDER — needs follow-up verification | Hex: manufacturer-confirmed</t>
  </si>
  <si>
    <t>SL-ASA-01</t>
  </si>
  <si>
    <t>SUNLU ASA</t>
  </si>
  <si>
    <t>±0.02mm</t>
  </si>
  <si>
    <t>90–120°C</t>
  </si>
  <si>
    <t>Manufacturer-confirmed color list (Amazon official listing) and temp range (store.sunlu.com product page)</t>
  </si>
  <si>
    <t>Deep-dive pass 2026-07-18; NEW LINE — not previously in catalog | Hex: manufacturer-confirmed</t>
  </si>
  <si>
    <t>SL-ASA-04</t>
  </si>
  <si>
    <t>SL-ASA-05</t>
  </si>
  <si>
    <t>Green</t>
  </si>
  <si>
    <t>#1DAA27</t>
  </si>
  <si>
    <t>SL-ASA-03</t>
  </si>
  <si>
    <t>SL-ASA-02</t>
  </si>
  <si>
    <t>Natural</t>
  </si>
  <si>
    <t>#999999</t>
  </si>
  <si>
    <t>Deep-dive pass 2026-07-18; NEW LINE — not previously in catalog | Hex: approximate</t>
  </si>
  <si>
    <t>SL-ASA-08</t>
  </si>
  <si>
    <t>Purple(Lavender Purple)</t>
  </si>
  <si>
    <t>#685BC7</t>
  </si>
  <si>
    <t>SL-ASA-06</t>
  </si>
  <si>
    <t>SL-ASA-07</t>
  </si>
  <si>
    <t>Sunny Orange</t>
  </si>
  <si>
    <t>#ED7334</t>
  </si>
  <si>
    <t>SL-EPA-01</t>
  </si>
  <si>
    <t>SUNLU Easy PA</t>
  </si>
  <si>
    <t>70–90°C</t>
  </si>
  <si>
    <t>80°C / 12h</t>
  </si>
  <si>
    <t>Color list confirmed (eBay official SUNLU listing); temps from SUNLU 3D Filament Guide blog, not a dedicated TDS</t>
  </si>
  <si>
    <t>SL-EPA-02</t>
  </si>
  <si>
    <t>Deep-dive pass 2026-07-18; NEW LINE — engineering filaments ship in very limited colors by design | Hex: approximate</t>
  </si>
  <si>
    <t>SL-PA6CF-01</t>
  </si>
  <si>
    <t>SUNLU PA6-CF</t>
  </si>
  <si>
    <t>260–280°C</t>
  </si>
  <si>
    <t>80°C / 24h</t>
  </si>
  <si>
    <t>B</t>
  </si>
  <si>
    <t>Color confirmed (3DJake official listing); heat resistance up to 209°C per 3DJake; drying per 3DJake (80°C/24h or 110°C/4h)</t>
  </si>
  <si>
    <t>SL-PA12CF-01</t>
  </si>
  <si>
    <t>SUNLU PA12-CF</t>
  </si>
  <si>
    <t>Color confirmed (eBay/product page); heat resistant to 175±3°C per store.sunlu.com product page</t>
  </si>
  <si>
    <t>SL-PA6GF-01</t>
  </si>
  <si>
    <t>SUNLU PA6-GF</t>
  </si>
  <si>
    <t>Color confirmed (eBay official listing)</t>
  </si>
  <si>
    <t>SL-PA6GF-02</t>
  </si>
  <si>
    <t>SL-PC-01</t>
  </si>
  <si>
    <t>SUNLU PC</t>
  </si>
  <si>
    <t>Natural/White</t>
  </si>
  <si>
    <t>100–120°C</t>
  </si>
  <si>
    <t>80°C / 8h</t>
  </si>
  <si>
    <t>Color confirmed (eBay + 3dsunlu.com listings — sold as White/Natural only)</t>
  </si>
  <si>
    <t>SL-PCABS-01</t>
  </si>
  <si>
    <t>SUNLU PC-ABS</t>
  </si>
  <si>
    <t>250–270°C</t>
  </si>
  <si>
    <t>SL-PCABS-02</t>
  </si>
  <si>
    <t>SL-PEEK-01</t>
  </si>
  <si>
    <t>SUNLU PEEK</t>
  </si>
  <si>
    <t>370–420°C</t>
  </si>
  <si>
    <t>120–160°C</t>
  </si>
  <si>
    <t>150°C / 8h</t>
  </si>
  <si>
    <t>Color not explicitly itemized in any listing found — PEEK is conventionally sold undyed/natural tan; temps are generic PEEK-class estimates, NOT SUNLU-specific TDS values — flagged as low confidence</t>
  </si>
  <si>
    <t>PLACEHOLDER — needs follow-up TDS lookup | Hex: approximate</t>
  </si>
  <si>
    <t>SL-PETG-18</t>
  </si>
  <si>
    <t>SUNLU PETG</t>
  </si>
  <si>
    <t>Beige(Skin)</t>
  </si>
  <si>
    <t>#F0E0D6</t>
  </si>
  <si>
    <t>240–260°C</t>
  </si>
  <si>
    <t>60–70°C</t>
  </si>
  <si>
    <t>50°C / 6h</t>
  </si>
  <si>
    <t>Deep-dive pass 2026-07-18; 3 additional colors (Coffee, Transparent, Olive Green) listed but marked unavailable on-site — excluded | Hex: manufacturer-confirmed</t>
  </si>
  <si>
    <t>SL-PETG-02</t>
  </si>
  <si>
    <t>SL-PETG-05</t>
  </si>
  <si>
    <t>SL-PETG-10</t>
  </si>
  <si>
    <t>Bone White</t>
  </si>
  <si>
    <t>#EEE7D4</t>
  </si>
  <si>
    <t>SL-PETG-09</t>
  </si>
  <si>
    <t>Ceramic White</t>
  </si>
  <si>
    <t>#F4F9FF</t>
  </si>
  <si>
    <t>SL-PETG-28</t>
  </si>
  <si>
    <t>Cherry Red</t>
  </si>
  <si>
    <t>#FC6D5C</t>
  </si>
  <si>
    <t>SL-PETG-27</t>
  </si>
  <si>
    <t>Chocolate</t>
  </si>
  <si>
    <t>#793D00</t>
  </si>
  <si>
    <t>SL-PETG-07</t>
  </si>
  <si>
    <t>Clear(Transparent)</t>
  </si>
  <si>
    <t>230–260°C (230–240°C @ 50–100mm/s, 240–260°C @ 100–200mm/s per physical spool label)</t>
  </si>
  <si>
    <t>Manufacturer TDS-confirmed (store.sunlu.com, full spec table + hex table); print temp corrected 2026-08-20 against physical spool label (Wayne's own spool, box label reads "Transparent", ASIN X004UJZGAH)</t>
  </si>
  <si>
    <t>Deep-dive pass 2026-07-18; 3 additional colors (Coffee, Transparent, Olive Green) listed but marked unavailable on-site — excluded | Hex: PHYSICALLY CONFIRMED 2026-08-21 — Wayne photographed the unwrapped strand (against gray paper, not pure white); no visible color tint (no blue/yellow/gray cast), consistent with #FFFFFF as the standard convention for transparent/colorless filament (hex has no alpha channel to represent true transparency).</t>
  </si>
  <si>
    <t>SL-PETG-13</t>
  </si>
  <si>
    <t>Coffee Brown</t>
  </si>
  <si>
    <t>#362111</t>
  </si>
  <si>
    <t>SL-PETG-15</t>
  </si>
  <si>
    <t>Cyan</t>
  </si>
  <si>
    <t>#00A3E0</t>
  </si>
  <si>
    <t>SL-PETG-06</t>
  </si>
  <si>
    <t>SL-PETG-03</t>
  </si>
  <si>
    <t>SL-PETG-16</t>
  </si>
  <si>
    <t>Lavender Purple(Purple)</t>
  </si>
  <si>
    <t>SL-PETG-29</t>
  </si>
  <si>
    <t>Lemon Yellow</t>
  </si>
  <si>
    <t>#FFFF80</t>
  </si>
  <si>
    <t>SL-PETG-17</t>
  </si>
  <si>
    <t>Magenta</t>
  </si>
  <si>
    <t>#BA1976</t>
  </si>
  <si>
    <t>SL-PETG-11</t>
  </si>
  <si>
    <t>Midnight</t>
  </si>
  <si>
    <t>#28334A</t>
  </si>
  <si>
    <t>SL-PETG-30</t>
  </si>
  <si>
    <t>Mint Green</t>
  </si>
  <si>
    <t>#33F6D8</t>
  </si>
  <si>
    <t>SL-PETG-19</t>
  </si>
  <si>
    <t>Oak(Wood)</t>
  </si>
  <si>
    <t>#C2B29A</t>
  </si>
  <si>
    <t>SL-PETG-08</t>
  </si>
  <si>
    <t>Orange</t>
  </si>
  <si>
    <t>Deep-dive pass 2026-07-18; 3 additional colors (Coffee, Transparent, Olive Green) listed but marked unavailable on-site — excluded | Hex: approximate</t>
  </si>
  <si>
    <t>SL-PETG-04</t>
  </si>
  <si>
    <t>SL-PETG-12</t>
  </si>
  <si>
    <t>Roasted Chestnut</t>
  </si>
  <si>
    <t>SL-PETG-25</t>
  </si>
  <si>
    <t>Sakura Pink</t>
  </si>
  <si>
    <t>#FFBAC3</t>
  </si>
  <si>
    <t>SL-PETG-26</t>
  </si>
  <si>
    <t>Sky Blue</t>
  </si>
  <si>
    <t>#3AD6EF</t>
  </si>
  <si>
    <t>SL-PETG-20</t>
  </si>
  <si>
    <t>Transparent Blue</t>
  </si>
  <si>
    <t>#001EFF</t>
  </si>
  <si>
    <t>SL-PETG-21</t>
  </si>
  <si>
    <t>Transparent Green</t>
  </si>
  <si>
    <t>#0DFD55</t>
  </si>
  <si>
    <t>SL-PETG-24</t>
  </si>
  <si>
    <t>Transparent Orange</t>
  </si>
  <si>
    <t>#FF7B00</t>
  </si>
  <si>
    <t>SL-PETG-22</t>
  </si>
  <si>
    <t>Transparent Purple</t>
  </si>
  <si>
    <t>#BE38F3</t>
  </si>
  <si>
    <t>SL-PETG-23</t>
  </si>
  <si>
    <t>Transparent Red</t>
  </si>
  <si>
    <t>#D90D0D</t>
  </si>
  <si>
    <t>SL-PETG-14</t>
  </si>
  <si>
    <t>Vivid Yellow</t>
  </si>
  <si>
    <t>#EAC642</t>
  </si>
  <si>
    <t>SL-PETG-01</t>
  </si>
  <si>
    <t>SL-HSPETG-01</t>
  </si>
  <si>
    <t>SUNLU High Speed Matte PETG</t>
  </si>
  <si>
    <t>Line exists (site notes: improved flow, more moisture-sensitive than standard PETG); exact temps not independently TDS-confirmed</t>
  </si>
  <si>
    <t>SL-GLOWPE-01</t>
  </si>
  <si>
    <t>SUNLU PETG Glow in Dark</t>
  </si>
  <si>
    <t>White (Glows Blue)</t>
  </si>
  <si>
    <t>230–250°C</t>
  </si>
  <si>
    <t>2-color list confirmed (eBay official SUNLU listing variant selector)</t>
  </si>
  <si>
    <t>Deep-dive follow-up 2026-07-18 | Hex: approximate</t>
  </si>
  <si>
    <t>SL-GLOWPE-02</t>
  </si>
  <si>
    <t>White (Glows Green)</t>
  </si>
  <si>
    <t>SL-PETRBW-01</t>
  </si>
  <si>
    <t>SUNLU PETG Rainbow</t>
  </si>
  <si>
    <t>Rainbow (gradient)</t>
  </si>
  <si>
    <t>Multi-color-per-spool gradient product; color list not verified this pass</t>
  </si>
  <si>
    <t>PLACEHOLDER — line confirmed to exist (store.sunlu.com) but full color list not verified this pass | Hex: approximate</t>
  </si>
  <si>
    <t>SL-PETGCF-01</t>
  </si>
  <si>
    <t>SUNLU PETG Carbon Fiber</t>
  </si>
  <si>
    <t>70–85°C</t>
  </si>
  <si>
    <t>65°C / 8h</t>
  </si>
  <si>
    <t>Existing catalog entry — not re-verified this pass</t>
  </si>
  <si>
    <t>Not independently re-verified this deep-dive pass | Hex: manufacturer-confirmed</t>
  </si>
  <si>
    <t>SL-PLA-28</t>
  </si>
  <si>
    <t>SUNLU PLA</t>
  </si>
  <si>
    <t>205–245°C</t>
  </si>
  <si>
    <t>50–60°C</t>
  </si>
  <si>
    <t>50°C / 4h</t>
  </si>
  <si>
    <t>Manufacturer product-page confirmed (store.sunlu.com); color palette shared 1:1 with confirmed PLA+ line naming — not independently re-verified per color</t>
  </si>
  <si>
    <t>SL-PLA-01</t>
  </si>
  <si>
    <t>SL-PLA-04</t>
  </si>
  <si>
    <t>SL-PLA-06</t>
  </si>
  <si>
    <t>SL-PLA-11</t>
  </si>
  <si>
    <t>SL-PLA-10</t>
  </si>
  <si>
    <t>#FF615F</t>
  </si>
  <si>
    <t>SL-PLA-23</t>
  </si>
  <si>
    <t>SL-PLA-29</t>
  </si>
  <si>
    <t>SL-PLA-25</t>
  </si>
  <si>
    <t>Gold</t>
  </si>
  <si>
    <t>#BDA261</t>
  </si>
  <si>
    <t>SL-PLA-27</t>
  </si>
  <si>
    <t>Grass Green</t>
  </si>
  <si>
    <t>Deep-dive pass 2026-07-18 | Hex: approximate</t>
  </si>
  <si>
    <t>SL-PLA-14</t>
  </si>
  <si>
    <t>SL-PLA-03</t>
  </si>
  <si>
    <t>SL-PLA-13</t>
  </si>
  <si>
    <t>#FBE988</t>
  </si>
  <si>
    <t>SL-PLA-26</t>
  </si>
  <si>
    <t>Magenta(Fuchsia)</t>
  </si>
  <si>
    <t>#C52E79</t>
  </si>
  <si>
    <t>SL-PLA-07</t>
  </si>
  <si>
    <t>SL-PLA-09</t>
  </si>
  <si>
    <t>#59D9AA</t>
  </si>
  <si>
    <t>SL-PLA-21</t>
  </si>
  <si>
    <t>SL-PLA-22</t>
  </si>
  <si>
    <t>Oliver Green</t>
  </si>
  <si>
    <t>#5A6D3D</t>
  </si>
  <si>
    <t>SL-PLA-15</t>
  </si>
  <si>
    <t>#FF7235</t>
  </si>
  <si>
    <t>SL-PLA-17</t>
  </si>
  <si>
    <t>SL-PLA-05</t>
  </si>
  <si>
    <t>SL-PLA-08</t>
  </si>
  <si>
    <t>Roasted Chestnut Black</t>
  </si>
  <si>
    <t>#1D0E07</t>
  </si>
  <si>
    <t>SL-PLA-18</t>
  </si>
  <si>
    <t>#F5B5C2</t>
  </si>
  <si>
    <t>SL-PLA-16</t>
  </si>
  <si>
    <t>Silver</t>
  </si>
  <si>
    <t>#888F98</t>
  </si>
  <si>
    <t>SL-PLA-20</t>
  </si>
  <si>
    <t>#15A9C2</t>
  </si>
  <si>
    <t>SL-PLA-19</t>
  </si>
  <si>
    <t>SL-PLA-24</t>
  </si>
  <si>
    <t>SL-PLA-02</t>
  </si>
  <si>
    <t>SL-PLA-12</t>
  </si>
  <si>
    <t>Yellow</t>
  </si>
  <si>
    <t>#FFF13F</t>
  </si>
  <si>
    <t>SL-RBOW-01</t>
  </si>
  <si>
    <t>SUNLU PLA &amp; Silk Rainbow</t>
  </si>
  <si>
    <t>200–220°C</t>
  </si>
  <si>
    <t>45–60°C</t>
  </si>
  <si>
    <t>45°C / 4h</t>
  </si>
  <si>
    <t>Multi-color-per-spool gradient product, not a simple named color; single representative entry</t>
  </si>
  <si>
    <t>SL_ANTI-01</t>
  </si>
  <si>
    <t>SUNLU Anti-string PLA</t>
  </si>
  <si>
    <t>Line exists; formulated to reduce stringing; color list not verified this pass</t>
  </si>
  <si>
    <t>SL-HSPLA-01</t>
  </si>
  <si>
    <t>SUNLU High Speed PLA</t>
  </si>
  <si>
    <t>210–250°C</t>
  </si>
  <si>
    <t>Line exists; temps estimated from standard PLA + high-flow adjustment, not independently TDS-confirmed</t>
  </si>
  <si>
    <t>SL-GALX-01</t>
  </si>
  <si>
    <t>SUNLU PLA Galaxy</t>
  </si>
  <si>
    <t>Starlit Flow</t>
  </si>
  <si>
    <t>205–225°C</t>
  </si>
  <si>
    <t>Color-shifting single signature colorway confirmed ("Starlit Flow" — 3dsunlu.com collection listing)</t>
  </si>
  <si>
    <t>SL-GLOWP-02</t>
  </si>
  <si>
    <t>SUNLU PLA Glow in Dark</t>
  </si>
  <si>
    <t>4-color list confirmed (eBay official SUNLU listing variant selector); daytime color shown, glows in the dark (Glows Blue)</t>
  </si>
  <si>
    <t>Deep-dive follow-up 2026-07-18 | Hex: manufacturer-confirmed</t>
  </si>
  <si>
    <t>SL-GLOWP-03</t>
  </si>
  <si>
    <t>4-color list confirmed (eBay official SUNLU listing variant selector); daytime color shown, glows in the dark (Glows Green)</t>
  </si>
  <si>
    <t>SL-GLOWP-01</t>
  </si>
  <si>
    <t>4-color list confirmed (eBay official SUNLU listing variant selector); daytime color shown, glows in the dark (Glows Red)</t>
  </si>
  <si>
    <t>SL-GLOWP-04</t>
  </si>
  <si>
    <t>4-color list confirmed (eBay official SUNLU listing variant selector); daytime color shown, glows in the dark (Glows Yellow)</t>
  </si>
  <si>
    <t>SL-MARB-01</t>
  </si>
  <si>
    <t>SUNLU PLA Marble</t>
  </si>
  <si>
    <t>Marble Mix</t>
  </si>
  <si>
    <t>Line exists (esthenic filaments page); color list not verified this pass</t>
  </si>
  <si>
    <t>SL-HSMARB-06</t>
  </si>
  <si>
    <t>SUNLU High Speed PLA Marble</t>
  </si>
  <si>
    <t>Bone Beige</t>
  </si>
  <si>
    <t>Manufacturer-confirmed 6-color line (Amazon official SUNLU listing)</t>
  </si>
  <si>
    <t>SL-HSMARB-04</t>
  </si>
  <si>
    <t>Brick Red</t>
  </si>
  <si>
    <t>#683B48</t>
  </si>
  <si>
    <t>Deep-dive follow-up 2026-07-18 | Hex: manufacturer-confirmed (3dfilamentprofiles.com, color name exact-match verified)</t>
  </si>
  <si>
    <t>SL-HSMARB-03</t>
  </si>
  <si>
    <t>Cement Grey</t>
  </si>
  <si>
    <t>SL-HSMARB-02</t>
  </si>
  <si>
    <t>Cool White</t>
  </si>
  <si>
    <t>SL-HSMARB-05</t>
  </si>
  <si>
    <t>Light Cyan</t>
  </si>
  <si>
    <t>SL-HSMARB-01</t>
  </si>
  <si>
    <t>Light Grey</t>
  </si>
  <si>
    <t>SL-MAT-BLA</t>
  </si>
  <si>
    <t>SUNLU PLA Matte</t>
  </si>
  <si>
    <t>200–230°C</t>
  </si>
  <si>
    <t>25–60°C</t>
  </si>
  <si>
    <t>Existing catalog entries — not re-verified this pass</t>
  </si>
  <si>
    <t>SL-MATDC-01</t>
  </si>
  <si>
    <t>SUNLU PLA Matte Dual-Color</t>
  </si>
  <si>
    <t>Black/Blue</t>
  </si>
  <si>
    <t>#0D0D0D</t>
  </si>
  <si>
    <t>Combo confirmed (eBay official SUNLU listing variant selector)</t>
  </si>
  <si>
    <t>Deep-dive follow-up 2026-07-18 | Hex: manufacturer-confirmed (3dfilamentprofiles.com, listed as "DUAL BLACK-BLUE"); dual-tone spool, second color #001CF0</t>
  </si>
  <si>
    <t>SL-MATDC-04</t>
  </si>
  <si>
    <t>Black/Gold</t>
  </si>
  <si>
    <t>FLAGGED 2026-08-30, NOT confirmed: current official sunlu.com lineup (live 7-color list: Red Yellow, Red Blue, Orange Red, Yellow Cyan, Black Blue, Black Red, Green Purple) does NOT include this combo. Original citation could not be re-verified; closest match found was an eSUN-branded listing, not SUNLU, with different combo names. May be discontinued, a brand-mixup error, or never a real SUNLU product. Needs physical spool check or removal.</t>
  </si>
  <si>
    <t>Hex: unresolved, product identity itself uncertain</t>
  </si>
  <si>
    <t>SL-MATDC-06</t>
  </si>
  <si>
    <t>Black/Green</t>
  </si>
  <si>
    <t>SL-MATDC-02</t>
  </si>
  <si>
    <t>Black/Purple</t>
  </si>
  <si>
    <t>SL-MAT-BLU</t>
  </si>
  <si>
    <t>Blue</t>
  </si>
  <si>
    <t>#0000FF</t>
  </si>
  <si>
    <t>Not independently re-verified this deep-dive pass | Hex: manufacturer-confirmed (3dfilamentprofiles.com exact name match)</t>
  </si>
  <si>
    <t>SL-MAT-GRA</t>
  </si>
  <si>
    <t>Gray</t>
  </si>
  <si>
    <t>#808088</t>
  </si>
  <si>
    <t>SL-MAT-GRE</t>
  </si>
  <si>
    <t>SL-MATDC-07</t>
  </si>
  <si>
    <t>Pink/Gold</t>
  </si>
  <si>
    <t>SL-MAT-RED</t>
  </si>
  <si>
    <t>SL-MATDC-05</t>
  </si>
  <si>
    <t>Red/Blue</t>
  </si>
  <si>
    <t>205–245°C (205–215C at 50-100mm/s, 215–245C at 100-230mm/s)</t>
  </si>
  <si>
    <t>SPECS CORRECTED 2026-08-30: confirmed current official color, real print/bed specs sourced direct from sunlu.com product page.</t>
  </si>
  <si>
    <t>Manufacturer publishes NO hex for this line, every color shows blank in the Color Code table on sunlu.com -- genuinely unavailable, not just unresearched | Hex: still approximate</t>
  </si>
  <si>
    <t>SL-MATDC-03</t>
  </si>
  <si>
    <t>Red/Gold</t>
  </si>
  <si>
    <t>SL-MATDC-08</t>
  </si>
  <si>
    <t>Red/Yellow/Green</t>
  </si>
  <si>
    <t>205–245°C (per sibling colors confirmed spec)</t>
  </si>
  <si>
    <t>50–60°C (per sibling colors confirmed spec)</t>
  </si>
  <si>
    <t>NEAR-MISS FLAGGED 2026-08-30: current official sunlu.com lineup has 'Red Yellow' as a real 2-color product, but NOT a 3-color Red-Yellow-Green combo. This entry claims 3 colors, real current product is 2. Likely an outdated SKU or research error.</t>
  </si>
  <si>
    <t>Recommend confirming whether this should be renamed to the real Red/Yellow 2-color product, or removed if the 3-color version does not exist | Hex: unresolved, product identity uncertain</t>
  </si>
  <si>
    <t>SL-MAT-WHI</t>
  </si>
  <si>
    <t>SL-HSMPLA-01</t>
  </si>
  <si>
    <t>SUNLU High Speed Matte PLA</t>
  </si>
  <si>
    <t>205–215°C</t>
  </si>
  <si>
    <t>Manufacturer-confirmed temps (SUNLU UK Store, 210°C typical starting point); full color list not itemized in any source found</t>
  </si>
  <si>
    <t>TEMPS CONFIRMED, COLOR LIST STILL PLACEHOLDER — deep-dive follow-up 2026-07-18 | Hex: manufacturer-confirmed</t>
  </si>
  <si>
    <t>SL-META-01</t>
  </si>
  <si>
    <t>SUNLU PLA Meta</t>
  </si>
  <si>
    <t>185–225°C</t>
  </si>
  <si>
    <t>Manufacturer-confirmed temps (store.sunlu.com blog + Amazon official listing: 185-195C/50-100mm/s, 195-225C/100-200mm/s). Marketed as "macaron" pastel color line but full color list not itemized in any source found</t>
  </si>
  <si>
    <t>SL-TWNKL-01</t>
  </si>
  <si>
    <t>SUNLU PLA Twinkling</t>
  </si>
  <si>
    <t>Twinkling Mix</t>
  </si>
  <si>
    <t>Sparkle-effect PLA line; color list not verified this pass</t>
  </si>
  <si>
    <t>SL-WOOD-01</t>
  </si>
  <si>
    <t>SUNLU PLA Wood</t>
  </si>
  <si>
    <t>195–215°C</t>
  </si>
  <si>
    <t>Line exists (wood-fill PLA); color list not verified this pass</t>
  </si>
  <si>
    <t>SL-PLAP-37</t>
  </si>
  <si>
    <t>SUNLU PLA+</t>
  </si>
  <si>
    <t>SL-PLAP-01</t>
  </si>
  <si>
    <t>SL-PLAP-04</t>
  </si>
  <si>
    <t>SL-PLAP-06</t>
  </si>
  <si>
    <t>SL-PLAP-11</t>
  </si>
  <si>
    <t>SL-PLAP-10</t>
  </si>
  <si>
    <t>#F7423A</t>
  </si>
  <si>
    <t>SL-PLAP-33</t>
  </si>
  <si>
    <t>#5A3628</t>
  </si>
  <si>
    <t>SL-PLAP-30</t>
  </si>
  <si>
    <t>SL-PLAP-38</t>
  </si>
  <si>
    <t>SL-PLAP-35</t>
  </si>
  <si>
    <t>SL-PLAP-32</t>
  </si>
  <si>
    <t>Gold(Light Gold)</t>
  </si>
  <si>
    <t>#FFE852</t>
  </si>
  <si>
    <t>Deep-dive pass 2026-07-18 | Hex: manufacturer-confirmed (3dfilamentprofiles.com exact name match "Light Gold")</t>
  </si>
  <si>
    <t>SL-PLAP-36</t>
  </si>
  <si>
    <t>#00866D</t>
  </si>
  <si>
    <t>SL-PLAP-14</t>
  </si>
  <si>
    <t>SL-PLAP-03</t>
  </si>
  <si>
    <t>SL-PLAP-13</t>
  </si>
  <si>
    <t>#FFFFAF</t>
  </si>
  <si>
    <t>SL-PLAP-34</t>
  </si>
  <si>
    <t>SL-PLAP-07</t>
  </si>
  <si>
    <t>SL-PLAP-09</t>
  </si>
  <si>
    <t>SL-PLAP-21</t>
  </si>
  <si>
    <t>SL-PLAP-22</t>
  </si>
  <si>
    <t>SL-PLAP-15</t>
  </si>
  <si>
    <t>SL-PLAP-17</t>
  </si>
  <si>
    <t>SL-PLAP-05</t>
  </si>
  <si>
    <t>SL-PLAP-08</t>
  </si>
  <si>
    <t>SL-PLAP-18</t>
  </si>
  <si>
    <t>SL-PLAP-16</t>
  </si>
  <si>
    <t>SL-PLAP-20</t>
  </si>
  <si>
    <t>SL-PLAP-19</t>
  </si>
  <si>
    <t>SL-PLAP-23</t>
  </si>
  <si>
    <t>Transparent</t>
  </si>
  <si>
    <t>SL-PLAP-24</t>
  </si>
  <si>
    <t>SL-PLAP-26</t>
  </si>
  <si>
    <t>SL-PLAP-29</t>
  </si>
  <si>
    <t>SL-PLAP-28</t>
  </si>
  <si>
    <t>SL-PLAP-25</t>
  </si>
  <si>
    <t>SL-PLAP-27</t>
  </si>
  <si>
    <t>Transparent Yellow</t>
  </si>
  <si>
    <t>SL-PLAP-31</t>
  </si>
  <si>
    <t>SL-PLAP-02</t>
  </si>
  <si>
    <t>SL-PLAP-12</t>
  </si>
  <si>
    <t>SL-HSPLAP-01</t>
  </si>
  <si>
    <t>SUNLU High Speed PLA+</t>
  </si>
  <si>
    <t>220–260°C</t>
  </si>
  <si>
    <t>Line exists; temps estimated, not independently TDS-confirmed</t>
  </si>
  <si>
    <t>SL-PLAP2-01</t>
  </si>
  <si>
    <t>SUNLU PLA+ 2.0</t>
  </si>
  <si>
    <t>205–220°C</t>
  </si>
  <si>
    <t>Manufacturer-confirmed color list (Amazon official SUNLU bundle listings) and temps (store.sunlu.com product page)</t>
  </si>
  <si>
    <t>SL-PLAP2-05</t>
  </si>
  <si>
    <t>SL-PLAP2-06</t>
  </si>
  <si>
    <t>SL-PLAP2-03</t>
  </si>
  <si>
    <t>SL-PLAP2-11</t>
  </si>
  <si>
    <t>#F653B2</t>
  </si>
  <si>
    <t>195–220°C (195–205°C @ 50–100mm/s, 205–220°C @ 100–300mm/s per physical spool label)</t>
  </si>
  <si>
    <t>NEW SKU — added 2026-08-22. Was entirely missing from catalog (only 10 of 11 PLA+ 2.0 colors were present). Found via physical spool Wayne owns (batch 00660601E2); print temps sourced directly from spool label. Hex sourced from 3dfilamentprofiles.com exact name match.</t>
  </si>
  <si>
    <t>Physical spool confirmed 2026-08-22 (Wayne's own spool, lot/batch 00660601E2, spool temp resistance &lt;70°C) | Hex: manufacturer-confirmed (3dfilamentprofiles.com exact name match, TD 3.7)</t>
  </si>
  <si>
    <t>SL-PLAP2-10</t>
  </si>
  <si>
    <t>SL-PLAP2-04</t>
  </si>
  <si>
    <t>SL-PLAP2-09</t>
  </si>
  <si>
    <t>SL-PLAP2-08</t>
  </si>
  <si>
    <t>SL-PLAP2-02</t>
  </si>
  <si>
    <t>SL-PLAP2-07</t>
  </si>
  <si>
    <t>SL-HSPLAP2-01</t>
  </si>
  <si>
    <t>SUNLU High Speed PLA+ 2.0</t>
  </si>
  <si>
    <t>SL-PLACF-01</t>
  </si>
  <si>
    <t>SUNLU PLA Carbon Fiber</t>
  </si>
  <si>
    <t>210–230°C</t>
  </si>
  <si>
    <t>50–70°C</t>
  </si>
  <si>
    <t>Existing catalog line naming; not re-verified this pass</t>
  </si>
  <si>
    <t>SL-PP-01</t>
  </si>
  <si>
    <t>SUNLU PP</t>
  </si>
  <si>
    <t>0–60°C</t>
  </si>
  <si>
    <t>SL-PVB-01</t>
  </si>
  <si>
    <t>SUNLU PVB</t>
  </si>
  <si>
    <t>Natural/Clear</t>
  </si>
  <si>
    <t>190–210°C</t>
  </si>
  <si>
    <t>Line exists (acetone-smoothable, used for vapor-polished prints); color list not verified this pass</t>
  </si>
  <si>
    <t>SL-MCSLK-02</t>
  </si>
  <si>
    <t>SUNLU Silk PLA+ Dual-Color</t>
  </si>
  <si>
    <t>Dual-Color Mix</t>
  </si>
  <si>
    <t>Product line confirmed to exist as a distinct SKU (3dsunlu.com)</t>
  </si>
  <si>
    <t>SL-MCSLK-04</t>
  </si>
  <si>
    <t>SUNLU Silk PLA+ Four-Color</t>
  </si>
  <si>
    <t>Four-Color Mix</t>
  </si>
  <si>
    <t>SL-MCSLK-01</t>
  </si>
  <si>
    <t>SUNLU Silk PLA+ Rainbow</t>
  </si>
  <si>
    <t>Product line confirmed to exist as a distinct SKU (3dsunlu.com) alongside Dual-Color/Tri-Color/Four-Color variants; each is a gradient/multi-color-per-spool product rather than a single named color</t>
  </si>
  <si>
    <t>SL-MCSLK-03</t>
  </si>
  <si>
    <t>SUNLU Silk PLA+ Tri-Color</t>
  </si>
  <si>
    <t>Tri-Color Mix</t>
  </si>
  <si>
    <t>SL-SILK-BLU</t>
  </si>
  <si>
    <t>SUNLU Silk PLA</t>
  </si>
  <si>
    <t>#005EAF</t>
  </si>
  <si>
    <t>RESOLVED 2026-09-17: hex #005EAF, direct name match on 3dfilamentprofiles.com's SUNLU PLA Silk listing</t>
  </si>
  <si>
    <t>Hex: manufacturer-listed value (3dfilamentprofiles.com), not colorimeter-measured</t>
  </si>
  <si>
    <t>SL-SILK-COP</t>
  </si>
  <si>
    <t>Copper</t>
  </si>
  <si>
    <t>#C37752</t>
  </si>
  <si>
    <t>205–235°C</t>
  </si>
  <si>
    <t>RESOLVED 2026-09-17: hex #C37752 and corrected print/bed temps, mapped from 3dfilamentprofiles.com's "Red Copper" — name differs from this catalog's plain "Copper," treated as the same color under a fuller retailer name, not independently confirmed identical</t>
  </si>
  <si>
    <t>Hex: mapped from a differently-named listing (Red Copper), not a direct name match — flag if a physical spool ever contradicts this; print/bed temps also corrected from this line's generic 200-220/45-60 placeholder to the source's actual listed values</t>
  </si>
  <si>
    <t>SL-SILK-GOL</t>
  </si>
  <si>
    <t>SL-SILK-GRE</t>
  </si>
  <si>
    <t>SL-SILK-RAI</t>
  </si>
  <si>
    <t>Rainbow</t>
  </si>
  <si>
    <t>Not independently re-verified this deep-dive pass | Hex: approximate</t>
  </si>
  <si>
    <t>SL-SILK-RED</t>
  </si>
  <si>
    <t>SL-SILK-ROS</t>
  </si>
  <si>
    <t>Rose Gold</t>
  </si>
  <si>
    <t>CHECKED 2026-09-17, still unresolved: no "Rose Gold" entry found in SUNLU's own PLA Silk lineup on 3dfilamentprofiles.com (their list has Brass #F8B849, Bronze #578A61, Punk Brass, Punk Bronze — none named Rose Gold); other brands' "Silk Rose Gold" (eSUN #C7886B, Bambu Lab #BA9594) exist but assuming cross-brand identity would violate this catalog's own convention</t>
  </si>
  <si>
    <t>Genuinely unresolved, not just unresearched — see tier_rationale | Hex: approximate</t>
  </si>
  <si>
    <t>SL-SILK-SIL</t>
  </si>
  <si>
    <t>SL-TPU95-01</t>
  </si>
  <si>
    <t>SUNLU TPU 95A</t>
  </si>
  <si>
    <t>Manufacturer-confirmed color list and temps (store.sunlu.com product page)</t>
  </si>
  <si>
    <t>SL-TPU90-04</t>
  </si>
  <si>
    <t>SUNLU TPU 90A</t>
  </si>
  <si>
    <t>Color list confirmed (3dsunlu.com collection listing); temps assumed same as TPU 95A, not independently confirmed for 90A specifically</t>
  </si>
  <si>
    <t>Deep-dive pass 2026-07-18; NEW LINE | Hex: manufacturer-confirmed</t>
  </si>
  <si>
    <t>SL-TPU95-06</t>
  </si>
  <si>
    <t>SL-TPU90-06</t>
  </si>
  <si>
    <t>SL-TPU95-07</t>
  </si>
  <si>
    <t>SL-TPU90-05</t>
  </si>
  <si>
    <t>SL-TPU95-03</t>
  </si>
  <si>
    <t>SL-TPU95-08</t>
  </si>
  <si>
    <t>SL-TPU90-02</t>
  </si>
  <si>
    <t>Deep-dive pass 2026-07-18; NEW LINE | Hex: approximate</t>
  </si>
  <si>
    <t>SL-TPU95-04</t>
  </si>
  <si>
    <t>SL-TPU90-01</t>
  </si>
  <si>
    <t>SL-TPU95-05</t>
  </si>
  <si>
    <t>SL-TPU95-02</t>
  </si>
  <si>
    <t>SL-TPU90-03</t>
  </si>
  <si>
    <t>SL-TPUSLK-03</t>
  </si>
  <si>
    <t>SUNLU TPU-Silk</t>
  </si>
  <si>
    <t>Dark Blue</t>
  </si>
  <si>
    <t>#333667</t>
  </si>
  <si>
    <t>Color confirmed (eBay official SUNLU listing); RESOLVED 2026-09-17: hex #333667 via 3dfilamentprofiles.com's SUNLU TPU Silk color table</t>
  </si>
  <si>
    <t>Deep-dive follow-up 2026-07-18 | Hex: manufacturer-listed value (3dfilamentprofiles.com), not colorimeter-measured</t>
  </si>
  <si>
    <t>SL-TPUSLK-02</t>
  </si>
  <si>
    <t>Light Blue</t>
  </si>
  <si>
    <t>#ADD8E6</t>
  </si>
  <si>
    <t>Color confirmed (eBay official SUNLU listing); RESOLVED 2026-09-17: hex #ADD8E6 via 3dfilamentprofiles.com, carries a community TD vote (5.4), stronger confidence than a bare listed value</t>
  </si>
  <si>
    <t>Deep-dive follow-up 2026-07-18 | Hex: manufacturer-listed value with community TD confirmation (3dfilamentprofiles.com)</t>
  </si>
  <si>
    <t>SL-TPUSLK-01</t>
  </si>
  <si>
    <t>Milk White</t>
  </si>
  <si>
    <t>#F8F6E4</t>
  </si>
  <si>
    <t>98A shore hardness confirmed (Amazon); 4-color list confirmed (eBay official SUNLU listing — Milk White/Light Blue/Dark Blue/Wine Red; Black shown as unavailable); RESOLVED 2026-09-17: hex #F8F6E4, mapped from 3dfilamentprofiles.com's "Cream White" — same 4-color line, count matches, but the name differs from eBay's "Milk White"; treated as the same color under different retailer naming, not independently confirmed as identical</t>
  </si>
  <si>
    <t>Deep-dive follow-up 2026-07-18 | Hex: mapped from a differently-named listing (Cream White), not a direct name match — flag if a physical spool ever contradicts this</t>
  </si>
  <si>
    <t>SL-TPUSLK-04</t>
  </si>
  <si>
    <t>Wine Red</t>
  </si>
  <si>
    <t>#512D35</t>
  </si>
  <si>
    <t>Color confirmed (eBay official SUNLU listing); RESOLVED 2026-09-17: hex #512D35, mapped from 3dfilamentprofiles.com's "Burgundy" — same naming-mismatch caveat as Milk White/Cream White above</t>
  </si>
  <si>
    <t>Deep-dive follow-up 2026-07-18 | Hex: mapped from a differently-named listing (Burgundy), not a direct name match — flag if a physical spool ever contradicts this</t>
  </si>
  <si>
    <t>SUNLU  —  Material Guide</t>
  </si>
  <si>
    <t>Material</t>
  </si>
  <si>
    <t>Enclosure Required</t>
  </si>
  <si>
    <t>AMS Compatible</t>
  </si>
  <si>
    <t>Drying Required</t>
  </si>
  <si>
    <t>190–230°C</t>
  </si>
  <si>
    <t>Yes</t>
  </si>
  <si>
    <t>Recommended</t>
  </si>
  <si>
    <t>Toughened PLA; good budget option</t>
  </si>
  <si>
    <t>220–250°C</t>
  </si>
  <si>
    <t>70–80°C</t>
  </si>
  <si>
    <t>65°C / 6h</t>
  </si>
  <si>
    <t>Must dry before printing</t>
  </si>
  <si>
    <t>More brittle; shorter AMS runs preferred</t>
  </si>
  <si>
    <t>80–110°C</t>
  </si>
  <si>
    <t>Enclosure required; use generic ABS profile</t>
  </si>
  <si>
    <t>TPU 95A</t>
  </si>
  <si>
    <t>45°C / 6h</t>
  </si>
  <si>
    <t>External spool only on all Bambu printers</t>
  </si>
  <si>
    <t>Abrasive; hardened nozzle required</t>
  </si>
  <si>
    <t>Smooth matte finish</t>
  </si>
  <si>
    <t>⚙  Configuration</t>
  </si>
  <si>
    <t>Setting</t>
  </si>
  <si>
    <t>Value</t>
  </si>
  <si>
    <t>Brand</t>
  </si>
  <si>
    <t>SUNLU</t>
  </si>
  <si>
    <t>File Version</t>
  </si>
  <si>
    <t>v3</t>
  </si>
  <si>
    <t>Generated</t>
  </si>
  <si>
    <t>2026-09-17</t>
  </si>
  <si>
    <t>Date this file was last generated by generate_all.py</t>
  </si>
  <si>
    <t>SKU Note</t>
  </si>
  <si>
    <t>Reference codes (SL-xxx) — verify ASINs on Amazon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</si>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</sst>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110">
    <fill>
      <patternFill patternType="none"/>
    </fill>
    <fill>
      <patternFill patternType="gray125"/>
    </fill>
    <fill>
      <patternFill patternType="solid">
        <fgColor rgb="FF1D356D"/>
        <bgColor rgb="FF33292B"/>
      </patternFill>
    </fill>
    <fill>
      <patternFill patternType="darkGray">
        <fgColor rgb="FF10579E"/>
        <bgColor rgb="FF1D356D"/>
      </patternFill>
    </fill>
    <fill>
      <patternFill patternType="solid">
        <fgColor rgb="FFF2F2F2"/>
        <bgColor rgb="FFF0F1F2"/>
      </patternFill>
    </fill>
    <fill>
      <patternFill patternType="solid">
        <fgColor rgb="FFFFFFFF"/>
        <bgColor rgb="FFFEFDFB"/>
      </patternFill>
    </fill>
    <fill>
      <patternFill patternType="solid">
        <fgColor rgb="FFFFD700"/>
        <bgColor rgb="FFFFEF45"/>
      </patternFill>
    </fill>
    <fill>
      <patternFill patternType="solid">
        <fgColor rgb="FF92D050"/>
        <bgColor rgb="FFA99989"/>
      </patternFill>
    </fill>
    <fill>
      <patternFill patternType="solid">
        <fgColor rgb="FFB9D7ED"/>
        <bgColor rgb="FFB8CCE4"/>
      </patternFill>
    </fill>
    <fill>
      <patternFill patternType="solid">
        <fgColor rgb="FFFAB8BE"/>
        <bgColor rgb="FFFFC7CE"/>
      </patternFill>
    </fill>
    <fill>
      <patternFill patternType="solid">
        <fgColor rgb="FFFFEB9A"/>
        <bgColor rgb="FFFFFF98"/>
      </patternFill>
    </fill>
    <fill>
      <patternFill patternType="solid">
        <fgColor rgb="FF000000"/>
        <bgColor rgb="FF33292B"/>
      </patternFill>
    </fill>
    <fill>
      <patternFill patternType="solid">
        <fgColor rgb="FFE2E2E1"/>
        <bgColor rgb="FFE6E6E7"/>
      </patternFill>
    </fill>
    <fill>
      <patternFill patternType="solid">
        <fgColor rgb="FFEEF3FB"/>
        <bgColor rgb="FFF0F1F2"/>
      </patternFill>
    </fill>
    <fill>
      <patternFill patternType="darkGray">
        <fgColor rgb="FF1D356D"/>
        <bgColor rgb="FF10579E"/>
      </patternFill>
    </fill>
    <fill>
      <patternFill patternType="darkGray">
        <fgColor rgb="FFE5E6F2"/>
        <bgColor rgb="FFE0E3FF"/>
      </patternFill>
    </fill>
    <fill>
      <patternFill patternType="darkGray">
        <fgColor rgb="FF6E7182"/>
        <bgColor rgb="FFA99989"/>
      </patternFill>
    </fill>
    <fill>
      <patternFill patternType="darkGray">
        <fgColor rgb="FFEDEEF4"/>
        <bgColor rgb="FFF0F1F2"/>
      </patternFill>
    </fill>
    <fill>
      <patternFill patternType="darkGray">
        <fgColor rgb="FFCF1212"/>
        <bgColor rgb="FFC11E78"/>
      </patternFill>
    </fill>
    <fill>
      <patternFill patternType="mediumGray">
        <fgColor rgb="FFF9E5EC"/>
        <bgColor rgb="FFEFE6DC"/>
      </patternFill>
    </fill>
    <fill>
      <patternFill patternType="solid">
        <fgColor rgb="FF137125"/>
        <bgColor rgb="FF6E7182"/>
      </patternFill>
    </fill>
    <fill>
      <patternFill patternType="solid">
        <fgColor rgb="FFE2F2F1"/>
        <bgColor rgb="FFE2F4FA"/>
      </patternFill>
    </fill>
    <fill>
      <patternFill patternType="darkGray">
        <fgColor rgb="FFA99989"/>
        <bgColor rgb="FF6E7182"/>
      </patternFill>
    </fill>
    <fill>
      <patternFill patternType="darkGray">
        <fgColor rgb="FF6E7182"/>
        <bgColor rgb="FF10579E"/>
      </patternFill>
    </fill>
    <fill>
      <patternFill patternType="solid">
        <fgColor rgb="FFEDEEF4"/>
        <bgColor rgb="FFF0F1F2"/>
      </patternFill>
    </fill>
    <fill>
      <patternFill patternType="darkGray">
        <fgColor rgb="FFE3753E"/>
        <bgColor rgb="FFFF7416"/>
      </patternFill>
    </fill>
    <fill>
      <patternFill patternType="mediumGray">
        <fgColor rgb="FFFBEEE9"/>
        <bgColor rgb="FFFFEFE5"/>
      </patternFill>
    </fill>
    <fill>
      <patternFill patternType="solid">
        <fgColor rgb="FFEFE6DC"/>
        <bgColor rgb="FFECE7E8"/>
      </patternFill>
    </fill>
    <fill>
      <patternFill patternType="solid">
        <fgColor rgb="FFFEFDFB"/>
        <bgColor rgb="FFFFFFFF"/>
      </patternFill>
    </fill>
    <fill>
      <patternFill patternType="solid">
        <fgColor rgb="FFF5FAFE"/>
        <bgColor rgb="FFEAFAFB"/>
      </patternFill>
    </fill>
    <fill>
      <patternFill patternType="darkGray">
        <fgColor rgb="FFFFFFFF"/>
        <bgColor rgb="FFFEFDFB"/>
      </patternFill>
    </fill>
    <fill>
      <patternFill patternType="mediumGray">
        <fgColor rgb="FFE3753E"/>
        <bgColor rgb="FFFD5246"/>
      </patternFill>
    </fill>
    <fill>
      <patternFill patternType="mediumGray">
        <fgColor rgb="FFFFECEB"/>
        <bgColor rgb="FFFBEEE9"/>
      </patternFill>
    </fill>
    <fill>
      <patternFill patternType="darkGray">
        <fgColor rgb="FF70390A"/>
        <bgColor rgb="FF925900"/>
      </patternFill>
    </fill>
    <fill>
      <patternFill patternType="darkGray">
        <fgColor rgb="FFEFE6DC"/>
        <bgColor rgb="FFECE7E8"/>
      </patternFill>
    </fill>
    <fill>
      <patternFill patternType="solid">
        <fgColor rgb="FF33292B"/>
        <bgColor rgb="FF1D356D"/>
      </patternFill>
    </fill>
    <fill>
      <patternFill patternType="mediumGray">
        <fgColor rgb="FFE6E6E7"/>
        <bgColor rgb="FFE2E2E1"/>
      </patternFill>
    </fill>
    <fill>
      <patternFill patternType="mediumGray">
        <fgColor rgb="FF12EAD8"/>
        <bgColor rgb="FF10579E"/>
      </patternFill>
    </fill>
    <fill>
      <patternFill patternType="solid">
        <fgColor rgb="FFE2F4FA"/>
        <bgColor rgb="FFE2F2F1"/>
      </patternFill>
    </fill>
    <fill>
      <patternFill patternType="solid">
        <fgColor rgb="FFFFFF98"/>
        <bgColor rgb="FFFFEB9A"/>
      </patternFill>
    </fill>
    <fill>
      <patternFill patternType="solid">
        <fgColor rgb="FFFFFFF2"/>
        <bgColor rgb="FFFEFDFB"/>
      </patternFill>
    </fill>
    <fill>
      <patternFill patternType="solid">
        <fgColor rgb="FFC11E78"/>
        <bgColor rgb="FFCF1212"/>
      </patternFill>
    </fill>
    <fill>
      <patternFill patternType="darkGray">
        <fgColor rgb="FFF9E5EC"/>
        <bgColor rgb="FFECE7E8"/>
      </patternFill>
    </fill>
    <fill>
      <patternFill patternType="mediumGray">
        <fgColor rgb="FF1D356D"/>
        <bgColor rgb="FF33292B"/>
      </patternFill>
    </fill>
    <fill>
      <patternFill patternType="darkGray">
        <fgColor rgb="FFE6E6E7"/>
        <bgColor rgb="FFE5E6F2"/>
      </patternFill>
    </fill>
    <fill>
      <patternFill patternType="darkGray">
        <fgColor rgb="FF12EAD8"/>
        <bgColor rgb="FF92D050"/>
      </patternFill>
    </fill>
    <fill>
      <patternFill patternType="darkGray">
        <fgColor rgb="FFE5FEF7"/>
        <bgColor rgb="FFEAFAFB"/>
      </patternFill>
    </fill>
    <fill>
      <patternFill patternType="mediumGray">
        <fgColor rgb="FFA99989"/>
        <bgColor rgb="FFB8CCE4"/>
      </patternFill>
    </fill>
    <fill>
      <patternFill patternType="solid">
        <fgColor rgb="FFF7F5F1"/>
        <bgColor rgb="FFF2F2F2"/>
      </patternFill>
    </fill>
    <fill>
      <patternFill patternType="darkGray">
        <fgColor rgb="FFFAB8BE"/>
        <bgColor rgb="FFFFC7CE"/>
      </patternFill>
    </fill>
    <fill>
      <patternFill patternType="solid">
        <fgColor rgb="FFFFF6F7"/>
        <bgColor rgb="FFF7F5F1"/>
      </patternFill>
    </fill>
    <fill>
      <patternFill patternType="darkGray">
        <fgColor rgb="FF12EAD8"/>
        <bgColor rgb="FFB8CCE4"/>
      </patternFill>
    </fill>
    <fill>
      <patternFill patternType="darkGray">
        <fgColor rgb="FFEAFAFB"/>
        <bgColor rgb="FFE5FEF7"/>
      </patternFill>
    </fill>
    <fill>
      <patternFill patternType="darkGray">
        <fgColor rgb="FF0000FF"/>
        <bgColor rgb="FF1D356D"/>
      </patternFill>
    </fill>
    <fill>
      <patternFill patternType="solid">
        <fgColor rgb="FFE0E3FF"/>
        <bgColor rgb="FFE5E6F2"/>
      </patternFill>
    </fill>
    <fill>
      <patternFill patternType="solid">
        <fgColor rgb="FFE5FEF7"/>
        <bgColor rgb="FFEAFAFB"/>
      </patternFill>
    </fill>
    <fill>
      <patternFill patternType="solid">
        <fgColor rgb="FFFF7416"/>
        <bgColor rgb="FFE3753E"/>
      </patternFill>
    </fill>
    <fill>
      <patternFill patternType="solid">
        <fgColor rgb="FFFFEFE5"/>
        <bgColor rgb="FFFBEEE9"/>
      </patternFill>
    </fill>
    <fill>
      <patternFill patternType="darkGray">
        <fgColor rgb="FFEB41E6"/>
        <bgColor rgb="FFC11E78"/>
      </patternFill>
    </fill>
    <fill>
      <patternFill patternType="darkGray">
        <fgColor rgb="FFFCE9FB"/>
        <bgColor rgb="FFF9E5EC"/>
      </patternFill>
    </fill>
    <fill>
      <patternFill patternType="solid">
        <fgColor rgb="FFCF1212"/>
        <bgColor rgb="FF9C0006"/>
      </patternFill>
    </fill>
    <fill>
      <patternFill patternType="darkGray">
        <fgColor rgb="FFF9E5EC"/>
        <bgColor rgb="FFEFE6DC"/>
      </patternFill>
    </fill>
    <fill>
      <patternFill patternType="darkGray">
        <fgColor rgb="FFFBCA54"/>
        <bgColor rgb="FFFFD700"/>
      </patternFill>
    </fill>
    <fill>
      <patternFill patternType="solid">
        <fgColor rgb="FFFBF8E7"/>
        <bgColor rgb="FFF7F5F1"/>
      </patternFill>
    </fill>
    <fill>
      <patternFill patternType="darkGray">
        <fgColor rgb="FFFD5246"/>
        <bgColor rgb="FFE3753E"/>
      </patternFill>
    </fill>
    <fill>
      <patternFill patternType="solid">
        <fgColor rgb="FFFFECEB"/>
        <bgColor rgb="FFFBEEE9"/>
      </patternFill>
    </fill>
    <fill>
      <patternFill patternType="darkGray">
        <fgColor rgb="FFA99989"/>
        <bgColor rgb="FFE3753E"/>
      </patternFill>
    </fill>
    <fill>
      <patternFill patternType="darkGray">
        <fgColor rgb="FFF7F5F1"/>
        <bgColor rgb="FFF2F2F2"/>
      </patternFill>
    </fill>
    <fill>
      <patternFill patternType="solid">
        <fgColor rgb="FFFFEB9A"/>
        <bgColor rgb="FFFFFF98"/>
      </patternFill>
    </fill>
    <fill>
      <patternFill patternType="darkGray">
        <fgColor rgb="FFFFFFF2"/>
        <bgColor rgb="FFFEFDFB"/>
      </patternFill>
    </fill>
    <fill>
      <patternFill patternType="solid">
        <fgColor rgb="FFF9E5EC"/>
        <bgColor rgb="FFFCE9FB"/>
      </patternFill>
    </fill>
    <fill>
      <patternFill patternType="mediumGray">
        <fgColor rgb="FF92D050"/>
        <bgColor rgb="FF12EAD8"/>
      </patternFill>
    </fill>
    <fill>
      <patternFill patternType="solid">
        <fgColor rgb="FFEAFAFB"/>
        <bgColor rgb="FFE5FEF7"/>
      </patternFill>
    </fill>
    <fill>
      <patternFill patternType="darkGray">
        <fgColor rgb="FF6E7182"/>
        <bgColor rgb="FF925900"/>
      </patternFill>
    </fill>
    <fill>
      <patternFill patternType="mediumGray">
        <fgColor rgb="FFEDEEF4"/>
        <bgColor rgb="FFECE7E8"/>
      </patternFill>
    </fill>
    <fill>
      <patternFill patternType="darkGray">
        <fgColor rgb="FFFF7416"/>
        <bgColor rgb="FFE3753E"/>
      </patternFill>
    </fill>
    <fill>
      <patternFill patternType="darkGray">
        <fgColor rgb="FFFFEFE5"/>
        <bgColor rgb="FFFFECEB"/>
      </patternFill>
    </fill>
    <fill>
      <patternFill patternType="mediumGray">
        <fgColor rgb="FF000000"/>
        <bgColor rgb="FF33292B"/>
      </patternFill>
    </fill>
    <fill>
      <patternFill patternType="solid">
        <fgColor rgb="FFFAB8BE"/>
        <bgColor rgb="FFFFC7CE"/>
      </patternFill>
    </fill>
    <fill>
      <patternFill patternType="darkGray">
        <fgColor rgb="FFFFF6F7"/>
        <bgColor rgb="FFF7F5F1"/>
      </patternFill>
    </fill>
    <fill>
      <patternFill patternType="mediumGray">
        <fgColor rgb="FFA99989"/>
        <bgColor rgb="FF6E7182"/>
      </patternFill>
    </fill>
    <fill>
      <patternFill patternType="solid">
        <fgColor rgb="FFF0F1F2"/>
        <bgColor rgb="FFF2F2F2"/>
      </patternFill>
    </fill>
    <fill>
      <patternFill patternType="darkGray">
        <fgColor rgb="FFE2F4FA"/>
        <bgColor rgb="FFE2F2F1"/>
      </patternFill>
    </fill>
    <fill>
      <patternFill patternType="solid">
        <fgColor rgb="FFFFEF45"/>
        <bgColor rgb="FFFFD700"/>
      </patternFill>
    </fill>
    <fill>
      <patternFill patternType="mediumGray">
        <fgColor rgb="FFFFFFF2"/>
        <bgColor rgb="FFFBF8E7"/>
      </patternFill>
    </fill>
    <fill>
      <patternFill patternType="darkGray">
        <fgColor rgb="FF70390A"/>
        <bgColor rgb="FF33292B"/>
      </patternFill>
    </fill>
    <fill>
      <patternFill patternType="solid">
        <fgColor rgb="FFECE7E8"/>
        <bgColor rgb="FFE6E6E7"/>
      </patternFill>
    </fill>
    <fill>
      <patternFill patternType="darkGray">
        <fgColor rgb="FF000000"/>
        <bgColor rgb="FF33292B"/>
      </patternFill>
    </fill>
    <fill>
      <patternFill patternType="solid">
        <fgColor rgb="FF0000FF"/>
        <bgColor rgb="FF1D356D"/>
      </patternFill>
    </fill>
    <fill>
      <patternFill patternType="darkGray">
        <fgColor rgb="FFF0F1F2"/>
        <bgColor rgb="FFEDEEF4"/>
      </patternFill>
    </fill>
    <fill>
      <patternFill patternType="solid">
        <fgColor rgb="FFFD5246"/>
        <bgColor rgb="FFFF7416"/>
      </patternFill>
    </fill>
    <fill>
      <patternFill patternType="mediumGray">
        <fgColor rgb="FFFFECEB"/>
        <bgColor rgb="FFF9E5EC"/>
      </patternFill>
    </fill>
    <fill>
      <patternFill patternType="mediumGray">
        <fgColor rgb="FF70390A"/>
        <bgColor rgb="FF33292B"/>
      </patternFill>
    </fill>
    <fill>
      <patternFill patternType="darkGray">
        <fgColor rgb="FFECE7E8"/>
        <bgColor rgb="FFE6E6E7"/>
      </patternFill>
    </fill>
    <fill>
      <patternFill patternType="darkGray">
        <fgColor rgb="FFFFEF45"/>
        <bgColor rgb="FFFBCA54"/>
      </patternFill>
    </fill>
    <fill>
      <patternFill patternType="darkGray">
        <fgColor rgb="FF137125"/>
        <bgColor rgb="FF10579E"/>
      </patternFill>
    </fill>
    <fill>
      <patternFill patternType="darkGray">
        <fgColor rgb="FFFFFF98"/>
        <bgColor rgb="FFFFF2CC"/>
      </patternFill>
    </fill>
    <fill>
      <patternFill patternType="mediumGray">
        <fgColor rgb="FFEB41E6"/>
        <bgColor rgb="FFFD5246"/>
      </patternFill>
    </fill>
    <fill>
      <patternFill patternType="mediumGray">
        <fgColor rgb="FFFCE9FB"/>
        <bgColor rgb="FFFFECEB"/>
      </patternFill>
    </fill>
    <fill>
      <patternFill patternType="solid">
        <fgColor rgb="FF10579E"/>
        <bgColor rgb="FF1D356D"/>
      </patternFill>
    </fill>
    <fill>
      <patternFill patternType="mediumGray">
        <fgColor rgb="FFE5E6F2"/>
        <bgColor rgb="FFE2F2F1"/>
      </patternFill>
    </fill>
    <fill>
      <patternFill patternType="darkGray">
        <fgColor rgb="FFE3753E"/>
        <bgColor rgb="FFA99989"/>
      </patternFill>
    </fill>
    <fill>
      <patternFill patternType="solid">
        <fgColor rgb="FFFBEEE9"/>
        <bgColor rgb="FFFFECEB"/>
      </patternFill>
    </fill>
    <fill>
      <patternFill patternType="darkGray">
        <fgColor rgb="FF1D356D"/>
        <bgColor rgb="FF33292B"/>
      </patternFill>
    </fill>
    <fill>
      <patternFill patternType="mediumGray">
        <fgColor rgb="FFE6E6E7"/>
        <bgColor rgb="FFE5E6F2"/>
      </patternFill>
    </fill>
    <fill>
      <patternFill patternType="darkGray">
        <fgColor rgb="FFB9D7ED"/>
        <bgColor rgb="FFB8CCE4"/>
      </patternFill>
    </fill>
    <fill>
      <patternFill patternType="solid">
        <fgColor rgb="FFF5FAFE"/>
        <bgColor rgb="FFF7F5F1"/>
      </patternFill>
    </fill>
    <fill>
      <patternFill patternType="darkGray">
        <fgColor rgb="FFFBF8E7"/>
        <bgColor rgb="FFF7F5F1"/>
      </patternFill>
    </fill>
    <fill>
      <patternFill patternType="mediumGray">
        <fgColor rgb="FF33292B"/>
        <bgColor rgb="FF70390A"/>
      </patternFill>
    </fill>
    <fill>
      <patternFill patternType="solid">
        <fgColor rgb="FFFFF2CC"/>
        <bgColor rgb="FFFFEFE5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11" fillId="55" borderId="1" xfId="0" applyFont="1" applyFill="1" applyBorder="1" applyAlignment="1">
      <alignment horizontal="center" vertical="center" wrapText="1"/>
    </xf>
    <xf numFmtId="0" fontId="5" fillId="56" borderId="1" xfId="0" applyFont="1" applyFill="1" applyBorder="1" applyAlignment="1">
      <alignment horizontal="center" vertical="center" wrapText="1"/>
    </xf>
    <xf numFmtId="0" fontId="11" fillId="57" borderId="1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center" wrapText="1"/>
    </xf>
    <xf numFmtId="0" fontId="11" fillId="59" borderId="1" xfId="0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11" fillId="65" borderId="1" xfId="0" applyFont="1" applyFill="1" applyBorder="1" applyAlignment="1">
      <alignment horizontal="center" vertical="center" wrapText="1"/>
    </xf>
    <xf numFmtId="0" fontId="5" fillId="66" borderId="1" xfId="0" applyFont="1" applyFill="1" applyBorder="1" applyAlignment="1">
      <alignment horizontal="center" vertical="center" wrapText="1"/>
    </xf>
    <xf numFmtId="0" fontId="11" fillId="67" borderId="1" xfId="0" applyFont="1" applyFill="1" applyBorder="1" applyAlignment="1">
      <alignment horizontal="center" vertical="center" wrapText="1"/>
    </xf>
    <xf numFmtId="0" fontId="5" fillId="68" borderId="1" xfId="0" applyFont="1" applyFill="1" applyBorder="1" applyAlignment="1">
      <alignment horizontal="center" vertical="center" wrapText="1"/>
    </xf>
    <xf numFmtId="0" fontId="11" fillId="69" borderId="1" xfId="0" applyFont="1" applyFill="1" applyBorder="1" applyAlignment="1">
      <alignment horizontal="center" vertical="center" wrapText="1"/>
    </xf>
    <xf numFmtId="0" fontId="11" fillId="70" borderId="1" xfId="0" applyFont="1" applyFill="1" applyBorder="1" applyAlignment="1">
      <alignment horizontal="center" vertical="center" wrapText="1"/>
    </xf>
    <xf numFmtId="0" fontId="5" fillId="71" borderId="1" xfId="0" applyFont="1" applyFill="1" applyBorder="1" applyAlignment="1">
      <alignment horizontal="center" vertical="center" wrapText="1"/>
    </xf>
    <xf numFmtId="0" fontId="11" fillId="72" borderId="1" xfId="0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11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5" fillId="77" borderId="1" xfId="0" applyFont="1" applyFill="1" applyBorder="1" applyAlignment="1">
      <alignment horizontal="center" vertical="center" wrapText="1"/>
    </xf>
    <xf numFmtId="0" fontId="5" fillId="78" borderId="1" xfId="0" applyFont="1" applyFill="1" applyBorder="1" applyAlignment="1">
      <alignment horizontal="center" vertical="center" wrapText="1"/>
    </xf>
    <xf numFmtId="0" fontId="11" fillId="79" borderId="1" xfId="0" applyFont="1" applyFill="1" applyBorder="1" applyAlignment="1">
      <alignment horizontal="center" vertical="center" wrapText="1"/>
    </xf>
    <xf numFmtId="0" fontId="5" fillId="80" borderId="1" xfId="0" applyFont="1" applyFill="1" applyBorder="1" applyAlignment="1">
      <alignment horizontal="center" vertical="center" wrapText="1"/>
    </xf>
    <xf numFmtId="0" fontId="11" fillId="81" borderId="1" xfId="0" applyFont="1" applyFill="1" applyBorder="1" applyAlignment="1">
      <alignment horizontal="center" vertical="center" wrapText="1"/>
    </xf>
    <xf numFmtId="0" fontId="11" fillId="82" borderId="1" xfId="0" applyFont="1" applyFill="1" applyBorder="1" applyAlignment="1">
      <alignment horizontal="center" vertical="center" wrapText="1"/>
    </xf>
    <xf numFmtId="0" fontId="5" fillId="83" borderId="1" xfId="0" applyFont="1" applyFill="1" applyBorder="1" applyAlignment="1">
      <alignment horizontal="center" vertical="center" wrapText="1"/>
    </xf>
    <xf numFmtId="0" fontId="11" fillId="84" borderId="1" xfId="0" applyFont="1" applyFill="1" applyBorder="1" applyAlignment="1">
      <alignment horizontal="center" vertical="center" wrapText="1"/>
    </xf>
    <xf numFmtId="0" fontId="5" fillId="85" borderId="1" xfId="0" applyFont="1" applyFill="1" applyBorder="1" applyAlignment="1">
      <alignment horizontal="center" vertical="center" wrapText="1"/>
    </xf>
    <xf numFmtId="0" fontId="11" fillId="86" borderId="1" xfId="0" applyFont="1" applyFill="1" applyBorder="1" applyAlignment="1">
      <alignment horizontal="center" vertical="center" wrapText="1"/>
    </xf>
    <xf numFmtId="0" fontId="5" fillId="87" borderId="1" xfId="0" applyFont="1" applyFill="1" applyBorder="1" applyAlignment="1">
      <alignment horizontal="center" vertical="center" wrapText="1"/>
    </xf>
    <xf numFmtId="0" fontId="5" fillId="88" borderId="1" xfId="0" applyFont="1" applyFill="1" applyBorder="1" applyAlignment="1">
      <alignment horizontal="center" vertical="center" wrapText="1"/>
    </xf>
    <xf numFmtId="0" fontId="11" fillId="89" borderId="1" xfId="0" applyFont="1" applyFill="1" applyBorder="1" applyAlignment="1">
      <alignment horizontal="center" vertical="center" wrapText="1"/>
    </xf>
    <xf numFmtId="0" fontId="5" fillId="90" borderId="1" xfId="0" applyFont="1" applyFill="1" applyBorder="1" applyAlignment="1">
      <alignment horizontal="center" vertical="center" wrapText="1"/>
    </xf>
    <xf numFmtId="0" fontId="11" fillId="91" borderId="1" xfId="0" applyFont="1" applyFill="1" applyBorder="1" applyAlignment="1">
      <alignment horizontal="center" vertical="center" wrapText="1"/>
    </xf>
    <xf numFmtId="0" fontId="5" fillId="92" borderId="1" xfId="0" applyFont="1" applyFill="1" applyBorder="1" applyAlignment="1">
      <alignment horizontal="center" vertical="center" wrapText="1"/>
    </xf>
    <xf numFmtId="0" fontId="11" fillId="93" borderId="1" xfId="0" applyFont="1" applyFill="1" applyBorder="1" applyAlignment="1">
      <alignment horizontal="center" vertical="center" wrapText="1"/>
    </xf>
    <xf numFmtId="0" fontId="5" fillId="94" borderId="1" xfId="0" applyFont="1" applyFill="1" applyBorder="1" applyAlignment="1">
      <alignment horizontal="center" vertical="center" wrapText="1"/>
    </xf>
    <xf numFmtId="0" fontId="5" fillId="95" borderId="1" xfId="0" applyFont="1" applyFill="1" applyBorder="1" applyAlignment="1">
      <alignment horizontal="center" vertical="center" wrapText="1"/>
    </xf>
    <xf numFmtId="0" fontId="5" fillId="96" borderId="1" xfId="0" applyFont="1" applyFill="1" applyBorder="1" applyAlignment="1">
      <alignment horizontal="center" vertical="center" wrapText="1"/>
    </xf>
    <xf numFmtId="0" fontId="5" fillId="97" borderId="1" xfId="0" applyFont="1" applyFill="1" applyBorder="1" applyAlignment="1">
      <alignment horizontal="center" vertical="center" wrapText="1"/>
    </xf>
    <xf numFmtId="0" fontId="11" fillId="98" borderId="1" xfId="0" applyFont="1" applyFill="1" applyBorder="1" applyAlignment="1">
      <alignment horizontal="center" vertical="center" wrapText="1"/>
    </xf>
    <xf numFmtId="0" fontId="5" fillId="99" borderId="1" xfId="0" applyFont="1" applyFill="1" applyBorder="1" applyAlignment="1">
      <alignment horizontal="center" vertical="center" wrapText="1"/>
    </xf>
    <xf numFmtId="0" fontId="11" fillId="100" borderId="1" xfId="0" applyFont="1" applyFill="1" applyBorder="1" applyAlignment="1">
      <alignment horizontal="center" vertical="center" wrapText="1"/>
    </xf>
    <xf numFmtId="0" fontId="5" fillId="101" borderId="1" xfId="0" applyFont="1" applyFill="1" applyBorder="1" applyAlignment="1">
      <alignment horizontal="center" vertical="center" wrapText="1"/>
    </xf>
    <xf numFmtId="0" fontId="11" fillId="102" borderId="1" xfId="0" applyFont="1" applyFill="1" applyBorder="1" applyAlignment="1">
      <alignment horizontal="center" vertical="center" wrapText="1"/>
    </xf>
    <xf numFmtId="0" fontId="5" fillId="103" borderId="1" xfId="0" applyFont="1" applyFill="1" applyBorder="1" applyAlignment="1">
      <alignment horizontal="center" vertical="center" wrapText="1"/>
    </xf>
    <xf numFmtId="0" fontId="11" fillId="104" borderId="1" xfId="0" applyFont="1" applyFill="1" applyBorder="1" applyAlignment="1">
      <alignment horizontal="center" vertical="center" wrapText="1"/>
    </xf>
    <xf numFmtId="0" fontId="5" fillId="105" borderId="1" xfId="0" applyFont="1" applyFill="1" applyBorder="1" applyAlignment="1">
      <alignment horizontal="center" vertical="center" wrapText="1"/>
    </xf>
    <xf numFmtId="0" fontId="11" fillId="106" borderId="1" xfId="0" applyFont="1" applyFill="1" applyBorder="1" applyAlignment="1">
      <alignment horizontal="center" vertical="center" wrapText="1"/>
    </xf>
    <xf numFmtId="0" fontId="5" fillId="107" borderId="1" xfId="0" applyFont="1" applyFill="1" applyBorder="1" applyAlignment="1">
      <alignment horizontal="center" vertical="center" wrapText="1"/>
    </xf>
    <xf numFmtId="0" fontId="5" fillId="10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10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10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F1212"/>
      <rgbColor rgb="FFEAFAFB"/>
      <rgbColor rgb="FF0000FF"/>
      <rgbColor rgb="FFFFEF45"/>
      <rgbColor rgb="FFEB41E6"/>
      <rgbColor rgb="FF12EAD8"/>
      <rgbColor rgb="FF9C0006"/>
      <rgbColor rgb="FF137125"/>
      <rgbColor rgb="FFFEFDFB"/>
      <rgbColor rgb="FF925900"/>
      <rgbColor rgb="FFFFECEB"/>
      <rgbColor rgb="FFF0F1F2"/>
      <rgbColor rgb="FFE2E2E1"/>
      <rgbColor rgb="FFEFE6DC"/>
      <rgbColor rgb="FFE5E6F2"/>
      <rgbColor rgb="FFC11E78"/>
      <rgbColor rgb="FFFFF2CC"/>
      <rgbColor rgb="FFE5FEF7"/>
      <rgbColor rgb="FFF7F5F1"/>
      <rgbColor rgb="FFE3753E"/>
      <rgbColor rgb="FF10579E"/>
      <rgbColor rgb="FFB8CCE4"/>
      <rgbColor rgb="FFFFFFF2"/>
      <rgbColor rgb="FFFCE9FB"/>
      <rgbColor rgb="FFFFEB9A"/>
      <rgbColor rgb="FFE2F2F1"/>
      <rgbColor rgb="FFFFEFE5"/>
      <rgbColor rgb="FFFBF8E7"/>
      <rgbColor rgb="FFEEF3FB"/>
      <rgbColor rgb="FFFFF6F7"/>
      <rgbColor rgb="FFEDEEF4"/>
      <rgbColor rgb="FFE2F4FA"/>
      <rgbColor rgb="FFC6EFCE"/>
      <rgbColor rgb="FFFFFF98"/>
      <rgbColor rgb="FFB9D7ED"/>
      <rgbColor rgb="FFFAB8BE"/>
      <rgbColor rgb="FFE0E3FF"/>
      <rgbColor rgb="FFFFC7CE"/>
      <rgbColor rgb="FFF9E5EC"/>
      <rgbColor rgb="FFE6E6E7"/>
      <rgbColor rgb="FF92D050"/>
      <rgbColor rgb="FFFFD700"/>
      <rgbColor rgb="FFFBCA54"/>
      <rgbColor rgb="FFFF7416"/>
      <rgbColor rgb="FF6E7182"/>
      <rgbColor rgb="FFA99989"/>
      <rgbColor rgb="FF1D356D"/>
      <rgbColor rgb="FFECE7E8"/>
      <rgbColor rgb="FFF5FAFE"/>
      <rgbColor rgb="FFFBEEE9"/>
      <rgbColor rgb="FF70390A"/>
      <rgbColor rgb="FFFD5246"/>
      <rgbColor rgb="FFF2F2F2"/>
      <rgbColor rgb="FF3329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65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208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148</v>
      </c>
    </row>
    <row r="7" spans="1:8" ht="18" customHeight="1" x14ac:dyDescent="0.25">
      <c r="A7" s="8" t="s">
        <v>5</v>
      </c>
      <c r="B7" s="12">
        <f>COUNTIF(Catalog!R3:R1000,"B")</f>
        <v>28</v>
      </c>
    </row>
    <row r="8" spans="1:8" ht="18" customHeight="1" x14ac:dyDescent="0.25">
      <c r="A8" s="8" t="s">
        <v>6</v>
      </c>
      <c r="B8" s="13">
        <f>COUNTIF(Catalog!R3:R1000,"C")</f>
        <v>32</v>
      </c>
    </row>
    <row r="9" spans="1:8" ht="18" customHeight="1" x14ac:dyDescent="0.25">
      <c r="A9" s="8" t="s">
        <v>7</v>
      </c>
      <c r="B9" s="14">
        <f>COUNTIF(Catalog!J3:J1000,"Yes")</f>
        <v>0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2026-09-17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COUNTIF(Catalog!A3:A700,"ABS")</f>
        <v>5</v>
      </c>
    </row>
    <row r="27" spans="1:8" ht="18" customHeight="1" x14ac:dyDescent="0.25">
      <c r="A27" s="21" t="s">
        <v>25</v>
      </c>
      <c r="B27" s="22">
        <f>COUNTIF(Catalog!A3:A700,"ABS (Easy)")</f>
        <v>2</v>
      </c>
    </row>
    <row r="28" spans="1:8" ht="18" customHeight="1" x14ac:dyDescent="0.25">
      <c r="A28" s="21" t="s">
        <v>26</v>
      </c>
      <c r="B28" s="22">
        <f>COUNTIF(Catalog!A3:A700,"ABS-FR")</f>
        <v>1</v>
      </c>
    </row>
    <row r="29" spans="1:8" ht="18" customHeight="1" x14ac:dyDescent="0.25">
      <c r="A29" s="21" t="s">
        <v>27</v>
      </c>
      <c r="B29" s="22">
        <f>COUNTIF(Catalog!A3:A700,"ABS-GF")</f>
        <v>1</v>
      </c>
    </row>
    <row r="30" spans="1:8" ht="18" customHeight="1" x14ac:dyDescent="0.25">
      <c r="A30" s="21" t="s">
        <v>28</v>
      </c>
      <c r="B30" s="22">
        <f>COUNTIF(Catalog!A3:A700,"ASA")</f>
        <v>8</v>
      </c>
    </row>
    <row r="31" spans="1:8" ht="18" customHeight="1" x14ac:dyDescent="0.25">
      <c r="A31" s="21" t="s">
        <v>29</v>
      </c>
      <c r="B31" s="22">
        <f>COUNTIF(Catalog!A3:A700,"PA")</f>
        <v>2</v>
      </c>
    </row>
    <row r="32" spans="1:8" ht="18" customHeight="1" x14ac:dyDescent="0.25">
      <c r="A32" s="21" t="s">
        <v>30</v>
      </c>
      <c r="B32" s="22">
        <f>COUNTIF(Catalog!A3:A700,"PA-CF")</f>
        <v>2</v>
      </c>
    </row>
    <row r="33" spans="1:2" ht="18" customHeight="1" x14ac:dyDescent="0.25">
      <c r="A33" s="21" t="s">
        <v>31</v>
      </c>
      <c r="B33" s="22">
        <f>COUNTIF(Catalog!A3:A700,"PA-GF")</f>
        <v>2</v>
      </c>
    </row>
    <row r="34" spans="1:2" ht="18" customHeight="1" x14ac:dyDescent="0.25">
      <c r="A34" s="21" t="s">
        <v>32</v>
      </c>
      <c r="B34" s="22">
        <f>COUNTIF(Catalog!A3:A700,"PC")</f>
        <v>1</v>
      </c>
    </row>
    <row r="35" spans="1:2" ht="18" customHeight="1" x14ac:dyDescent="0.25">
      <c r="A35" s="21" t="s">
        <v>33</v>
      </c>
      <c r="B35" s="22">
        <f>COUNTIF(Catalog!A3:A700,"PC-ABS")</f>
        <v>2</v>
      </c>
    </row>
    <row r="36" spans="1:2" ht="18" customHeight="1" x14ac:dyDescent="0.25">
      <c r="A36" s="21" t="s">
        <v>34</v>
      </c>
      <c r="B36" s="22">
        <f>COUNTIF(Catalog!A3:A700,"PEEK")</f>
        <v>1</v>
      </c>
    </row>
    <row r="37" spans="1:2" ht="18" customHeight="1" x14ac:dyDescent="0.25">
      <c r="A37" s="21" t="s">
        <v>35</v>
      </c>
      <c r="B37" s="22">
        <f>COUNTIF(Catalog!A3:A700,"PETG")</f>
        <v>30</v>
      </c>
    </row>
    <row r="38" spans="1:2" ht="18" customHeight="1" x14ac:dyDescent="0.25">
      <c r="A38" s="21" t="s">
        <v>36</v>
      </c>
      <c r="B38" s="22">
        <f>COUNTIF(Catalog!A3:A700,"PETG (High Speed)")</f>
        <v>1</v>
      </c>
    </row>
    <row r="39" spans="1:2" ht="18" customHeight="1" x14ac:dyDescent="0.25">
      <c r="A39" s="21" t="s">
        <v>37</v>
      </c>
      <c r="B39" s="22">
        <f>COUNTIF(Catalog!A3:A700,"PETG Glow")</f>
        <v>2</v>
      </c>
    </row>
    <row r="40" spans="1:2" ht="18" customHeight="1" x14ac:dyDescent="0.25">
      <c r="A40" s="21" t="s">
        <v>38</v>
      </c>
      <c r="B40" s="22">
        <f>COUNTIF(Catalog!A3:A700,"PETG Rainbow")</f>
        <v>1</v>
      </c>
    </row>
    <row r="41" spans="1:2" ht="18" customHeight="1" x14ac:dyDescent="0.25">
      <c r="A41" s="21" t="s">
        <v>39</v>
      </c>
      <c r="B41" s="22">
        <f>COUNTIF(Catalog!A3:A700,"PETG-CF")</f>
        <v>1</v>
      </c>
    </row>
    <row r="42" spans="1:2" ht="18" customHeight="1" x14ac:dyDescent="0.25">
      <c r="A42" s="21" t="s">
        <v>40</v>
      </c>
      <c r="B42" s="22">
        <f>COUNTIF(Catalog!A3:A700,"PLA")</f>
        <v>29</v>
      </c>
    </row>
    <row r="43" spans="1:2" ht="18" customHeight="1" x14ac:dyDescent="0.25">
      <c r="A43" s="21" t="s">
        <v>41</v>
      </c>
      <c r="B43" s="22">
        <f>COUNTIF(Catalog!A3:A700,"PLA &amp; Silk Rainbow")</f>
        <v>1</v>
      </c>
    </row>
    <row r="44" spans="1:2" ht="18" customHeight="1" x14ac:dyDescent="0.25">
      <c r="A44" s="21" t="s">
        <v>42</v>
      </c>
      <c r="B44" s="22">
        <f>COUNTIF(Catalog!A3:A700,"PLA (Anti-string)")</f>
        <v>1</v>
      </c>
    </row>
    <row r="45" spans="1:2" ht="18" customHeight="1" x14ac:dyDescent="0.25">
      <c r="A45" s="21" t="s">
        <v>43</v>
      </c>
      <c r="B45" s="22">
        <f>COUNTIF(Catalog!A3:A700,"PLA (High Speed)")</f>
        <v>1</v>
      </c>
    </row>
    <row r="46" spans="1:2" ht="18" customHeight="1" x14ac:dyDescent="0.25">
      <c r="A46" s="21" t="s">
        <v>44</v>
      </c>
      <c r="B46" s="22">
        <f>COUNTIF(Catalog!A3:A700,"PLA Galaxy")</f>
        <v>1</v>
      </c>
    </row>
    <row r="47" spans="1:2" ht="18" customHeight="1" x14ac:dyDescent="0.25">
      <c r="A47" s="21" t="s">
        <v>45</v>
      </c>
      <c r="B47" s="22">
        <f>COUNTIF(Catalog!A3:A700,"PLA Glow")</f>
        <v>4</v>
      </c>
    </row>
    <row r="48" spans="1:2" ht="18" customHeight="1" x14ac:dyDescent="0.25">
      <c r="A48" s="21" t="s">
        <v>46</v>
      </c>
      <c r="B48" s="22">
        <f>COUNTIF(Catalog!A3:A700,"PLA Marble")</f>
        <v>1</v>
      </c>
    </row>
    <row r="49" spans="1:2" ht="18" customHeight="1" x14ac:dyDescent="0.25">
      <c r="A49" s="21" t="s">
        <v>47</v>
      </c>
      <c r="B49" s="22">
        <f>COUNTIF(Catalog!A3:A700,"PLA Marble (High Speed)")</f>
        <v>6</v>
      </c>
    </row>
    <row r="50" spans="1:2" ht="18" customHeight="1" x14ac:dyDescent="0.25">
      <c r="A50" s="21" t="s">
        <v>48</v>
      </c>
      <c r="B50" s="22">
        <f>COUNTIF(Catalog!A3:A700,"PLA Matte")</f>
        <v>14</v>
      </c>
    </row>
    <row r="51" spans="1:2" ht="18" customHeight="1" x14ac:dyDescent="0.25">
      <c r="A51" s="21" t="s">
        <v>49</v>
      </c>
      <c r="B51" s="22">
        <f>COUNTIF(Catalog!A3:A700,"PLA Matte (High Speed)")</f>
        <v>1</v>
      </c>
    </row>
    <row r="52" spans="1:2" ht="18" customHeight="1" x14ac:dyDescent="0.25">
      <c r="A52" s="21" t="s">
        <v>50</v>
      </c>
      <c r="B52" s="22">
        <f>COUNTIF(Catalog!A3:A700,"PLA Meta")</f>
        <v>1</v>
      </c>
    </row>
    <row r="53" spans="1:2" ht="18" customHeight="1" x14ac:dyDescent="0.25">
      <c r="A53" s="21" t="s">
        <v>51</v>
      </c>
      <c r="B53" s="22">
        <f>COUNTIF(Catalog!A3:A700,"PLA Twinkling")</f>
        <v>1</v>
      </c>
    </row>
    <row r="54" spans="1:2" ht="18" customHeight="1" x14ac:dyDescent="0.25">
      <c r="A54" s="21" t="s">
        <v>52</v>
      </c>
      <c r="B54" s="22">
        <f>COUNTIF(Catalog!A3:A700,"PLA Wood")</f>
        <v>1</v>
      </c>
    </row>
    <row r="55" spans="1:2" ht="18" customHeight="1" x14ac:dyDescent="0.25">
      <c r="A55" s="21" t="s">
        <v>53</v>
      </c>
      <c r="B55" s="22">
        <f>COUNTIF(Catalog!A3:A700,"PLA+")</f>
        <v>38</v>
      </c>
    </row>
    <row r="56" spans="1:2" ht="18" customHeight="1" x14ac:dyDescent="0.25">
      <c r="A56" s="21" t="s">
        <v>54</v>
      </c>
      <c r="B56" s="22">
        <f>COUNTIF(Catalog!A3:A700,"PLA+ (High Speed)")</f>
        <v>1</v>
      </c>
    </row>
    <row r="57" spans="1:2" ht="18" customHeight="1" x14ac:dyDescent="0.25">
      <c r="A57" s="21" t="s">
        <v>55</v>
      </c>
      <c r="B57" s="22">
        <f>COUNTIF(Catalog!A3:A700,"PLA+ 2.0")</f>
        <v>11</v>
      </c>
    </row>
    <row r="58" spans="1:2" ht="18" customHeight="1" x14ac:dyDescent="0.25">
      <c r="A58" s="21" t="s">
        <v>56</v>
      </c>
      <c r="B58" s="22">
        <f>COUNTIF(Catalog!A3:A700,"PLA+ 2.0 (High Speed)")</f>
        <v>1</v>
      </c>
    </row>
    <row r="59" spans="1:2" ht="18" customHeight="1" x14ac:dyDescent="0.25">
      <c r="A59" s="21" t="s">
        <v>57</v>
      </c>
      <c r="B59" s="22">
        <f>COUNTIF(Catalog!A3:A700,"PLA-CF")</f>
        <v>1</v>
      </c>
    </row>
    <row r="60" spans="1:2" ht="18" customHeight="1" x14ac:dyDescent="0.25">
      <c r="A60" s="21" t="s">
        <v>58</v>
      </c>
      <c r="B60" s="22">
        <f>COUNTIF(Catalog!A3:A700,"PP")</f>
        <v>1</v>
      </c>
    </row>
    <row r="61" spans="1:2" ht="18" customHeight="1" x14ac:dyDescent="0.25">
      <c r="A61" s="21" t="s">
        <v>59</v>
      </c>
      <c r="B61" s="22">
        <f>COUNTIF(Catalog!A3:A700,"PVB")</f>
        <v>1</v>
      </c>
    </row>
    <row r="62" spans="1:2" ht="18" customHeight="1" x14ac:dyDescent="0.25">
      <c r="A62" s="21" t="s">
        <v>60</v>
      </c>
      <c r="B62" s="22">
        <f>COUNTIF(Catalog!A3:A700,"Silk Multi-Color")</f>
        <v>4</v>
      </c>
    </row>
    <row r="63" spans="1:2" ht="18" customHeight="1" x14ac:dyDescent="0.25">
      <c r="A63" s="21" t="s">
        <v>61</v>
      </c>
      <c r="B63" s="22">
        <f>COUNTIF(Catalog!A3:A700,"Silk PLA")</f>
        <v>8</v>
      </c>
    </row>
    <row r="64" spans="1:2" ht="18" customHeight="1" x14ac:dyDescent="0.25">
      <c r="A64" s="21" t="s">
        <v>62</v>
      </c>
      <c r="B64" s="22">
        <f>COUNTIF(Catalog!A3:A700,"TPU")</f>
        <v>14</v>
      </c>
    </row>
    <row r="65" spans="1:2" ht="18" customHeight="1" x14ac:dyDescent="0.25">
      <c r="A65" s="21" t="s">
        <v>63</v>
      </c>
      <c r="B65" s="22">
        <f>COUNTIF(Catalog!A3:A700,"TPU Silk")</f>
        <v>4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210"/>
  <sheetViews>
    <sheetView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22.42578125" bestFit="1" customWidth="1"/>
    <col min="2" max="2" width="18.5703125" bestFit="1" customWidth="1"/>
    <col min="3" max="3" width="28.7109375" bestFit="1" customWidth="1"/>
    <col min="4" max="4" width="21.5703125" bestFit="1" customWidth="1"/>
    <col min="5" max="5" width="12.28515625" bestFit="1" customWidth="1"/>
    <col min="6" max="6" width="14.42578125" bestFit="1" customWidth="1"/>
    <col min="7" max="7" width="13.8554687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81.7109375" bestFit="1" customWidth="1"/>
    <col min="12" max="12" width="37.710937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20" width="255.7109375" bestFit="1" customWidth="1"/>
  </cols>
  <sheetData>
    <row r="1" spans="1:20" ht="30" customHeight="1" x14ac:dyDescent="0.25">
      <c r="A1" s="2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65</v>
      </c>
      <c r="C2" s="23" t="s">
        <v>66</v>
      </c>
      <c r="D2" s="23" t="s">
        <v>67</v>
      </c>
      <c r="E2" s="23" t="s">
        <v>68</v>
      </c>
      <c r="F2" s="23" t="s">
        <v>69</v>
      </c>
      <c r="G2" s="23" t="s">
        <v>70</v>
      </c>
      <c r="H2" s="23" t="s">
        <v>71</v>
      </c>
      <c r="I2" s="23" t="s">
        <v>72</v>
      </c>
      <c r="J2" s="23" t="s">
        <v>73</v>
      </c>
      <c r="K2" s="23" t="s">
        <v>74</v>
      </c>
      <c r="L2" s="23" t="s">
        <v>75</v>
      </c>
      <c r="M2" s="23" t="s">
        <v>76</v>
      </c>
      <c r="N2" s="23" t="s">
        <v>77</v>
      </c>
      <c r="O2" s="23" t="s">
        <v>78</v>
      </c>
      <c r="P2" s="23" t="s">
        <v>79</v>
      </c>
      <c r="Q2" s="23" t="s">
        <v>80</v>
      </c>
      <c r="R2" s="23" t="s">
        <v>81</v>
      </c>
      <c r="S2" s="23" t="s">
        <v>82</v>
      </c>
      <c r="T2" s="23" t="s">
        <v>83</v>
      </c>
    </row>
    <row r="3" spans="1:20" ht="19.5" customHeight="1" x14ac:dyDescent="0.25">
      <c r="A3" s="24" t="s">
        <v>24</v>
      </c>
      <c r="B3" s="24" t="s">
        <v>84</v>
      </c>
      <c r="C3" s="24" t="s">
        <v>85</v>
      </c>
      <c r="D3" s="24" t="s">
        <v>86</v>
      </c>
      <c r="E3" s="25"/>
      <c r="F3" s="26" t="s">
        <v>87</v>
      </c>
      <c r="G3" s="19" t="s">
        <v>88</v>
      </c>
      <c r="H3" s="19" t="s">
        <v>89</v>
      </c>
      <c r="I3" s="19" t="s">
        <v>90</v>
      </c>
      <c r="J3" s="19" t="s">
        <v>91</v>
      </c>
      <c r="K3" s="19" t="s">
        <v>92</v>
      </c>
      <c r="L3" s="19" t="s">
        <v>93</v>
      </c>
      <c r="M3" s="19" t="s">
        <v>94</v>
      </c>
      <c r="N3" s="19" t="s">
        <v>95</v>
      </c>
      <c r="O3" s="19" t="s">
        <v>95</v>
      </c>
      <c r="P3" s="19" t="s">
        <v>95</v>
      </c>
      <c r="Q3" s="19" t="s">
        <v>95</v>
      </c>
      <c r="R3" s="19" t="s">
        <v>96</v>
      </c>
      <c r="S3" s="24" t="s">
        <v>97</v>
      </c>
      <c r="T3" s="24" t="s">
        <v>98</v>
      </c>
    </row>
    <row r="4" spans="1:20" ht="19.5" customHeight="1" x14ac:dyDescent="0.25">
      <c r="A4" s="27" t="s">
        <v>24</v>
      </c>
      <c r="B4" s="27" t="s">
        <v>99</v>
      </c>
      <c r="C4" s="27" t="s">
        <v>85</v>
      </c>
      <c r="D4" s="27" t="s">
        <v>100</v>
      </c>
      <c r="E4" s="28"/>
      <c r="F4" s="29" t="s">
        <v>101</v>
      </c>
      <c r="G4" s="30" t="s">
        <v>88</v>
      </c>
      <c r="H4" s="30" t="s">
        <v>89</v>
      </c>
      <c r="I4" s="30" t="s">
        <v>90</v>
      </c>
      <c r="J4" s="30" t="s">
        <v>91</v>
      </c>
      <c r="K4" s="30" t="s">
        <v>92</v>
      </c>
      <c r="L4" s="30" t="s">
        <v>93</v>
      </c>
      <c r="M4" s="30" t="s">
        <v>94</v>
      </c>
      <c r="N4" s="30" t="s">
        <v>95</v>
      </c>
      <c r="O4" s="30" t="s">
        <v>95</v>
      </c>
      <c r="P4" s="30" t="s">
        <v>95</v>
      </c>
      <c r="Q4" s="30" t="s">
        <v>95</v>
      </c>
      <c r="R4" s="30" t="s">
        <v>96</v>
      </c>
      <c r="S4" s="27" t="s">
        <v>97</v>
      </c>
      <c r="T4" s="27" t="s">
        <v>98</v>
      </c>
    </row>
    <row r="5" spans="1:20" ht="19.5" customHeight="1" x14ac:dyDescent="0.25">
      <c r="A5" s="24" t="s">
        <v>24</v>
      </c>
      <c r="B5" s="24" t="s">
        <v>102</v>
      </c>
      <c r="C5" s="24" t="s">
        <v>85</v>
      </c>
      <c r="D5" s="24" t="s">
        <v>103</v>
      </c>
      <c r="E5" s="31"/>
      <c r="F5" s="32" t="s">
        <v>104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95</v>
      </c>
      <c r="P5" s="19" t="s">
        <v>95</v>
      </c>
      <c r="Q5" s="19" t="s">
        <v>95</v>
      </c>
      <c r="R5" s="19" t="s">
        <v>96</v>
      </c>
      <c r="S5" s="24" t="s">
        <v>97</v>
      </c>
      <c r="T5" s="24" t="s">
        <v>98</v>
      </c>
    </row>
    <row r="6" spans="1:20" ht="19.5" customHeight="1" x14ac:dyDescent="0.25">
      <c r="A6" s="27" t="s">
        <v>24</v>
      </c>
      <c r="B6" s="27" t="s">
        <v>105</v>
      </c>
      <c r="C6" s="27" t="s">
        <v>85</v>
      </c>
      <c r="D6" s="27" t="s">
        <v>106</v>
      </c>
      <c r="E6" s="33"/>
      <c r="F6" s="34" t="s">
        <v>107</v>
      </c>
      <c r="G6" s="30" t="s">
        <v>88</v>
      </c>
      <c r="H6" s="30" t="s">
        <v>89</v>
      </c>
      <c r="I6" s="30" t="s">
        <v>90</v>
      </c>
      <c r="J6" s="30" t="s">
        <v>91</v>
      </c>
      <c r="K6" s="30" t="s">
        <v>92</v>
      </c>
      <c r="L6" s="30" t="s">
        <v>93</v>
      </c>
      <c r="M6" s="30" t="s">
        <v>94</v>
      </c>
      <c r="N6" s="30" t="s">
        <v>95</v>
      </c>
      <c r="O6" s="30" t="s">
        <v>95</v>
      </c>
      <c r="P6" s="30" t="s">
        <v>95</v>
      </c>
      <c r="Q6" s="30" t="s">
        <v>95</v>
      </c>
      <c r="R6" s="30" t="s">
        <v>96</v>
      </c>
      <c r="S6" s="27" t="s">
        <v>97</v>
      </c>
      <c r="T6" s="27" t="s">
        <v>98</v>
      </c>
    </row>
    <row r="7" spans="1:20" ht="19.5" customHeight="1" x14ac:dyDescent="0.25">
      <c r="A7" s="24" t="s">
        <v>24</v>
      </c>
      <c r="B7" s="24" t="s">
        <v>108</v>
      </c>
      <c r="C7" s="24" t="s">
        <v>85</v>
      </c>
      <c r="D7" s="24" t="s">
        <v>109</v>
      </c>
      <c r="E7" s="19"/>
      <c r="F7" s="35" t="s">
        <v>110</v>
      </c>
      <c r="G7" s="19" t="s">
        <v>88</v>
      </c>
      <c r="H7" s="19" t="s">
        <v>89</v>
      </c>
      <c r="I7" s="19" t="s">
        <v>90</v>
      </c>
      <c r="J7" s="19" t="s">
        <v>91</v>
      </c>
      <c r="K7" s="19" t="s">
        <v>92</v>
      </c>
      <c r="L7" s="19" t="s">
        <v>93</v>
      </c>
      <c r="M7" s="19" t="s">
        <v>94</v>
      </c>
      <c r="N7" s="19" t="s">
        <v>95</v>
      </c>
      <c r="O7" s="19" t="s">
        <v>95</v>
      </c>
      <c r="P7" s="19" t="s">
        <v>95</v>
      </c>
      <c r="Q7" s="19" t="s">
        <v>95</v>
      </c>
      <c r="R7" s="19" t="s">
        <v>96</v>
      </c>
      <c r="S7" s="24" t="s">
        <v>97</v>
      </c>
      <c r="T7" s="24" t="s">
        <v>98</v>
      </c>
    </row>
    <row r="8" spans="1:20" ht="19.5" customHeight="1" x14ac:dyDescent="0.25">
      <c r="A8" s="27" t="s">
        <v>25</v>
      </c>
      <c r="B8" s="27" t="s">
        <v>111</v>
      </c>
      <c r="C8" s="27" t="s">
        <v>112</v>
      </c>
      <c r="D8" s="27" t="s">
        <v>86</v>
      </c>
      <c r="E8" s="25"/>
      <c r="F8" s="26" t="s">
        <v>87</v>
      </c>
      <c r="G8" s="30" t="s">
        <v>88</v>
      </c>
      <c r="H8" s="30" t="s">
        <v>89</v>
      </c>
      <c r="I8" s="30" t="s">
        <v>90</v>
      </c>
      <c r="J8" s="30" t="s">
        <v>91</v>
      </c>
      <c r="K8" s="30" t="s">
        <v>113</v>
      </c>
      <c r="L8" s="30" t="s">
        <v>93</v>
      </c>
      <c r="M8" s="30" t="s">
        <v>94</v>
      </c>
      <c r="N8" s="30" t="s">
        <v>95</v>
      </c>
      <c r="O8" s="30" t="s">
        <v>95</v>
      </c>
      <c r="P8" s="30" t="s">
        <v>95</v>
      </c>
      <c r="Q8" s="30" t="s">
        <v>95</v>
      </c>
      <c r="R8" s="30" t="s">
        <v>114</v>
      </c>
      <c r="S8" s="27" t="s">
        <v>115</v>
      </c>
      <c r="T8" s="27" t="s">
        <v>116</v>
      </c>
    </row>
    <row r="9" spans="1:20" ht="19.5" customHeight="1" x14ac:dyDescent="0.25">
      <c r="A9" s="24" t="s">
        <v>25</v>
      </c>
      <c r="B9" s="24" t="s">
        <v>117</v>
      </c>
      <c r="C9" s="24" t="s">
        <v>112</v>
      </c>
      <c r="D9" s="24" t="s">
        <v>109</v>
      </c>
      <c r="E9" s="19"/>
      <c r="F9" s="35" t="s">
        <v>110</v>
      </c>
      <c r="G9" s="19" t="s">
        <v>88</v>
      </c>
      <c r="H9" s="19" t="s">
        <v>89</v>
      </c>
      <c r="I9" s="19" t="s">
        <v>90</v>
      </c>
      <c r="J9" s="19" t="s">
        <v>91</v>
      </c>
      <c r="K9" s="19" t="s">
        <v>113</v>
      </c>
      <c r="L9" s="19" t="s">
        <v>93</v>
      </c>
      <c r="M9" s="19" t="s">
        <v>94</v>
      </c>
      <c r="N9" s="19" t="s">
        <v>95</v>
      </c>
      <c r="O9" s="19" t="s">
        <v>95</v>
      </c>
      <c r="P9" s="19" t="s">
        <v>95</v>
      </c>
      <c r="Q9" s="19" t="s">
        <v>95</v>
      </c>
      <c r="R9" s="19" t="s">
        <v>114</v>
      </c>
      <c r="S9" s="24" t="s">
        <v>118</v>
      </c>
      <c r="T9" s="24" t="s">
        <v>116</v>
      </c>
    </row>
    <row r="10" spans="1:20" ht="19.5" customHeight="1" x14ac:dyDescent="0.25">
      <c r="A10" s="27" t="s">
        <v>26</v>
      </c>
      <c r="B10" s="27" t="s">
        <v>119</v>
      </c>
      <c r="C10" s="27" t="s">
        <v>120</v>
      </c>
      <c r="D10" s="27" t="s">
        <v>86</v>
      </c>
      <c r="E10" s="25"/>
      <c r="F10" s="26" t="s">
        <v>87</v>
      </c>
      <c r="G10" s="30" t="s">
        <v>88</v>
      </c>
      <c r="H10" s="30" t="s">
        <v>121</v>
      </c>
      <c r="I10" s="30" t="s">
        <v>90</v>
      </c>
      <c r="J10" s="30" t="s">
        <v>91</v>
      </c>
      <c r="K10" s="30" t="s">
        <v>122</v>
      </c>
      <c r="L10" s="30" t="s">
        <v>123</v>
      </c>
      <c r="M10" s="30" t="s">
        <v>124</v>
      </c>
      <c r="N10" s="30" t="s">
        <v>95</v>
      </c>
      <c r="O10" s="30" t="s">
        <v>95</v>
      </c>
      <c r="P10" s="30" t="s">
        <v>95</v>
      </c>
      <c r="Q10" s="30" t="s">
        <v>95</v>
      </c>
      <c r="R10" s="30" t="s">
        <v>114</v>
      </c>
      <c r="S10" s="27" t="s">
        <v>125</v>
      </c>
      <c r="T10" s="27" t="s">
        <v>126</v>
      </c>
    </row>
    <row r="11" spans="1:20" ht="19.5" customHeight="1" x14ac:dyDescent="0.25">
      <c r="A11" s="24" t="s">
        <v>27</v>
      </c>
      <c r="B11" s="24" t="s">
        <v>127</v>
      </c>
      <c r="C11" s="24" t="s">
        <v>128</v>
      </c>
      <c r="D11" s="24" t="s">
        <v>86</v>
      </c>
      <c r="E11" s="25"/>
      <c r="F11" s="26" t="s">
        <v>87</v>
      </c>
      <c r="G11" s="19" t="s">
        <v>88</v>
      </c>
      <c r="H11" s="19" t="s">
        <v>121</v>
      </c>
      <c r="I11" s="19" t="s">
        <v>90</v>
      </c>
      <c r="J11" s="19" t="s">
        <v>91</v>
      </c>
      <c r="K11" s="19" t="s">
        <v>122</v>
      </c>
      <c r="L11" s="19" t="s">
        <v>123</v>
      </c>
      <c r="M11" s="19" t="s">
        <v>124</v>
      </c>
      <c r="N11" s="19" t="s">
        <v>95</v>
      </c>
      <c r="O11" s="19" t="s">
        <v>95</v>
      </c>
      <c r="P11" s="19" t="s">
        <v>95</v>
      </c>
      <c r="Q11" s="19" t="s">
        <v>95</v>
      </c>
      <c r="R11" s="19" t="s">
        <v>114</v>
      </c>
      <c r="S11" s="24" t="s">
        <v>129</v>
      </c>
      <c r="T11" s="24" t="s">
        <v>130</v>
      </c>
    </row>
    <row r="12" spans="1:20" ht="19.5" customHeight="1" x14ac:dyDescent="0.25">
      <c r="A12" s="27" t="s">
        <v>28</v>
      </c>
      <c r="B12" s="27" t="s">
        <v>131</v>
      </c>
      <c r="C12" s="27" t="s">
        <v>132</v>
      </c>
      <c r="D12" s="27" t="s">
        <v>86</v>
      </c>
      <c r="E12" s="25"/>
      <c r="F12" s="26" t="s">
        <v>87</v>
      </c>
      <c r="G12" s="30" t="s">
        <v>88</v>
      </c>
      <c r="H12" s="30" t="s">
        <v>133</v>
      </c>
      <c r="I12" s="30" t="s">
        <v>90</v>
      </c>
      <c r="J12" s="30" t="s">
        <v>91</v>
      </c>
      <c r="K12" s="30" t="s">
        <v>92</v>
      </c>
      <c r="L12" s="30" t="s">
        <v>134</v>
      </c>
      <c r="M12" s="30" t="s">
        <v>94</v>
      </c>
      <c r="N12" s="30" t="s">
        <v>95</v>
      </c>
      <c r="O12" s="30" t="s">
        <v>95</v>
      </c>
      <c r="P12" s="30" t="s">
        <v>95</v>
      </c>
      <c r="Q12" s="30" t="s">
        <v>95</v>
      </c>
      <c r="R12" s="30" t="s">
        <v>96</v>
      </c>
      <c r="S12" s="27" t="s">
        <v>135</v>
      </c>
      <c r="T12" s="27" t="s">
        <v>136</v>
      </c>
    </row>
    <row r="13" spans="1:20" ht="19.5" customHeight="1" x14ac:dyDescent="0.25">
      <c r="A13" s="24" t="s">
        <v>28</v>
      </c>
      <c r="B13" s="24" t="s">
        <v>137</v>
      </c>
      <c r="C13" s="24" t="s">
        <v>132</v>
      </c>
      <c r="D13" s="24" t="s">
        <v>100</v>
      </c>
      <c r="E13" s="28"/>
      <c r="F13" s="29" t="s">
        <v>101</v>
      </c>
      <c r="G13" s="19" t="s">
        <v>88</v>
      </c>
      <c r="H13" s="19" t="s">
        <v>133</v>
      </c>
      <c r="I13" s="19" t="s">
        <v>90</v>
      </c>
      <c r="J13" s="19" t="s">
        <v>91</v>
      </c>
      <c r="K13" s="19" t="s">
        <v>92</v>
      </c>
      <c r="L13" s="19" t="s">
        <v>134</v>
      </c>
      <c r="M13" s="19" t="s">
        <v>94</v>
      </c>
      <c r="N13" s="19" t="s">
        <v>95</v>
      </c>
      <c r="O13" s="19" t="s">
        <v>95</v>
      </c>
      <c r="P13" s="19" t="s">
        <v>95</v>
      </c>
      <c r="Q13" s="19" t="s">
        <v>95</v>
      </c>
      <c r="R13" s="19" t="s">
        <v>96</v>
      </c>
      <c r="S13" s="24" t="s">
        <v>135</v>
      </c>
      <c r="T13" s="24" t="s">
        <v>136</v>
      </c>
    </row>
    <row r="14" spans="1:20" ht="19.5" customHeight="1" x14ac:dyDescent="0.25">
      <c r="A14" s="27" t="s">
        <v>28</v>
      </c>
      <c r="B14" s="27" t="s">
        <v>138</v>
      </c>
      <c r="C14" s="27" t="s">
        <v>132</v>
      </c>
      <c r="D14" s="27" t="s">
        <v>139</v>
      </c>
      <c r="E14" s="36"/>
      <c r="F14" s="37" t="s">
        <v>140</v>
      </c>
      <c r="G14" s="30" t="s">
        <v>88</v>
      </c>
      <c r="H14" s="30" t="s">
        <v>133</v>
      </c>
      <c r="I14" s="30" t="s">
        <v>90</v>
      </c>
      <c r="J14" s="30" t="s">
        <v>91</v>
      </c>
      <c r="K14" s="30" t="s">
        <v>92</v>
      </c>
      <c r="L14" s="30" t="s">
        <v>134</v>
      </c>
      <c r="M14" s="30" t="s">
        <v>94</v>
      </c>
      <c r="N14" s="30" t="s">
        <v>95</v>
      </c>
      <c r="O14" s="30" t="s">
        <v>95</v>
      </c>
      <c r="P14" s="30" t="s">
        <v>95</v>
      </c>
      <c r="Q14" s="30" t="s">
        <v>95</v>
      </c>
      <c r="R14" s="30" t="s">
        <v>96</v>
      </c>
      <c r="S14" s="27" t="s">
        <v>135</v>
      </c>
      <c r="T14" s="27" t="s">
        <v>136</v>
      </c>
    </row>
    <row r="15" spans="1:20" ht="19.5" customHeight="1" x14ac:dyDescent="0.25">
      <c r="A15" s="24" t="s">
        <v>28</v>
      </c>
      <c r="B15" s="24" t="s">
        <v>141</v>
      </c>
      <c r="C15" s="24" t="s">
        <v>132</v>
      </c>
      <c r="D15" s="24" t="s">
        <v>103</v>
      </c>
      <c r="E15" s="31"/>
      <c r="F15" s="32" t="s">
        <v>104</v>
      </c>
      <c r="G15" s="19" t="s">
        <v>88</v>
      </c>
      <c r="H15" s="19" t="s">
        <v>133</v>
      </c>
      <c r="I15" s="19" t="s">
        <v>90</v>
      </c>
      <c r="J15" s="19" t="s">
        <v>91</v>
      </c>
      <c r="K15" s="19" t="s">
        <v>92</v>
      </c>
      <c r="L15" s="19" t="s">
        <v>134</v>
      </c>
      <c r="M15" s="19" t="s">
        <v>94</v>
      </c>
      <c r="N15" s="19" t="s">
        <v>95</v>
      </c>
      <c r="O15" s="19" t="s">
        <v>95</v>
      </c>
      <c r="P15" s="19" t="s">
        <v>95</v>
      </c>
      <c r="Q15" s="19" t="s">
        <v>95</v>
      </c>
      <c r="R15" s="19" t="s">
        <v>96</v>
      </c>
      <c r="S15" s="24" t="s">
        <v>135</v>
      </c>
      <c r="T15" s="24" t="s">
        <v>136</v>
      </c>
    </row>
    <row r="16" spans="1:20" ht="19.5" customHeight="1" x14ac:dyDescent="0.25">
      <c r="A16" s="27" t="s">
        <v>28</v>
      </c>
      <c r="B16" s="27" t="s">
        <v>142</v>
      </c>
      <c r="C16" s="27" t="s">
        <v>132</v>
      </c>
      <c r="D16" s="27" t="s">
        <v>143</v>
      </c>
      <c r="E16" s="38"/>
      <c r="F16" s="39" t="s">
        <v>144</v>
      </c>
      <c r="G16" s="30" t="s">
        <v>88</v>
      </c>
      <c r="H16" s="30" t="s">
        <v>133</v>
      </c>
      <c r="I16" s="30" t="s">
        <v>90</v>
      </c>
      <c r="J16" s="30" t="s">
        <v>91</v>
      </c>
      <c r="K16" s="30" t="s">
        <v>92</v>
      </c>
      <c r="L16" s="30" t="s">
        <v>134</v>
      </c>
      <c r="M16" s="30" t="s">
        <v>94</v>
      </c>
      <c r="N16" s="30" t="s">
        <v>95</v>
      </c>
      <c r="O16" s="30" t="s">
        <v>95</v>
      </c>
      <c r="P16" s="30" t="s">
        <v>95</v>
      </c>
      <c r="Q16" s="30" t="s">
        <v>95</v>
      </c>
      <c r="R16" s="30" t="s">
        <v>96</v>
      </c>
      <c r="S16" s="27" t="s">
        <v>135</v>
      </c>
      <c r="T16" s="27" t="s">
        <v>145</v>
      </c>
    </row>
    <row r="17" spans="1:20" ht="19.5" customHeight="1" x14ac:dyDescent="0.25">
      <c r="A17" s="24" t="s">
        <v>28</v>
      </c>
      <c r="B17" s="24" t="s">
        <v>146</v>
      </c>
      <c r="C17" s="24" t="s">
        <v>132</v>
      </c>
      <c r="D17" s="24" t="s">
        <v>147</v>
      </c>
      <c r="E17" s="40"/>
      <c r="F17" s="41" t="s">
        <v>148</v>
      </c>
      <c r="G17" s="19" t="s">
        <v>88</v>
      </c>
      <c r="H17" s="19" t="s">
        <v>133</v>
      </c>
      <c r="I17" s="19" t="s">
        <v>90</v>
      </c>
      <c r="J17" s="19" t="s">
        <v>91</v>
      </c>
      <c r="K17" s="19" t="s">
        <v>92</v>
      </c>
      <c r="L17" s="19" t="s">
        <v>134</v>
      </c>
      <c r="M17" s="19" t="s">
        <v>94</v>
      </c>
      <c r="N17" s="19" t="s">
        <v>95</v>
      </c>
      <c r="O17" s="19" t="s">
        <v>95</v>
      </c>
      <c r="P17" s="19" t="s">
        <v>95</v>
      </c>
      <c r="Q17" s="19" t="s">
        <v>95</v>
      </c>
      <c r="R17" s="19" t="s">
        <v>96</v>
      </c>
      <c r="S17" s="24" t="s">
        <v>135</v>
      </c>
      <c r="T17" s="24" t="s">
        <v>136</v>
      </c>
    </row>
    <row r="18" spans="1:20" ht="19.5" customHeight="1" x14ac:dyDescent="0.25">
      <c r="A18" s="27" t="s">
        <v>28</v>
      </c>
      <c r="B18" s="27" t="s">
        <v>149</v>
      </c>
      <c r="C18" s="27" t="s">
        <v>132</v>
      </c>
      <c r="D18" s="27" t="s">
        <v>106</v>
      </c>
      <c r="E18" s="33"/>
      <c r="F18" s="34" t="s">
        <v>107</v>
      </c>
      <c r="G18" s="30" t="s">
        <v>88</v>
      </c>
      <c r="H18" s="30" t="s">
        <v>133</v>
      </c>
      <c r="I18" s="30" t="s">
        <v>90</v>
      </c>
      <c r="J18" s="30" t="s">
        <v>91</v>
      </c>
      <c r="K18" s="30" t="s">
        <v>92</v>
      </c>
      <c r="L18" s="30" t="s">
        <v>134</v>
      </c>
      <c r="M18" s="30" t="s">
        <v>94</v>
      </c>
      <c r="N18" s="30" t="s">
        <v>95</v>
      </c>
      <c r="O18" s="30" t="s">
        <v>95</v>
      </c>
      <c r="P18" s="30" t="s">
        <v>95</v>
      </c>
      <c r="Q18" s="30" t="s">
        <v>95</v>
      </c>
      <c r="R18" s="30" t="s">
        <v>96</v>
      </c>
      <c r="S18" s="27" t="s">
        <v>135</v>
      </c>
      <c r="T18" s="27" t="s">
        <v>136</v>
      </c>
    </row>
    <row r="19" spans="1:20" ht="19.5" customHeight="1" x14ac:dyDescent="0.25">
      <c r="A19" s="24" t="s">
        <v>28</v>
      </c>
      <c r="B19" s="24" t="s">
        <v>150</v>
      </c>
      <c r="C19" s="24" t="s">
        <v>132</v>
      </c>
      <c r="D19" s="24" t="s">
        <v>151</v>
      </c>
      <c r="E19" s="42"/>
      <c r="F19" s="43" t="s">
        <v>152</v>
      </c>
      <c r="G19" s="19" t="s">
        <v>88</v>
      </c>
      <c r="H19" s="19" t="s">
        <v>133</v>
      </c>
      <c r="I19" s="19" t="s">
        <v>90</v>
      </c>
      <c r="J19" s="19" t="s">
        <v>91</v>
      </c>
      <c r="K19" s="19" t="s">
        <v>92</v>
      </c>
      <c r="L19" s="19" t="s">
        <v>134</v>
      </c>
      <c r="M19" s="19" t="s">
        <v>94</v>
      </c>
      <c r="N19" s="19" t="s">
        <v>95</v>
      </c>
      <c r="O19" s="19" t="s">
        <v>95</v>
      </c>
      <c r="P19" s="19" t="s">
        <v>95</v>
      </c>
      <c r="Q19" s="19" t="s">
        <v>95</v>
      </c>
      <c r="R19" s="19" t="s">
        <v>96</v>
      </c>
      <c r="S19" s="24" t="s">
        <v>135</v>
      </c>
      <c r="T19" s="24" t="s">
        <v>136</v>
      </c>
    </row>
    <row r="20" spans="1:20" ht="19.5" customHeight="1" x14ac:dyDescent="0.25">
      <c r="A20" s="27" t="s">
        <v>29</v>
      </c>
      <c r="B20" s="27" t="s">
        <v>153</v>
      </c>
      <c r="C20" s="27" t="s">
        <v>154</v>
      </c>
      <c r="D20" s="27" t="s">
        <v>86</v>
      </c>
      <c r="E20" s="25"/>
      <c r="F20" s="26" t="s">
        <v>87</v>
      </c>
      <c r="G20" s="30" t="s">
        <v>88</v>
      </c>
      <c r="H20" s="30" t="s">
        <v>121</v>
      </c>
      <c r="I20" s="30" t="s">
        <v>90</v>
      </c>
      <c r="J20" s="30" t="s">
        <v>91</v>
      </c>
      <c r="K20" s="30" t="s">
        <v>122</v>
      </c>
      <c r="L20" s="30" t="s">
        <v>155</v>
      </c>
      <c r="M20" s="30" t="s">
        <v>156</v>
      </c>
      <c r="N20" s="30" t="s">
        <v>95</v>
      </c>
      <c r="O20" s="30" t="s">
        <v>95</v>
      </c>
      <c r="P20" s="30" t="s">
        <v>95</v>
      </c>
      <c r="Q20" s="30" t="s">
        <v>95</v>
      </c>
      <c r="R20" s="30" t="s">
        <v>114</v>
      </c>
      <c r="S20" s="27" t="s">
        <v>157</v>
      </c>
      <c r="T20" s="27" t="s">
        <v>126</v>
      </c>
    </row>
    <row r="21" spans="1:20" ht="19.5" customHeight="1" x14ac:dyDescent="0.25">
      <c r="A21" s="24" t="s">
        <v>29</v>
      </c>
      <c r="B21" s="24" t="s">
        <v>158</v>
      </c>
      <c r="C21" s="24" t="s">
        <v>154</v>
      </c>
      <c r="D21" s="24" t="s">
        <v>143</v>
      </c>
      <c r="E21" s="38"/>
      <c r="F21" s="39" t="s">
        <v>144</v>
      </c>
      <c r="G21" s="19" t="s">
        <v>88</v>
      </c>
      <c r="H21" s="19" t="s">
        <v>121</v>
      </c>
      <c r="I21" s="19" t="s">
        <v>90</v>
      </c>
      <c r="J21" s="19" t="s">
        <v>91</v>
      </c>
      <c r="K21" s="19" t="s">
        <v>122</v>
      </c>
      <c r="L21" s="19" t="s">
        <v>155</v>
      </c>
      <c r="M21" s="19" t="s">
        <v>156</v>
      </c>
      <c r="N21" s="19" t="s">
        <v>95</v>
      </c>
      <c r="O21" s="19" t="s">
        <v>95</v>
      </c>
      <c r="P21" s="19" t="s">
        <v>95</v>
      </c>
      <c r="Q21" s="19" t="s">
        <v>95</v>
      </c>
      <c r="R21" s="19" t="s">
        <v>114</v>
      </c>
      <c r="S21" s="24" t="s">
        <v>157</v>
      </c>
      <c r="T21" s="24" t="s">
        <v>159</v>
      </c>
    </row>
    <row r="22" spans="1:20" ht="19.5" customHeight="1" x14ac:dyDescent="0.25">
      <c r="A22" s="27" t="s">
        <v>30</v>
      </c>
      <c r="B22" s="27" t="s">
        <v>160</v>
      </c>
      <c r="C22" s="27" t="s">
        <v>161</v>
      </c>
      <c r="D22" s="27" t="s">
        <v>86</v>
      </c>
      <c r="E22" s="25"/>
      <c r="F22" s="26" t="s">
        <v>87</v>
      </c>
      <c r="G22" s="30" t="s">
        <v>88</v>
      </c>
      <c r="H22" s="30" t="s">
        <v>121</v>
      </c>
      <c r="I22" s="30" t="s">
        <v>90</v>
      </c>
      <c r="J22" s="30" t="s">
        <v>91</v>
      </c>
      <c r="K22" s="30" t="s">
        <v>162</v>
      </c>
      <c r="L22" s="30" t="s">
        <v>93</v>
      </c>
      <c r="M22" s="30" t="s">
        <v>163</v>
      </c>
      <c r="N22" s="30" t="s">
        <v>95</v>
      </c>
      <c r="O22" s="30" t="s">
        <v>95</v>
      </c>
      <c r="P22" s="30" t="s">
        <v>95</v>
      </c>
      <c r="Q22" s="30" t="s">
        <v>95</v>
      </c>
      <c r="R22" s="30" t="s">
        <v>164</v>
      </c>
      <c r="S22" s="27" t="s">
        <v>165</v>
      </c>
      <c r="T22" s="27" t="s">
        <v>126</v>
      </c>
    </row>
    <row r="23" spans="1:20" ht="19.5" customHeight="1" x14ac:dyDescent="0.25">
      <c r="A23" s="24" t="s">
        <v>30</v>
      </c>
      <c r="B23" s="24" t="s">
        <v>166</v>
      </c>
      <c r="C23" s="24" t="s">
        <v>167</v>
      </c>
      <c r="D23" s="24" t="s">
        <v>86</v>
      </c>
      <c r="E23" s="25"/>
      <c r="F23" s="26" t="s">
        <v>87</v>
      </c>
      <c r="G23" s="19" t="s">
        <v>88</v>
      </c>
      <c r="H23" s="19" t="s">
        <v>121</v>
      </c>
      <c r="I23" s="19" t="s">
        <v>90</v>
      </c>
      <c r="J23" s="19" t="s">
        <v>91</v>
      </c>
      <c r="K23" s="19" t="s">
        <v>162</v>
      </c>
      <c r="L23" s="19" t="s">
        <v>93</v>
      </c>
      <c r="M23" s="19" t="s">
        <v>156</v>
      </c>
      <c r="N23" s="19" t="s">
        <v>95</v>
      </c>
      <c r="O23" s="19" t="s">
        <v>95</v>
      </c>
      <c r="P23" s="19" t="s">
        <v>95</v>
      </c>
      <c r="Q23" s="19" t="s">
        <v>95</v>
      </c>
      <c r="R23" s="19" t="s">
        <v>164</v>
      </c>
      <c r="S23" s="24" t="s">
        <v>168</v>
      </c>
      <c r="T23" s="24" t="s">
        <v>126</v>
      </c>
    </row>
    <row r="24" spans="1:20" ht="19.5" customHeight="1" x14ac:dyDescent="0.25">
      <c r="A24" s="27" t="s">
        <v>31</v>
      </c>
      <c r="B24" s="27" t="s">
        <v>169</v>
      </c>
      <c r="C24" s="27" t="s">
        <v>170</v>
      </c>
      <c r="D24" s="27" t="s">
        <v>86</v>
      </c>
      <c r="E24" s="25"/>
      <c r="F24" s="26" t="s">
        <v>87</v>
      </c>
      <c r="G24" s="30" t="s">
        <v>88</v>
      </c>
      <c r="H24" s="30" t="s">
        <v>121</v>
      </c>
      <c r="I24" s="30" t="s">
        <v>90</v>
      </c>
      <c r="J24" s="30" t="s">
        <v>91</v>
      </c>
      <c r="K24" s="30" t="s">
        <v>162</v>
      </c>
      <c r="L24" s="30" t="s">
        <v>93</v>
      </c>
      <c r="M24" s="30" t="s">
        <v>156</v>
      </c>
      <c r="N24" s="30" t="s">
        <v>95</v>
      </c>
      <c r="O24" s="30" t="s">
        <v>95</v>
      </c>
      <c r="P24" s="30" t="s">
        <v>95</v>
      </c>
      <c r="Q24" s="30" t="s">
        <v>95</v>
      </c>
      <c r="R24" s="30" t="s">
        <v>114</v>
      </c>
      <c r="S24" s="27" t="s">
        <v>171</v>
      </c>
      <c r="T24" s="27" t="s">
        <v>126</v>
      </c>
    </row>
    <row r="25" spans="1:20" ht="19.5" customHeight="1" x14ac:dyDescent="0.25">
      <c r="A25" s="24" t="s">
        <v>31</v>
      </c>
      <c r="B25" s="24" t="s">
        <v>172</v>
      </c>
      <c r="C25" s="24" t="s">
        <v>170</v>
      </c>
      <c r="D25" s="24" t="s">
        <v>103</v>
      </c>
      <c r="E25" s="31"/>
      <c r="F25" s="32" t="s">
        <v>104</v>
      </c>
      <c r="G25" s="19" t="s">
        <v>88</v>
      </c>
      <c r="H25" s="19" t="s">
        <v>121</v>
      </c>
      <c r="I25" s="19" t="s">
        <v>90</v>
      </c>
      <c r="J25" s="19" t="s">
        <v>91</v>
      </c>
      <c r="K25" s="19" t="s">
        <v>162</v>
      </c>
      <c r="L25" s="19" t="s">
        <v>93</v>
      </c>
      <c r="M25" s="19" t="s">
        <v>156</v>
      </c>
      <c r="N25" s="19" t="s">
        <v>95</v>
      </c>
      <c r="O25" s="19" t="s">
        <v>95</v>
      </c>
      <c r="P25" s="19" t="s">
        <v>95</v>
      </c>
      <c r="Q25" s="19" t="s">
        <v>95</v>
      </c>
      <c r="R25" s="19" t="s">
        <v>114</v>
      </c>
      <c r="S25" s="24" t="s">
        <v>171</v>
      </c>
      <c r="T25" s="24" t="s">
        <v>126</v>
      </c>
    </row>
    <row r="26" spans="1:20" ht="19.5" customHeight="1" x14ac:dyDescent="0.25">
      <c r="A26" s="27" t="s">
        <v>32</v>
      </c>
      <c r="B26" s="27" t="s">
        <v>173</v>
      </c>
      <c r="C26" s="27" t="s">
        <v>174</v>
      </c>
      <c r="D26" s="27" t="s">
        <v>175</v>
      </c>
      <c r="E26" s="38"/>
      <c r="F26" s="39" t="s">
        <v>144</v>
      </c>
      <c r="G26" s="30" t="s">
        <v>88</v>
      </c>
      <c r="H26" s="30" t="s">
        <v>121</v>
      </c>
      <c r="I26" s="30" t="s">
        <v>90</v>
      </c>
      <c r="J26" s="30" t="s">
        <v>91</v>
      </c>
      <c r="K26" s="30" t="s">
        <v>162</v>
      </c>
      <c r="L26" s="30" t="s">
        <v>176</v>
      </c>
      <c r="M26" s="30" t="s">
        <v>177</v>
      </c>
      <c r="N26" s="30" t="s">
        <v>95</v>
      </c>
      <c r="O26" s="30" t="s">
        <v>95</v>
      </c>
      <c r="P26" s="30" t="s">
        <v>95</v>
      </c>
      <c r="Q26" s="30" t="s">
        <v>95</v>
      </c>
      <c r="R26" s="30" t="s">
        <v>114</v>
      </c>
      <c r="S26" s="27" t="s">
        <v>178</v>
      </c>
      <c r="T26" s="27" t="s">
        <v>159</v>
      </c>
    </row>
    <row r="27" spans="1:20" ht="19.5" customHeight="1" x14ac:dyDescent="0.25">
      <c r="A27" s="24" t="s">
        <v>33</v>
      </c>
      <c r="B27" s="24" t="s">
        <v>179</v>
      </c>
      <c r="C27" s="24" t="s">
        <v>180</v>
      </c>
      <c r="D27" s="24" t="s">
        <v>86</v>
      </c>
      <c r="E27" s="25"/>
      <c r="F27" s="26" t="s">
        <v>87</v>
      </c>
      <c r="G27" s="19" t="s">
        <v>88</v>
      </c>
      <c r="H27" s="19" t="s">
        <v>121</v>
      </c>
      <c r="I27" s="19" t="s">
        <v>90</v>
      </c>
      <c r="J27" s="19" t="s">
        <v>91</v>
      </c>
      <c r="K27" s="19" t="s">
        <v>181</v>
      </c>
      <c r="L27" s="19" t="s">
        <v>123</v>
      </c>
      <c r="M27" s="19" t="s">
        <v>124</v>
      </c>
      <c r="N27" s="19" t="s">
        <v>95</v>
      </c>
      <c r="O27" s="19" t="s">
        <v>95</v>
      </c>
      <c r="P27" s="19" t="s">
        <v>95</v>
      </c>
      <c r="Q27" s="19" t="s">
        <v>95</v>
      </c>
      <c r="R27" s="19" t="s">
        <v>114</v>
      </c>
      <c r="S27" s="24" t="s">
        <v>171</v>
      </c>
      <c r="T27" s="24" t="s">
        <v>126</v>
      </c>
    </row>
    <row r="28" spans="1:20" ht="19.5" customHeight="1" x14ac:dyDescent="0.25">
      <c r="A28" s="27" t="s">
        <v>33</v>
      </c>
      <c r="B28" s="27" t="s">
        <v>182</v>
      </c>
      <c r="C28" s="27" t="s">
        <v>180</v>
      </c>
      <c r="D28" s="27" t="s">
        <v>109</v>
      </c>
      <c r="E28" s="19"/>
      <c r="F28" s="35" t="s">
        <v>110</v>
      </c>
      <c r="G28" s="30" t="s">
        <v>88</v>
      </c>
      <c r="H28" s="30" t="s">
        <v>121</v>
      </c>
      <c r="I28" s="30" t="s">
        <v>90</v>
      </c>
      <c r="J28" s="30" t="s">
        <v>91</v>
      </c>
      <c r="K28" s="30" t="s">
        <v>181</v>
      </c>
      <c r="L28" s="30" t="s">
        <v>123</v>
      </c>
      <c r="M28" s="30" t="s">
        <v>124</v>
      </c>
      <c r="N28" s="30" t="s">
        <v>95</v>
      </c>
      <c r="O28" s="30" t="s">
        <v>95</v>
      </c>
      <c r="P28" s="30" t="s">
        <v>95</v>
      </c>
      <c r="Q28" s="30" t="s">
        <v>95</v>
      </c>
      <c r="R28" s="30" t="s">
        <v>114</v>
      </c>
      <c r="S28" s="27" t="s">
        <v>171</v>
      </c>
      <c r="T28" s="27" t="s">
        <v>126</v>
      </c>
    </row>
    <row r="29" spans="1:20" ht="19.5" customHeight="1" x14ac:dyDescent="0.25">
      <c r="A29" s="24" t="s">
        <v>34</v>
      </c>
      <c r="B29" s="24" t="s">
        <v>183</v>
      </c>
      <c r="C29" s="24" t="s">
        <v>184</v>
      </c>
      <c r="D29" s="24" t="s">
        <v>143</v>
      </c>
      <c r="E29" s="38"/>
      <c r="F29" s="39" t="s">
        <v>144</v>
      </c>
      <c r="G29" s="19" t="s">
        <v>88</v>
      </c>
      <c r="H29" s="19" t="s">
        <v>121</v>
      </c>
      <c r="I29" s="19" t="s">
        <v>90</v>
      </c>
      <c r="J29" s="19" t="s">
        <v>91</v>
      </c>
      <c r="K29" s="19" t="s">
        <v>185</v>
      </c>
      <c r="L29" s="19" t="s">
        <v>186</v>
      </c>
      <c r="M29" s="19" t="s">
        <v>187</v>
      </c>
      <c r="N29" s="19" t="s">
        <v>95</v>
      </c>
      <c r="O29" s="19" t="s">
        <v>95</v>
      </c>
      <c r="P29" s="19" t="s">
        <v>95</v>
      </c>
      <c r="Q29" s="19" t="s">
        <v>95</v>
      </c>
      <c r="R29" s="19" t="s">
        <v>114</v>
      </c>
      <c r="S29" s="24" t="s">
        <v>188</v>
      </c>
      <c r="T29" s="24" t="s">
        <v>189</v>
      </c>
    </row>
    <row r="30" spans="1:20" ht="19.5" customHeight="1" x14ac:dyDescent="0.25">
      <c r="A30" s="27" t="s">
        <v>35</v>
      </c>
      <c r="B30" s="27" t="s">
        <v>190</v>
      </c>
      <c r="C30" s="27" t="s">
        <v>191</v>
      </c>
      <c r="D30" s="27" t="s">
        <v>192</v>
      </c>
      <c r="E30" s="44"/>
      <c r="F30" s="45" t="s">
        <v>193</v>
      </c>
      <c r="G30" s="30" t="s">
        <v>88</v>
      </c>
      <c r="H30" s="30" t="s">
        <v>133</v>
      </c>
      <c r="I30" s="30" t="s">
        <v>90</v>
      </c>
      <c r="J30" s="30" t="s">
        <v>91</v>
      </c>
      <c r="K30" s="30" t="s">
        <v>194</v>
      </c>
      <c r="L30" s="30" t="s">
        <v>195</v>
      </c>
      <c r="M30" s="30" t="s">
        <v>196</v>
      </c>
      <c r="N30" s="30" t="s">
        <v>95</v>
      </c>
      <c r="O30" s="30" t="s">
        <v>95</v>
      </c>
      <c r="P30" s="30" t="s">
        <v>95</v>
      </c>
      <c r="Q30" s="30" t="s">
        <v>95</v>
      </c>
      <c r="R30" s="30" t="s">
        <v>96</v>
      </c>
      <c r="S30" s="27" t="s">
        <v>97</v>
      </c>
      <c r="T30" s="27" t="s">
        <v>197</v>
      </c>
    </row>
    <row r="31" spans="1:20" ht="19.5" customHeight="1" x14ac:dyDescent="0.25">
      <c r="A31" s="24" t="s">
        <v>35</v>
      </c>
      <c r="B31" s="24" t="s">
        <v>198</v>
      </c>
      <c r="C31" s="24" t="s">
        <v>191</v>
      </c>
      <c r="D31" s="24" t="s">
        <v>86</v>
      </c>
      <c r="E31" s="25"/>
      <c r="F31" s="26" t="s">
        <v>87</v>
      </c>
      <c r="G31" s="19" t="s">
        <v>88</v>
      </c>
      <c r="H31" s="19" t="s">
        <v>133</v>
      </c>
      <c r="I31" s="19" t="s">
        <v>90</v>
      </c>
      <c r="J31" s="19" t="s">
        <v>91</v>
      </c>
      <c r="K31" s="19" t="s">
        <v>194</v>
      </c>
      <c r="L31" s="19" t="s">
        <v>195</v>
      </c>
      <c r="M31" s="19" t="s">
        <v>196</v>
      </c>
      <c r="N31" s="19" t="s">
        <v>95</v>
      </c>
      <c r="O31" s="19" t="s">
        <v>95</v>
      </c>
      <c r="P31" s="19" t="s">
        <v>95</v>
      </c>
      <c r="Q31" s="19" t="s">
        <v>95</v>
      </c>
      <c r="R31" s="19" t="s">
        <v>96</v>
      </c>
      <c r="S31" s="24" t="s">
        <v>97</v>
      </c>
      <c r="T31" s="24" t="s">
        <v>197</v>
      </c>
    </row>
    <row r="32" spans="1:20" ht="19.5" customHeight="1" x14ac:dyDescent="0.25">
      <c r="A32" s="27" t="s">
        <v>35</v>
      </c>
      <c r="B32" s="27" t="s">
        <v>199</v>
      </c>
      <c r="C32" s="27" t="s">
        <v>191</v>
      </c>
      <c r="D32" s="27" t="s">
        <v>100</v>
      </c>
      <c r="E32" s="28"/>
      <c r="F32" s="29" t="s">
        <v>101</v>
      </c>
      <c r="G32" s="30" t="s">
        <v>88</v>
      </c>
      <c r="H32" s="30" t="s">
        <v>133</v>
      </c>
      <c r="I32" s="30" t="s">
        <v>90</v>
      </c>
      <c r="J32" s="30" t="s">
        <v>91</v>
      </c>
      <c r="K32" s="30" t="s">
        <v>194</v>
      </c>
      <c r="L32" s="30" t="s">
        <v>195</v>
      </c>
      <c r="M32" s="30" t="s">
        <v>196</v>
      </c>
      <c r="N32" s="30" t="s">
        <v>95</v>
      </c>
      <c r="O32" s="30" t="s">
        <v>95</v>
      </c>
      <c r="P32" s="30" t="s">
        <v>95</v>
      </c>
      <c r="Q32" s="30" t="s">
        <v>95</v>
      </c>
      <c r="R32" s="30" t="s">
        <v>96</v>
      </c>
      <c r="S32" s="27" t="s">
        <v>97</v>
      </c>
      <c r="T32" s="27" t="s">
        <v>197</v>
      </c>
    </row>
    <row r="33" spans="1:20" ht="19.5" customHeight="1" x14ac:dyDescent="0.25">
      <c r="A33" s="24" t="s">
        <v>35</v>
      </c>
      <c r="B33" s="24" t="s">
        <v>200</v>
      </c>
      <c r="C33" s="24" t="s">
        <v>191</v>
      </c>
      <c r="D33" s="24" t="s">
        <v>201</v>
      </c>
      <c r="E33" s="44"/>
      <c r="F33" s="45" t="s">
        <v>202</v>
      </c>
      <c r="G33" s="19" t="s">
        <v>88</v>
      </c>
      <c r="H33" s="19" t="s">
        <v>133</v>
      </c>
      <c r="I33" s="19" t="s">
        <v>90</v>
      </c>
      <c r="J33" s="19" t="s">
        <v>91</v>
      </c>
      <c r="K33" s="19" t="s">
        <v>194</v>
      </c>
      <c r="L33" s="19" t="s">
        <v>195</v>
      </c>
      <c r="M33" s="19" t="s">
        <v>196</v>
      </c>
      <c r="N33" s="19" t="s">
        <v>95</v>
      </c>
      <c r="O33" s="19" t="s">
        <v>95</v>
      </c>
      <c r="P33" s="19" t="s">
        <v>95</v>
      </c>
      <c r="Q33" s="19" t="s">
        <v>95</v>
      </c>
      <c r="R33" s="19" t="s">
        <v>96</v>
      </c>
      <c r="S33" s="24" t="s">
        <v>97</v>
      </c>
      <c r="T33" s="24" t="s">
        <v>197</v>
      </c>
    </row>
    <row r="34" spans="1:20" ht="19.5" customHeight="1" x14ac:dyDescent="0.25">
      <c r="A34" s="27" t="s">
        <v>35</v>
      </c>
      <c r="B34" s="27" t="s">
        <v>203</v>
      </c>
      <c r="C34" s="27" t="s">
        <v>191</v>
      </c>
      <c r="D34" s="27" t="s">
        <v>204</v>
      </c>
      <c r="E34" s="46"/>
      <c r="F34" s="47" t="s">
        <v>205</v>
      </c>
      <c r="G34" s="30" t="s">
        <v>88</v>
      </c>
      <c r="H34" s="30" t="s">
        <v>133</v>
      </c>
      <c r="I34" s="30" t="s">
        <v>90</v>
      </c>
      <c r="J34" s="30" t="s">
        <v>91</v>
      </c>
      <c r="K34" s="30" t="s">
        <v>194</v>
      </c>
      <c r="L34" s="30" t="s">
        <v>195</v>
      </c>
      <c r="M34" s="30" t="s">
        <v>196</v>
      </c>
      <c r="N34" s="30" t="s">
        <v>95</v>
      </c>
      <c r="O34" s="30" t="s">
        <v>95</v>
      </c>
      <c r="P34" s="30" t="s">
        <v>95</v>
      </c>
      <c r="Q34" s="30" t="s">
        <v>95</v>
      </c>
      <c r="R34" s="30" t="s">
        <v>96</v>
      </c>
      <c r="S34" s="27" t="s">
        <v>97</v>
      </c>
      <c r="T34" s="27" t="s">
        <v>197</v>
      </c>
    </row>
    <row r="35" spans="1:20" ht="19.5" customHeight="1" x14ac:dyDescent="0.25">
      <c r="A35" s="24" t="s">
        <v>35</v>
      </c>
      <c r="B35" s="24" t="s">
        <v>206</v>
      </c>
      <c r="C35" s="24" t="s">
        <v>191</v>
      </c>
      <c r="D35" s="24" t="s">
        <v>207</v>
      </c>
      <c r="E35" s="48"/>
      <c r="F35" s="49" t="s">
        <v>208</v>
      </c>
      <c r="G35" s="19" t="s">
        <v>88</v>
      </c>
      <c r="H35" s="19" t="s">
        <v>133</v>
      </c>
      <c r="I35" s="19" t="s">
        <v>90</v>
      </c>
      <c r="J35" s="19" t="s">
        <v>91</v>
      </c>
      <c r="K35" s="19" t="s">
        <v>194</v>
      </c>
      <c r="L35" s="19" t="s">
        <v>195</v>
      </c>
      <c r="M35" s="19" t="s">
        <v>196</v>
      </c>
      <c r="N35" s="19" t="s">
        <v>95</v>
      </c>
      <c r="O35" s="19" t="s">
        <v>95</v>
      </c>
      <c r="P35" s="19" t="s">
        <v>95</v>
      </c>
      <c r="Q35" s="19" t="s">
        <v>95</v>
      </c>
      <c r="R35" s="19" t="s">
        <v>96</v>
      </c>
      <c r="S35" s="24" t="s">
        <v>97</v>
      </c>
      <c r="T35" s="24" t="s">
        <v>197</v>
      </c>
    </row>
    <row r="36" spans="1:20" ht="19.5" customHeight="1" x14ac:dyDescent="0.25">
      <c r="A36" s="27" t="s">
        <v>35</v>
      </c>
      <c r="B36" s="27" t="s">
        <v>209</v>
      </c>
      <c r="C36" s="27" t="s">
        <v>191</v>
      </c>
      <c r="D36" s="27" t="s">
        <v>210</v>
      </c>
      <c r="E36" s="50"/>
      <c r="F36" s="51" t="s">
        <v>211</v>
      </c>
      <c r="G36" s="30" t="s">
        <v>88</v>
      </c>
      <c r="H36" s="30" t="s">
        <v>133</v>
      </c>
      <c r="I36" s="30" t="s">
        <v>90</v>
      </c>
      <c r="J36" s="30" t="s">
        <v>91</v>
      </c>
      <c r="K36" s="30" t="s">
        <v>194</v>
      </c>
      <c r="L36" s="30" t="s">
        <v>195</v>
      </c>
      <c r="M36" s="30" t="s">
        <v>196</v>
      </c>
      <c r="N36" s="30" t="s">
        <v>95</v>
      </c>
      <c r="O36" s="30" t="s">
        <v>95</v>
      </c>
      <c r="P36" s="30" t="s">
        <v>95</v>
      </c>
      <c r="Q36" s="30" t="s">
        <v>95</v>
      </c>
      <c r="R36" s="30" t="s">
        <v>96</v>
      </c>
      <c r="S36" s="27" t="s">
        <v>97</v>
      </c>
      <c r="T36" s="27" t="s">
        <v>197</v>
      </c>
    </row>
    <row r="37" spans="1:20" ht="19.5" customHeight="1" x14ac:dyDescent="0.25">
      <c r="A37" s="24" t="s">
        <v>35</v>
      </c>
      <c r="B37" s="24" t="s">
        <v>212</v>
      </c>
      <c r="C37" s="24" t="s">
        <v>191</v>
      </c>
      <c r="D37" s="24" t="s">
        <v>213</v>
      </c>
      <c r="E37" s="19"/>
      <c r="F37" s="35" t="s">
        <v>110</v>
      </c>
      <c r="G37" s="19" t="s">
        <v>88</v>
      </c>
      <c r="H37" s="19" t="s">
        <v>133</v>
      </c>
      <c r="I37" s="19" t="s">
        <v>90</v>
      </c>
      <c r="J37" s="19" t="s">
        <v>91</v>
      </c>
      <c r="K37" s="19" t="s">
        <v>214</v>
      </c>
      <c r="L37" s="19" t="s">
        <v>195</v>
      </c>
      <c r="M37" s="19" t="s">
        <v>196</v>
      </c>
      <c r="N37" s="19" t="s">
        <v>95</v>
      </c>
      <c r="O37" s="19" t="s">
        <v>95</v>
      </c>
      <c r="P37" s="19" t="s">
        <v>95</v>
      </c>
      <c r="Q37" s="19" t="s">
        <v>95</v>
      </c>
      <c r="R37" s="19" t="s">
        <v>96</v>
      </c>
      <c r="S37" s="24" t="s">
        <v>215</v>
      </c>
      <c r="T37" s="24" t="s">
        <v>216</v>
      </c>
    </row>
    <row r="38" spans="1:20" ht="19.5" customHeight="1" x14ac:dyDescent="0.25">
      <c r="A38" s="27" t="s">
        <v>35</v>
      </c>
      <c r="B38" s="27" t="s">
        <v>217</v>
      </c>
      <c r="C38" s="27" t="s">
        <v>191</v>
      </c>
      <c r="D38" s="27" t="s">
        <v>218</v>
      </c>
      <c r="E38" s="52"/>
      <c r="F38" s="53" t="s">
        <v>219</v>
      </c>
      <c r="G38" s="30" t="s">
        <v>88</v>
      </c>
      <c r="H38" s="30" t="s">
        <v>133</v>
      </c>
      <c r="I38" s="30" t="s">
        <v>90</v>
      </c>
      <c r="J38" s="30" t="s">
        <v>91</v>
      </c>
      <c r="K38" s="30" t="s">
        <v>194</v>
      </c>
      <c r="L38" s="30" t="s">
        <v>195</v>
      </c>
      <c r="M38" s="30" t="s">
        <v>196</v>
      </c>
      <c r="N38" s="30" t="s">
        <v>95</v>
      </c>
      <c r="O38" s="30" t="s">
        <v>95</v>
      </c>
      <c r="P38" s="30" t="s">
        <v>95</v>
      </c>
      <c r="Q38" s="30" t="s">
        <v>95</v>
      </c>
      <c r="R38" s="30" t="s">
        <v>96</v>
      </c>
      <c r="S38" s="27" t="s">
        <v>97</v>
      </c>
      <c r="T38" s="27" t="s">
        <v>197</v>
      </c>
    </row>
    <row r="39" spans="1:20" ht="19.5" customHeight="1" x14ac:dyDescent="0.25">
      <c r="A39" s="24" t="s">
        <v>35</v>
      </c>
      <c r="B39" s="24" t="s">
        <v>220</v>
      </c>
      <c r="C39" s="24" t="s">
        <v>191</v>
      </c>
      <c r="D39" s="24" t="s">
        <v>221</v>
      </c>
      <c r="E39" s="54"/>
      <c r="F39" s="55" t="s">
        <v>222</v>
      </c>
      <c r="G39" s="19" t="s">
        <v>88</v>
      </c>
      <c r="H39" s="19" t="s">
        <v>133</v>
      </c>
      <c r="I39" s="19" t="s">
        <v>90</v>
      </c>
      <c r="J39" s="19" t="s">
        <v>91</v>
      </c>
      <c r="K39" s="19" t="s">
        <v>194</v>
      </c>
      <c r="L39" s="19" t="s">
        <v>195</v>
      </c>
      <c r="M39" s="19" t="s">
        <v>196</v>
      </c>
      <c r="N39" s="19" t="s">
        <v>95</v>
      </c>
      <c r="O39" s="19" t="s">
        <v>95</v>
      </c>
      <c r="P39" s="19" t="s">
        <v>95</v>
      </c>
      <c r="Q39" s="19" t="s">
        <v>95</v>
      </c>
      <c r="R39" s="19" t="s">
        <v>96</v>
      </c>
      <c r="S39" s="24" t="s">
        <v>97</v>
      </c>
      <c r="T39" s="24" t="s">
        <v>197</v>
      </c>
    </row>
    <row r="40" spans="1:20" ht="19.5" customHeight="1" x14ac:dyDescent="0.25">
      <c r="A40" s="27" t="s">
        <v>35</v>
      </c>
      <c r="B40" s="27" t="s">
        <v>223</v>
      </c>
      <c r="C40" s="27" t="s">
        <v>191</v>
      </c>
      <c r="D40" s="27" t="s">
        <v>139</v>
      </c>
      <c r="E40" s="36"/>
      <c r="F40" s="37" t="s">
        <v>140</v>
      </c>
      <c r="G40" s="30" t="s">
        <v>88</v>
      </c>
      <c r="H40" s="30" t="s">
        <v>133</v>
      </c>
      <c r="I40" s="30" t="s">
        <v>90</v>
      </c>
      <c r="J40" s="30" t="s">
        <v>91</v>
      </c>
      <c r="K40" s="30" t="s">
        <v>194</v>
      </c>
      <c r="L40" s="30" t="s">
        <v>195</v>
      </c>
      <c r="M40" s="30" t="s">
        <v>196</v>
      </c>
      <c r="N40" s="30" t="s">
        <v>95</v>
      </c>
      <c r="O40" s="30" t="s">
        <v>95</v>
      </c>
      <c r="P40" s="30" t="s">
        <v>95</v>
      </c>
      <c r="Q40" s="30" t="s">
        <v>95</v>
      </c>
      <c r="R40" s="30" t="s">
        <v>96</v>
      </c>
      <c r="S40" s="27" t="s">
        <v>97</v>
      </c>
      <c r="T40" s="27" t="s">
        <v>197</v>
      </c>
    </row>
    <row r="41" spans="1:20" ht="19.5" customHeight="1" x14ac:dyDescent="0.25">
      <c r="A41" s="24" t="s">
        <v>35</v>
      </c>
      <c r="B41" s="24" t="s">
        <v>224</v>
      </c>
      <c r="C41" s="24" t="s">
        <v>191</v>
      </c>
      <c r="D41" s="24" t="s">
        <v>103</v>
      </c>
      <c r="E41" s="31"/>
      <c r="F41" s="32" t="s">
        <v>104</v>
      </c>
      <c r="G41" s="19" t="s">
        <v>88</v>
      </c>
      <c r="H41" s="19" t="s">
        <v>133</v>
      </c>
      <c r="I41" s="19" t="s">
        <v>90</v>
      </c>
      <c r="J41" s="19" t="s">
        <v>91</v>
      </c>
      <c r="K41" s="19" t="s">
        <v>194</v>
      </c>
      <c r="L41" s="19" t="s">
        <v>195</v>
      </c>
      <c r="M41" s="19" t="s">
        <v>196</v>
      </c>
      <c r="N41" s="19" t="s">
        <v>95</v>
      </c>
      <c r="O41" s="19" t="s">
        <v>95</v>
      </c>
      <c r="P41" s="19" t="s">
        <v>95</v>
      </c>
      <c r="Q41" s="19" t="s">
        <v>95</v>
      </c>
      <c r="R41" s="19" t="s">
        <v>96</v>
      </c>
      <c r="S41" s="24" t="s">
        <v>97</v>
      </c>
      <c r="T41" s="24" t="s">
        <v>197</v>
      </c>
    </row>
    <row r="42" spans="1:20" ht="19.5" customHeight="1" x14ac:dyDescent="0.25">
      <c r="A42" s="27" t="s">
        <v>35</v>
      </c>
      <c r="B42" s="27" t="s">
        <v>225</v>
      </c>
      <c r="C42" s="27" t="s">
        <v>191</v>
      </c>
      <c r="D42" s="27" t="s">
        <v>226</v>
      </c>
      <c r="E42" s="40"/>
      <c r="F42" s="41" t="s">
        <v>148</v>
      </c>
      <c r="G42" s="30" t="s">
        <v>88</v>
      </c>
      <c r="H42" s="30" t="s">
        <v>133</v>
      </c>
      <c r="I42" s="30" t="s">
        <v>90</v>
      </c>
      <c r="J42" s="30" t="s">
        <v>91</v>
      </c>
      <c r="K42" s="30" t="s">
        <v>194</v>
      </c>
      <c r="L42" s="30" t="s">
        <v>195</v>
      </c>
      <c r="M42" s="30" t="s">
        <v>196</v>
      </c>
      <c r="N42" s="30" t="s">
        <v>95</v>
      </c>
      <c r="O42" s="30" t="s">
        <v>95</v>
      </c>
      <c r="P42" s="30" t="s">
        <v>95</v>
      </c>
      <c r="Q42" s="30" t="s">
        <v>95</v>
      </c>
      <c r="R42" s="30" t="s">
        <v>96</v>
      </c>
      <c r="S42" s="27" t="s">
        <v>97</v>
      </c>
      <c r="T42" s="27" t="s">
        <v>197</v>
      </c>
    </row>
    <row r="43" spans="1:20" ht="19.5" customHeight="1" x14ac:dyDescent="0.25">
      <c r="A43" s="24" t="s">
        <v>35</v>
      </c>
      <c r="B43" s="24" t="s">
        <v>227</v>
      </c>
      <c r="C43" s="24" t="s">
        <v>191</v>
      </c>
      <c r="D43" s="24" t="s">
        <v>228</v>
      </c>
      <c r="E43" s="56"/>
      <c r="F43" s="57" t="s">
        <v>229</v>
      </c>
      <c r="G43" s="19" t="s">
        <v>88</v>
      </c>
      <c r="H43" s="19" t="s">
        <v>133</v>
      </c>
      <c r="I43" s="19" t="s">
        <v>90</v>
      </c>
      <c r="J43" s="19" t="s">
        <v>91</v>
      </c>
      <c r="K43" s="19" t="s">
        <v>194</v>
      </c>
      <c r="L43" s="19" t="s">
        <v>195</v>
      </c>
      <c r="M43" s="19" t="s">
        <v>196</v>
      </c>
      <c r="N43" s="19" t="s">
        <v>95</v>
      </c>
      <c r="O43" s="19" t="s">
        <v>95</v>
      </c>
      <c r="P43" s="19" t="s">
        <v>95</v>
      </c>
      <c r="Q43" s="19" t="s">
        <v>95</v>
      </c>
      <c r="R43" s="19" t="s">
        <v>96</v>
      </c>
      <c r="S43" s="24" t="s">
        <v>97</v>
      </c>
      <c r="T43" s="24" t="s">
        <v>197</v>
      </c>
    </row>
    <row r="44" spans="1:20" ht="19.5" customHeight="1" x14ac:dyDescent="0.25">
      <c r="A44" s="27" t="s">
        <v>35</v>
      </c>
      <c r="B44" s="27" t="s">
        <v>230</v>
      </c>
      <c r="C44" s="27" t="s">
        <v>191</v>
      </c>
      <c r="D44" s="27" t="s">
        <v>231</v>
      </c>
      <c r="E44" s="58"/>
      <c r="F44" s="59" t="s">
        <v>232</v>
      </c>
      <c r="G44" s="30" t="s">
        <v>88</v>
      </c>
      <c r="H44" s="30" t="s">
        <v>133</v>
      </c>
      <c r="I44" s="30" t="s">
        <v>90</v>
      </c>
      <c r="J44" s="30" t="s">
        <v>91</v>
      </c>
      <c r="K44" s="30" t="s">
        <v>194</v>
      </c>
      <c r="L44" s="30" t="s">
        <v>195</v>
      </c>
      <c r="M44" s="30" t="s">
        <v>196</v>
      </c>
      <c r="N44" s="30" t="s">
        <v>95</v>
      </c>
      <c r="O44" s="30" t="s">
        <v>95</v>
      </c>
      <c r="P44" s="30" t="s">
        <v>95</v>
      </c>
      <c r="Q44" s="30" t="s">
        <v>95</v>
      </c>
      <c r="R44" s="30" t="s">
        <v>96</v>
      </c>
      <c r="S44" s="27" t="s">
        <v>97</v>
      </c>
      <c r="T44" s="27" t="s">
        <v>197</v>
      </c>
    </row>
    <row r="45" spans="1:20" ht="19.5" customHeight="1" x14ac:dyDescent="0.25">
      <c r="A45" s="24" t="s">
        <v>35</v>
      </c>
      <c r="B45" s="24" t="s">
        <v>233</v>
      </c>
      <c r="C45" s="24" t="s">
        <v>191</v>
      </c>
      <c r="D45" s="24" t="s">
        <v>234</v>
      </c>
      <c r="E45" s="60"/>
      <c r="F45" s="61" t="s">
        <v>235</v>
      </c>
      <c r="G45" s="19" t="s">
        <v>88</v>
      </c>
      <c r="H45" s="19" t="s">
        <v>133</v>
      </c>
      <c r="I45" s="19" t="s">
        <v>90</v>
      </c>
      <c r="J45" s="19" t="s">
        <v>91</v>
      </c>
      <c r="K45" s="19" t="s">
        <v>194</v>
      </c>
      <c r="L45" s="19" t="s">
        <v>195</v>
      </c>
      <c r="M45" s="19" t="s">
        <v>196</v>
      </c>
      <c r="N45" s="19" t="s">
        <v>95</v>
      </c>
      <c r="O45" s="19" t="s">
        <v>95</v>
      </c>
      <c r="P45" s="19" t="s">
        <v>95</v>
      </c>
      <c r="Q45" s="19" t="s">
        <v>95</v>
      </c>
      <c r="R45" s="19" t="s">
        <v>96</v>
      </c>
      <c r="S45" s="24" t="s">
        <v>97</v>
      </c>
      <c r="T45" s="24" t="s">
        <v>197</v>
      </c>
    </row>
    <row r="46" spans="1:20" ht="19.5" customHeight="1" x14ac:dyDescent="0.25">
      <c r="A46" s="27" t="s">
        <v>35</v>
      </c>
      <c r="B46" s="27" t="s">
        <v>236</v>
      </c>
      <c r="C46" s="27" t="s">
        <v>191</v>
      </c>
      <c r="D46" s="27" t="s">
        <v>237</v>
      </c>
      <c r="E46" s="62"/>
      <c r="F46" s="63" t="s">
        <v>238</v>
      </c>
      <c r="G46" s="30" t="s">
        <v>88</v>
      </c>
      <c r="H46" s="30" t="s">
        <v>133</v>
      </c>
      <c r="I46" s="30" t="s">
        <v>90</v>
      </c>
      <c r="J46" s="30" t="s">
        <v>91</v>
      </c>
      <c r="K46" s="30" t="s">
        <v>194</v>
      </c>
      <c r="L46" s="30" t="s">
        <v>195</v>
      </c>
      <c r="M46" s="30" t="s">
        <v>196</v>
      </c>
      <c r="N46" s="30" t="s">
        <v>95</v>
      </c>
      <c r="O46" s="30" t="s">
        <v>95</v>
      </c>
      <c r="P46" s="30" t="s">
        <v>95</v>
      </c>
      <c r="Q46" s="30" t="s">
        <v>95</v>
      </c>
      <c r="R46" s="30" t="s">
        <v>96</v>
      </c>
      <c r="S46" s="27" t="s">
        <v>97</v>
      </c>
      <c r="T46" s="27" t="s">
        <v>197</v>
      </c>
    </row>
    <row r="47" spans="1:20" ht="19.5" customHeight="1" x14ac:dyDescent="0.25">
      <c r="A47" s="24" t="s">
        <v>35</v>
      </c>
      <c r="B47" s="24" t="s">
        <v>239</v>
      </c>
      <c r="C47" s="24" t="s">
        <v>191</v>
      </c>
      <c r="D47" s="24" t="s">
        <v>240</v>
      </c>
      <c r="E47" s="64"/>
      <c r="F47" s="65" t="s">
        <v>241</v>
      </c>
      <c r="G47" s="19" t="s">
        <v>88</v>
      </c>
      <c r="H47" s="19" t="s">
        <v>133</v>
      </c>
      <c r="I47" s="19" t="s">
        <v>90</v>
      </c>
      <c r="J47" s="19" t="s">
        <v>91</v>
      </c>
      <c r="K47" s="19" t="s">
        <v>194</v>
      </c>
      <c r="L47" s="19" t="s">
        <v>195</v>
      </c>
      <c r="M47" s="19" t="s">
        <v>196</v>
      </c>
      <c r="N47" s="19" t="s">
        <v>95</v>
      </c>
      <c r="O47" s="19" t="s">
        <v>95</v>
      </c>
      <c r="P47" s="19" t="s">
        <v>95</v>
      </c>
      <c r="Q47" s="19" t="s">
        <v>95</v>
      </c>
      <c r="R47" s="19" t="s">
        <v>96</v>
      </c>
      <c r="S47" s="24" t="s">
        <v>97</v>
      </c>
      <c r="T47" s="24" t="s">
        <v>197</v>
      </c>
    </row>
    <row r="48" spans="1:20" ht="19.5" customHeight="1" x14ac:dyDescent="0.25">
      <c r="A48" s="27" t="s">
        <v>35</v>
      </c>
      <c r="B48" s="27" t="s">
        <v>242</v>
      </c>
      <c r="C48" s="27" t="s">
        <v>191</v>
      </c>
      <c r="D48" s="27" t="s">
        <v>243</v>
      </c>
      <c r="E48" s="38"/>
      <c r="F48" s="39" t="s">
        <v>144</v>
      </c>
      <c r="G48" s="30" t="s">
        <v>88</v>
      </c>
      <c r="H48" s="30" t="s">
        <v>133</v>
      </c>
      <c r="I48" s="30" t="s">
        <v>90</v>
      </c>
      <c r="J48" s="30" t="s">
        <v>91</v>
      </c>
      <c r="K48" s="30" t="s">
        <v>194</v>
      </c>
      <c r="L48" s="30" t="s">
        <v>195</v>
      </c>
      <c r="M48" s="30" t="s">
        <v>196</v>
      </c>
      <c r="N48" s="30" t="s">
        <v>95</v>
      </c>
      <c r="O48" s="30" t="s">
        <v>95</v>
      </c>
      <c r="P48" s="30" t="s">
        <v>95</v>
      </c>
      <c r="Q48" s="30" t="s">
        <v>95</v>
      </c>
      <c r="R48" s="30" t="s">
        <v>96</v>
      </c>
      <c r="S48" s="27" t="s">
        <v>97</v>
      </c>
      <c r="T48" s="27" t="s">
        <v>244</v>
      </c>
    </row>
    <row r="49" spans="1:20" ht="19.5" customHeight="1" x14ac:dyDescent="0.25">
      <c r="A49" s="24" t="s">
        <v>35</v>
      </c>
      <c r="B49" s="24" t="s">
        <v>245</v>
      </c>
      <c r="C49" s="24" t="s">
        <v>191</v>
      </c>
      <c r="D49" s="24" t="s">
        <v>106</v>
      </c>
      <c r="E49" s="33"/>
      <c r="F49" s="34" t="s">
        <v>107</v>
      </c>
      <c r="G49" s="19" t="s">
        <v>88</v>
      </c>
      <c r="H49" s="19" t="s">
        <v>133</v>
      </c>
      <c r="I49" s="19" t="s">
        <v>90</v>
      </c>
      <c r="J49" s="19" t="s">
        <v>91</v>
      </c>
      <c r="K49" s="19" t="s">
        <v>194</v>
      </c>
      <c r="L49" s="19" t="s">
        <v>195</v>
      </c>
      <c r="M49" s="19" t="s">
        <v>196</v>
      </c>
      <c r="N49" s="19" t="s">
        <v>95</v>
      </c>
      <c r="O49" s="19" t="s">
        <v>95</v>
      </c>
      <c r="P49" s="19" t="s">
        <v>95</v>
      </c>
      <c r="Q49" s="19" t="s">
        <v>95</v>
      </c>
      <c r="R49" s="19" t="s">
        <v>96</v>
      </c>
      <c r="S49" s="24" t="s">
        <v>97</v>
      </c>
      <c r="T49" s="24" t="s">
        <v>197</v>
      </c>
    </row>
    <row r="50" spans="1:20" ht="19.5" customHeight="1" x14ac:dyDescent="0.25">
      <c r="A50" s="27" t="s">
        <v>35</v>
      </c>
      <c r="B50" s="27" t="s">
        <v>246</v>
      </c>
      <c r="C50" s="27" t="s">
        <v>191</v>
      </c>
      <c r="D50" s="27" t="s">
        <v>247</v>
      </c>
      <c r="E50" s="38"/>
      <c r="F50" s="39" t="s">
        <v>144</v>
      </c>
      <c r="G50" s="30" t="s">
        <v>88</v>
      </c>
      <c r="H50" s="30" t="s">
        <v>133</v>
      </c>
      <c r="I50" s="30" t="s">
        <v>90</v>
      </c>
      <c r="J50" s="30" t="s">
        <v>91</v>
      </c>
      <c r="K50" s="30" t="s">
        <v>194</v>
      </c>
      <c r="L50" s="30" t="s">
        <v>195</v>
      </c>
      <c r="M50" s="30" t="s">
        <v>196</v>
      </c>
      <c r="N50" s="30" t="s">
        <v>95</v>
      </c>
      <c r="O50" s="30" t="s">
        <v>95</v>
      </c>
      <c r="P50" s="30" t="s">
        <v>95</v>
      </c>
      <c r="Q50" s="30" t="s">
        <v>95</v>
      </c>
      <c r="R50" s="30" t="s">
        <v>96</v>
      </c>
      <c r="S50" s="27" t="s">
        <v>97</v>
      </c>
      <c r="T50" s="27" t="s">
        <v>244</v>
      </c>
    </row>
    <row r="51" spans="1:20" ht="19.5" customHeight="1" x14ac:dyDescent="0.25">
      <c r="A51" s="24" t="s">
        <v>35</v>
      </c>
      <c r="B51" s="24" t="s">
        <v>248</v>
      </c>
      <c r="C51" s="24" t="s">
        <v>191</v>
      </c>
      <c r="D51" s="24" t="s">
        <v>249</v>
      </c>
      <c r="E51" s="66"/>
      <c r="F51" s="67" t="s">
        <v>250</v>
      </c>
      <c r="G51" s="19" t="s">
        <v>88</v>
      </c>
      <c r="H51" s="19" t="s">
        <v>133</v>
      </c>
      <c r="I51" s="19" t="s">
        <v>90</v>
      </c>
      <c r="J51" s="19" t="s">
        <v>91</v>
      </c>
      <c r="K51" s="19" t="s">
        <v>194</v>
      </c>
      <c r="L51" s="19" t="s">
        <v>195</v>
      </c>
      <c r="M51" s="19" t="s">
        <v>196</v>
      </c>
      <c r="N51" s="19" t="s">
        <v>95</v>
      </c>
      <c r="O51" s="19" t="s">
        <v>95</v>
      </c>
      <c r="P51" s="19" t="s">
        <v>95</v>
      </c>
      <c r="Q51" s="19" t="s">
        <v>95</v>
      </c>
      <c r="R51" s="19" t="s">
        <v>96</v>
      </c>
      <c r="S51" s="24" t="s">
        <v>97</v>
      </c>
      <c r="T51" s="24" t="s">
        <v>197</v>
      </c>
    </row>
    <row r="52" spans="1:20" ht="19.5" customHeight="1" x14ac:dyDescent="0.25">
      <c r="A52" s="27" t="s">
        <v>35</v>
      </c>
      <c r="B52" s="27" t="s">
        <v>251</v>
      </c>
      <c r="C52" s="27" t="s">
        <v>191</v>
      </c>
      <c r="D52" s="27" t="s">
        <v>252</v>
      </c>
      <c r="E52" s="68"/>
      <c r="F52" s="69" t="s">
        <v>253</v>
      </c>
      <c r="G52" s="30" t="s">
        <v>88</v>
      </c>
      <c r="H52" s="30" t="s">
        <v>133</v>
      </c>
      <c r="I52" s="30" t="s">
        <v>90</v>
      </c>
      <c r="J52" s="30" t="s">
        <v>91</v>
      </c>
      <c r="K52" s="30" t="s">
        <v>194</v>
      </c>
      <c r="L52" s="30" t="s">
        <v>195</v>
      </c>
      <c r="M52" s="30" t="s">
        <v>196</v>
      </c>
      <c r="N52" s="30" t="s">
        <v>95</v>
      </c>
      <c r="O52" s="30" t="s">
        <v>95</v>
      </c>
      <c r="P52" s="30" t="s">
        <v>95</v>
      </c>
      <c r="Q52" s="30" t="s">
        <v>95</v>
      </c>
      <c r="R52" s="30" t="s">
        <v>96</v>
      </c>
      <c r="S52" s="27" t="s">
        <v>97</v>
      </c>
      <c r="T52" s="27" t="s">
        <v>197</v>
      </c>
    </row>
    <row r="53" spans="1:20" ht="19.5" customHeight="1" x14ac:dyDescent="0.25">
      <c r="A53" s="24" t="s">
        <v>35</v>
      </c>
      <c r="B53" s="24" t="s">
        <v>254</v>
      </c>
      <c r="C53" s="24" t="s">
        <v>191</v>
      </c>
      <c r="D53" s="24" t="s">
        <v>255</v>
      </c>
      <c r="E53" s="70"/>
      <c r="F53" s="71" t="s">
        <v>256</v>
      </c>
      <c r="G53" s="19" t="s">
        <v>88</v>
      </c>
      <c r="H53" s="19" t="s">
        <v>133</v>
      </c>
      <c r="I53" s="19" t="s">
        <v>90</v>
      </c>
      <c r="J53" s="19" t="s">
        <v>91</v>
      </c>
      <c r="K53" s="19" t="s">
        <v>194</v>
      </c>
      <c r="L53" s="19" t="s">
        <v>195</v>
      </c>
      <c r="M53" s="19" t="s">
        <v>196</v>
      </c>
      <c r="N53" s="19" t="s">
        <v>95</v>
      </c>
      <c r="O53" s="19" t="s">
        <v>95</v>
      </c>
      <c r="P53" s="19" t="s">
        <v>95</v>
      </c>
      <c r="Q53" s="19" t="s">
        <v>95</v>
      </c>
      <c r="R53" s="19" t="s">
        <v>96</v>
      </c>
      <c r="S53" s="24" t="s">
        <v>97</v>
      </c>
      <c r="T53" s="24" t="s">
        <v>197</v>
      </c>
    </row>
    <row r="54" spans="1:20" ht="19.5" customHeight="1" x14ac:dyDescent="0.25">
      <c r="A54" s="27" t="s">
        <v>35</v>
      </c>
      <c r="B54" s="27" t="s">
        <v>257</v>
      </c>
      <c r="C54" s="27" t="s">
        <v>191</v>
      </c>
      <c r="D54" s="27" t="s">
        <v>258</v>
      </c>
      <c r="E54" s="62"/>
      <c r="F54" s="72" t="s">
        <v>259</v>
      </c>
      <c r="G54" s="30" t="s">
        <v>88</v>
      </c>
      <c r="H54" s="30" t="s">
        <v>133</v>
      </c>
      <c r="I54" s="30" t="s">
        <v>90</v>
      </c>
      <c r="J54" s="30" t="s">
        <v>91</v>
      </c>
      <c r="K54" s="30" t="s">
        <v>194</v>
      </c>
      <c r="L54" s="30" t="s">
        <v>195</v>
      </c>
      <c r="M54" s="30" t="s">
        <v>196</v>
      </c>
      <c r="N54" s="30" t="s">
        <v>95</v>
      </c>
      <c r="O54" s="30" t="s">
        <v>95</v>
      </c>
      <c r="P54" s="30" t="s">
        <v>95</v>
      </c>
      <c r="Q54" s="30" t="s">
        <v>95</v>
      </c>
      <c r="R54" s="30" t="s">
        <v>96</v>
      </c>
      <c r="S54" s="27" t="s">
        <v>97</v>
      </c>
      <c r="T54" s="27" t="s">
        <v>197</v>
      </c>
    </row>
    <row r="55" spans="1:20" ht="19.5" customHeight="1" x14ac:dyDescent="0.25">
      <c r="A55" s="24" t="s">
        <v>35</v>
      </c>
      <c r="B55" s="24" t="s">
        <v>260</v>
      </c>
      <c r="C55" s="24" t="s">
        <v>191</v>
      </c>
      <c r="D55" s="24" t="s">
        <v>261</v>
      </c>
      <c r="E55" s="73"/>
      <c r="F55" s="74" t="s">
        <v>262</v>
      </c>
      <c r="G55" s="19" t="s">
        <v>88</v>
      </c>
      <c r="H55" s="19" t="s">
        <v>133</v>
      </c>
      <c r="I55" s="19" t="s">
        <v>90</v>
      </c>
      <c r="J55" s="19" t="s">
        <v>91</v>
      </c>
      <c r="K55" s="19" t="s">
        <v>194</v>
      </c>
      <c r="L55" s="19" t="s">
        <v>195</v>
      </c>
      <c r="M55" s="19" t="s">
        <v>196</v>
      </c>
      <c r="N55" s="19" t="s">
        <v>95</v>
      </c>
      <c r="O55" s="19" t="s">
        <v>95</v>
      </c>
      <c r="P55" s="19" t="s">
        <v>95</v>
      </c>
      <c r="Q55" s="19" t="s">
        <v>95</v>
      </c>
      <c r="R55" s="19" t="s">
        <v>96</v>
      </c>
      <c r="S55" s="24" t="s">
        <v>97</v>
      </c>
      <c r="T55" s="24" t="s">
        <v>197</v>
      </c>
    </row>
    <row r="56" spans="1:20" ht="19.5" customHeight="1" x14ac:dyDescent="0.25">
      <c r="A56" s="27" t="s">
        <v>35</v>
      </c>
      <c r="B56" s="27" t="s">
        <v>263</v>
      </c>
      <c r="C56" s="27" t="s">
        <v>191</v>
      </c>
      <c r="D56" s="27" t="s">
        <v>264</v>
      </c>
      <c r="E56" s="75"/>
      <c r="F56" s="76" t="s">
        <v>265</v>
      </c>
      <c r="G56" s="30" t="s">
        <v>88</v>
      </c>
      <c r="H56" s="30" t="s">
        <v>133</v>
      </c>
      <c r="I56" s="30" t="s">
        <v>90</v>
      </c>
      <c r="J56" s="30" t="s">
        <v>91</v>
      </c>
      <c r="K56" s="30" t="s">
        <v>194</v>
      </c>
      <c r="L56" s="30" t="s">
        <v>195</v>
      </c>
      <c r="M56" s="30" t="s">
        <v>196</v>
      </c>
      <c r="N56" s="30" t="s">
        <v>95</v>
      </c>
      <c r="O56" s="30" t="s">
        <v>95</v>
      </c>
      <c r="P56" s="30" t="s">
        <v>95</v>
      </c>
      <c r="Q56" s="30" t="s">
        <v>95</v>
      </c>
      <c r="R56" s="30" t="s">
        <v>96</v>
      </c>
      <c r="S56" s="27" t="s">
        <v>97</v>
      </c>
      <c r="T56" s="27" t="s">
        <v>197</v>
      </c>
    </row>
    <row r="57" spans="1:20" ht="19.5" customHeight="1" x14ac:dyDescent="0.25">
      <c r="A57" s="24" t="s">
        <v>35</v>
      </c>
      <c r="B57" s="24" t="s">
        <v>266</v>
      </c>
      <c r="C57" s="24" t="s">
        <v>191</v>
      </c>
      <c r="D57" s="24" t="s">
        <v>267</v>
      </c>
      <c r="E57" s="77"/>
      <c r="F57" s="78" t="s">
        <v>268</v>
      </c>
      <c r="G57" s="19" t="s">
        <v>88</v>
      </c>
      <c r="H57" s="19" t="s">
        <v>133</v>
      </c>
      <c r="I57" s="19" t="s">
        <v>90</v>
      </c>
      <c r="J57" s="19" t="s">
        <v>91</v>
      </c>
      <c r="K57" s="19" t="s">
        <v>194</v>
      </c>
      <c r="L57" s="19" t="s">
        <v>195</v>
      </c>
      <c r="M57" s="19" t="s">
        <v>196</v>
      </c>
      <c r="N57" s="19" t="s">
        <v>95</v>
      </c>
      <c r="O57" s="19" t="s">
        <v>95</v>
      </c>
      <c r="P57" s="19" t="s">
        <v>95</v>
      </c>
      <c r="Q57" s="19" t="s">
        <v>95</v>
      </c>
      <c r="R57" s="19" t="s">
        <v>96</v>
      </c>
      <c r="S57" s="24" t="s">
        <v>97</v>
      </c>
      <c r="T57" s="24" t="s">
        <v>197</v>
      </c>
    </row>
    <row r="58" spans="1:20" ht="19.5" customHeight="1" x14ac:dyDescent="0.25">
      <c r="A58" s="27" t="s">
        <v>35</v>
      </c>
      <c r="B58" s="27" t="s">
        <v>269</v>
      </c>
      <c r="C58" s="27" t="s">
        <v>191</v>
      </c>
      <c r="D58" s="27" t="s">
        <v>270</v>
      </c>
      <c r="E58" s="79"/>
      <c r="F58" s="80" t="s">
        <v>271</v>
      </c>
      <c r="G58" s="30" t="s">
        <v>88</v>
      </c>
      <c r="H58" s="30" t="s">
        <v>133</v>
      </c>
      <c r="I58" s="30" t="s">
        <v>90</v>
      </c>
      <c r="J58" s="30" t="s">
        <v>91</v>
      </c>
      <c r="K58" s="30" t="s">
        <v>194</v>
      </c>
      <c r="L58" s="30" t="s">
        <v>195</v>
      </c>
      <c r="M58" s="30" t="s">
        <v>196</v>
      </c>
      <c r="N58" s="30" t="s">
        <v>95</v>
      </c>
      <c r="O58" s="30" t="s">
        <v>95</v>
      </c>
      <c r="P58" s="30" t="s">
        <v>95</v>
      </c>
      <c r="Q58" s="30" t="s">
        <v>95</v>
      </c>
      <c r="R58" s="30" t="s">
        <v>96</v>
      </c>
      <c r="S58" s="27" t="s">
        <v>97</v>
      </c>
      <c r="T58" s="27" t="s">
        <v>197</v>
      </c>
    </row>
    <row r="59" spans="1:20" ht="19.5" customHeight="1" x14ac:dyDescent="0.25">
      <c r="A59" s="24" t="s">
        <v>35</v>
      </c>
      <c r="B59" s="24" t="s">
        <v>272</v>
      </c>
      <c r="C59" s="24" t="s">
        <v>191</v>
      </c>
      <c r="D59" s="24" t="s">
        <v>109</v>
      </c>
      <c r="E59" s="19"/>
      <c r="F59" s="35" t="s">
        <v>110</v>
      </c>
      <c r="G59" s="19" t="s">
        <v>88</v>
      </c>
      <c r="H59" s="19" t="s">
        <v>133</v>
      </c>
      <c r="I59" s="19" t="s">
        <v>90</v>
      </c>
      <c r="J59" s="19" t="s">
        <v>91</v>
      </c>
      <c r="K59" s="19" t="s">
        <v>194</v>
      </c>
      <c r="L59" s="19" t="s">
        <v>195</v>
      </c>
      <c r="M59" s="19" t="s">
        <v>196</v>
      </c>
      <c r="N59" s="19" t="s">
        <v>95</v>
      </c>
      <c r="O59" s="19" t="s">
        <v>95</v>
      </c>
      <c r="P59" s="19" t="s">
        <v>95</v>
      </c>
      <c r="Q59" s="19" t="s">
        <v>95</v>
      </c>
      <c r="R59" s="19" t="s">
        <v>96</v>
      </c>
      <c r="S59" s="24" t="s">
        <v>97</v>
      </c>
      <c r="T59" s="24" t="s">
        <v>197</v>
      </c>
    </row>
    <row r="60" spans="1:20" ht="19.5" customHeight="1" x14ac:dyDescent="0.25">
      <c r="A60" s="27" t="s">
        <v>36</v>
      </c>
      <c r="B60" s="27" t="s">
        <v>273</v>
      </c>
      <c r="C60" s="27" t="s">
        <v>274</v>
      </c>
      <c r="D60" s="27" t="s">
        <v>86</v>
      </c>
      <c r="E60" s="25"/>
      <c r="F60" s="26" t="s">
        <v>87</v>
      </c>
      <c r="G60" s="30" t="s">
        <v>88</v>
      </c>
      <c r="H60" s="30" t="s">
        <v>133</v>
      </c>
      <c r="I60" s="30" t="s">
        <v>90</v>
      </c>
      <c r="J60" s="30" t="s">
        <v>91</v>
      </c>
      <c r="K60" s="30" t="s">
        <v>194</v>
      </c>
      <c r="L60" s="30" t="s">
        <v>195</v>
      </c>
      <c r="M60" s="30" t="s">
        <v>196</v>
      </c>
      <c r="N60" s="30" t="s">
        <v>95</v>
      </c>
      <c r="O60" s="30" t="s">
        <v>95</v>
      </c>
      <c r="P60" s="30" t="s">
        <v>95</v>
      </c>
      <c r="Q60" s="30" t="s">
        <v>95</v>
      </c>
      <c r="R60" s="30" t="s">
        <v>114</v>
      </c>
      <c r="S60" s="27" t="s">
        <v>275</v>
      </c>
      <c r="T60" s="27" t="s">
        <v>116</v>
      </c>
    </row>
    <row r="61" spans="1:20" ht="19.5" customHeight="1" x14ac:dyDescent="0.25">
      <c r="A61" s="24" t="s">
        <v>37</v>
      </c>
      <c r="B61" s="24" t="s">
        <v>276</v>
      </c>
      <c r="C61" s="24" t="s">
        <v>277</v>
      </c>
      <c r="D61" s="24" t="s">
        <v>278</v>
      </c>
      <c r="E61" s="38"/>
      <c r="F61" s="39" t="s">
        <v>144</v>
      </c>
      <c r="G61" s="19" t="s">
        <v>88</v>
      </c>
      <c r="H61" s="19" t="s">
        <v>133</v>
      </c>
      <c r="I61" s="19" t="s">
        <v>90</v>
      </c>
      <c r="J61" s="19" t="s">
        <v>91</v>
      </c>
      <c r="K61" s="19" t="s">
        <v>279</v>
      </c>
      <c r="L61" s="19" t="s">
        <v>195</v>
      </c>
      <c r="M61" s="19" t="s">
        <v>196</v>
      </c>
      <c r="N61" s="19" t="s">
        <v>95</v>
      </c>
      <c r="O61" s="19" t="s">
        <v>95</v>
      </c>
      <c r="P61" s="19" t="s">
        <v>95</v>
      </c>
      <c r="Q61" s="19" t="s">
        <v>95</v>
      </c>
      <c r="R61" s="19" t="s">
        <v>96</v>
      </c>
      <c r="S61" s="24" t="s">
        <v>280</v>
      </c>
      <c r="T61" s="24" t="s">
        <v>281</v>
      </c>
    </row>
    <row r="62" spans="1:20" ht="19.5" customHeight="1" x14ac:dyDescent="0.25">
      <c r="A62" s="27" t="s">
        <v>37</v>
      </c>
      <c r="B62" s="27" t="s">
        <v>282</v>
      </c>
      <c r="C62" s="27" t="s">
        <v>277</v>
      </c>
      <c r="D62" s="27" t="s">
        <v>283</v>
      </c>
      <c r="E62" s="38"/>
      <c r="F62" s="39" t="s">
        <v>144</v>
      </c>
      <c r="G62" s="30" t="s">
        <v>88</v>
      </c>
      <c r="H62" s="30" t="s">
        <v>133</v>
      </c>
      <c r="I62" s="30" t="s">
        <v>90</v>
      </c>
      <c r="J62" s="30" t="s">
        <v>91</v>
      </c>
      <c r="K62" s="30" t="s">
        <v>279</v>
      </c>
      <c r="L62" s="30" t="s">
        <v>195</v>
      </c>
      <c r="M62" s="30" t="s">
        <v>196</v>
      </c>
      <c r="N62" s="30" t="s">
        <v>95</v>
      </c>
      <c r="O62" s="30" t="s">
        <v>95</v>
      </c>
      <c r="P62" s="30" t="s">
        <v>95</v>
      </c>
      <c r="Q62" s="30" t="s">
        <v>95</v>
      </c>
      <c r="R62" s="30" t="s">
        <v>96</v>
      </c>
      <c r="S62" s="27" t="s">
        <v>280</v>
      </c>
      <c r="T62" s="27" t="s">
        <v>281</v>
      </c>
    </row>
    <row r="63" spans="1:20" ht="19.5" customHeight="1" x14ac:dyDescent="0.25">
      <c r="A63" s="24" t="s">
        <v>38</v>
      </c>
      <c r="B63" s="24" t="s">
        <v>284</v>
      </c>
      <c r="C63" s="24" t="s">
        <v>285</v>
      </c>
      <c r="D63" s="24" t="s">
        <v>286</v>
      </c>
      <c r="E63" s="38"/>
      <c r="F63" s="39" t="s">
        <v>144</v>
      </c>
      <c r="G63" s="19" t="s">
        <v>88</v>
      </c>
      <c r="H63" s="19" t="s">
        <v>133</v>
      </c>
      <c r="I63" s="19" t="s">
        <v>90</v>
      </c>
      <c r="J63" s="19" t="s">
        <v>91</v>
      </c>
      <c r="K63" s="19" t="s">
        <v>194</v>
      </c>
      <c r="L63" s="19" t="s">
        <v>195</v>
      </c>
      <c r="M63" s="19" t="s">
        <v>196</v>
      </c>
      <c r="N63" s="19" t="s">
        <v>95</v>
      </c>
      <c r="O63" s="19" t="s">
        <v>95</v>
      </c>
      <c r="P63" s="19" t="s">
        <v>95</v>
      </c>
      <c r="Q63" s="19" t="s">
        <v>95</v>
      </c>
      <c r="R63" s="19" t="s">
        <v>114</v>
      </c>
      <c r="S63" s="24" t="s">
        <v>287</v>
      </c>
      <c r="T63" s="24" t="s">
        <v>288</v>
      </c>
    </row>
    <row r="64" spans="1:20" ht="19.5" customHeight="1" x14ac:dyDescent="0.25">
      <c r="A64" s="27" t="s">
        <v>39</v>
      </c>
      <c r="B64" s="27" t="s">
        <v>289</v>
      </c>
      <c r="C64" s="27" t="s">
        <v>290</v>
      </c>
      <c r="D64" s="27" t="s">
        <v>86</v>
      </c>
      <c r="E64" s="25"/>
      <c r="F64" s="26" t="s">
        <v>87</v>
      </c>
      <c r="G64" s="30" t="s">
        <v>88</v>
      </c>
      <c r="H64" s="30" t="s">
        <v>89</v>
      </c>
      <c r="I64" s="30" t="s">
        <v>90</v>
      </c>
      <c r="J64" s="30" t="s">
        <v>91</v>
      </c>
      <c r="K64" s="30" t="s">
        <v>194</v>
      </c>
      <c r="L64" s="30" t="s">
        <v>291</v>
      </c>
      <c r="M64" s="30" t="s">
        <v>292</v>
      </c>
      <c r="N64" s="30" t="s">
        <v>95</v>
      </c>
      <c r="O64" s="30" t="s">
        <v>95</v>
      </c>
      <c r="P64" s="30" t="s">
        <v>95</v>
      </c>
      <c r="Q64" s="30" t="s">
        <v>95</v>
      </c>
      <c r="R64" s="30" t="s">
        <v>114</v>
      </c>
      <c r="S64" s="27" t="s">
        <v>293</v>
      </c>
      <c r="T64" s="27" t="s">
        <v>294</v>
      </c>
    </row>
    <row r="65" spans="1:20" ht="19.5" customHeight="1" x14ac:dyDescent="0.25">
      <c r="A65" s="24" t="s">
        <v>40</v>
      </c>
      <c r="B65" s="24" t="s">
        <v>295</v>
      </c>
      <c r="C65" s="24" t="s">
        <v>296</v>
      </c>
      <c r="D65" s="24" t="s">
        <v>192</v>
      </c>
      <c r="E65" s="44"/>
      <c r="F65" s="45" t="s">
        <v>193</v>
      </c>
      <c r="G65" s="19" t="s">
        <v>88</v>
      </c>
      <c r="H65" s="19" t="s">
        <v>133</v>
      </c>
      <c r="I65" s="19" t="s">
        <v>90</v>
      </c>
      <c r="J65" s="19" t="s">
        <v>91</v>
      </c>
      <c r="K65" s="19" t="s">
        <v>297</v>
      </c>
      <c r="L65" s="19" t="s">
        <v>298</v>
      </c>
      <c r="M65" s="19" t="s">
        <v>299</v>
      </c>
      <c r="N65" s="19" t="s">
        <v>95</v>
      </c>
      <c r="O65" s="19" t="s">
        <v>95</v>
      </c>
      <c r="P65" s="19" t="s">
        <v>95</v>
      </c>
      <c r="Q65" s="19" t="s">
        <v>95</v>
      </c>
      <c r="R65" s="19" t="s">
        <v>96</v>
      </c>
      <c r="S65" s="24" t="s">
        <v>300</v>
      </c>
      <c r="T65" s="24" t="s">
        <v>98</v>
      </c>
    </row>
    <row r="66" spans="1:20" ht="19.5" customHeight="1" x14ac:dyDescent="0.25">
      <c r="A66" s="27" t="s">
        <v>40</v>
      </c>
      <c r="B66" s="27" t="s">
        <v>301</v>
      </c>
      <c r="C66" s="27" t="s">
        <v>296</v>
      </c>
      <c r="D66" s="27" t="s">
        <v>86</v>
      </c>
      <c r="E66" s="25"/>
      <c r="F66" s="26" t="s">
        <v>87</v>
      </c>
      <c r="G66" s="30" t="s">
        <v>88</v>
      </c>
      <c r="H66" s="30" t="s">
        <v>133</v>
      </c>
      <c r="I66" s="30" t="s">
        <v>90</v>
      </c>
      <c r="J66" s="30" t="s">
        <v>91</v>
      </c>
      <c r="K66" s="30" t="s">
        <v>297</v>
      </c>
      <c r="L66" s="30" t="s">
        <v>298</v>
      </c>
      <c r="M66" s="30" t="s">
        <v>299</v>
      </c>
      <c r="N66" s="30" t="s">
        <v>95</v>
      </c>
      <c r="O66" s="30" t="s">
        <v>95</v>
      </c>
      <c r="P66" s="30" t="s">
        <v>95</v>
      </c>
      <c r="Q66" s="30" t="s">
        <v>95</v>
      </c>
      <c r="R66" s="30" t="s">
        <v>96</v>
      </c>
      <c r="S66" s="27" t="s">
        <v>300</v>
      </c>
      <c r="T66" s="27" t="s">
        <v>98</v>
      </c>
    </row>
    <row r="67" spans="1:20" ht="19.5" customHeight="1" x14ac:dyDescent="0.25">
      <c r="A67" s="24" t="s">
        <v>40</v>
      </c>
      <c r="B67" s="24" t="s">
        <v>302</v>
      </c>
      <c r="C67" s="24" t="s">
        <v>296</v>
      </c>
      <c r="D67" s="24" t="s">
        <v>100</v>
      </c>
      <c r="E67" s="28"/>
      <c r="F67" s="29" t="s">
        <v>101</v>
      </c>
      <c r="G67" s="19" t="s">
        <v>88</v>
      </c>
      <c r="H67" s="19" t="s">
        <v>133</v>
      </c>
      <c r="I67" s="19" t="s">
        <v>90</v>
      </c>
      <c r="J67" s="19" t="s">
        <v>91</v>
      </c>
      <c r="K67" s="19" t="s">
        <v>297</v>
      </c>
      <c r="L67" s="19" t="s">
        <v>298</v>
      </c>
      <c r="M67" s="19" t="s">
        <v>299</v>
      </c>
      <c r="N67" s="19" t="s">
        <v>95</v>
      </c>
      <c r="O67" s="19" t="s">
        <v>95</v>
      </c>
      <c r="P67" s="19" t="s">
        <v>95</v>
      </c>
      <c r="Q67" s="19" t="s">
        <v>95</v>
      </c>
      <c r="R67" s="19" t="s">
        <v>96</v>
      </c>
      <c r="S67" s="24" t="s">
        <v>300</v>
      </c>
      <c r="T67" s="24" t="s">
        <v>98</v>
      </c>
    </row>
    <row r="68" spans="1:20" ht="19.5" customHeight="1" x14ac:dyDescent="0.25">
      <c r="A68" s="27" t="s">
        <v>40</v>
      </c>
      <c r="B68" s="27" t="s">
        <v>303</v>
      </c>
      <c r="C68" s="27" t="s">
        <v>296</v>
      </c>
      <c r="D68" s="27" t="s">
        <v>201</v>
      </c>
      <c r="E68" s="44"/>
      <c r="F68" s="45" t="s">
        <v>202</v>
      </c>
      <c r="G68" s="30" t="s">
        <v>88</v>
      </c>
      <c r="H68" s="30" t="s">
        <v>133</v>
      </c>
      <c r="I68" s="30" t="s">
        <v>90</v>
      </c>
      <c r="J68" s="30" t="s">
        <v>91</v>
      </c>
      <c r="K68" s="30" t="s">
        <v>297</v>
      </c>
      <c r="L68" s="30" t="s">
        <v>298</v>
      </c>
      <c r="M68" s="30" t="s">
        <v>299</v>
      </c>
      <c r="N68" s="30" t="s">
        <v>95</v>
      </c>
      <c r="O68" s="30" t="s">
        <v>95</v>
      </c>
      <c r="P68" s="30" t="s">
        <v>95</v>
      </c>
      <c r="Q68" s="30" t="s">
        <v>95</v>
      </c>
      <c r="R68" s="30" t="s">
        <v>96</v>
      </c>
      <c r="S68" s="27" t="s">
        <v>300</v>
      </c>
      <c r="T68" s="27" t="s">
        <v>98</v>
      </c>
    </row>
    <row r="69" spans="1:20" ht="19.5" customHeight="1" x14ac:dyDescent="0.25">
      <c r="A69" s="24" t="s">
        <v>40</v>
      </c>
      <c r="B69" s="24" t="s">
        <v>304</v>
      </c>
      <c r="C69" s="24" t="s">
        <v>296</v>
      </c>
      <c r="D69" s="24" t="s">
        <v>204</v>
      </c>
      <c r="E69" s="46"/>
      <c r="F69" s="47" t="s">
        <v>205</v>
      </c>
      <c r="G69" s="19" t="s">
        <v>88</v>
      </c>
      <c r="H69" s="19" t="s">
        <v>133</v>
      </c>
      <c r="I69" s="19" t="s">
        <v>90</v>
      </c>
      <c r="J69" s="19" t="s">
        <v>91</v>
      </c>
      <c r="K69" s="19" t="s">
        <v>297</v>
      </c>
      <c r="L69" s="19" t="s">
        <v>298</v>
      </c>
      <c r="M69" s="19" t="s">
        <v>299</v>
      </c>
      <c r="N69" s="19" t="s">
        <v>95</v>
      </c>
      <c r="O69" s="19" t="s">
        <v>95</v>
      </c>
      <c r="P69" s="19" t="s">
        <v>95</v>
      </c>
      <c r="Q69" s="19" t="s">
        <v>95</v>
      </c>
      <c r="R69" s="19" t="s">
        <v>96</v>
      </c>
      <c r="S69" s="24" t="s">
        <v>300</v>
      </c>
      <c r="T69" s="24" t="s">
        <v>98</v>
      </c>
    </row>
    <row r="70" spans="1:20" ht="19.5" customHeight="1" x14ac:dyDescent="0.25">
      <c r="A70" s="27" t="s">
        <v>40</v>
      </c>
      <c r="B70" s="27" t="s">
        <v>305</v>
      </c>
      <c r="C70" s="27" t="s">
        <v>296</v>
      </c>
      <c r="D70" s="27" t="s">
        <v>207</v>
      </c>
      <c r="E70" s="81"/>
      <c r="F70" s="82" t="s">
        <v>306</v>
      </c>
      <c r="G70" s="30" t="s">
        <v>88</v>
      </c>
      <c r="H70" s="30" t="s">
        <v>133</v>
      </c>
      <c r="I70" s="30" t="s">
        <v>90</v>
      </c>
      <c r="J70" s="30" t="s">
        <v>91</v>
      </c>
      <c r="K70" s="30" t="s">
        <v>297</v>
      </c>
      <c r="L70" s="30" t="s">
        <v>298</v>
      </c>
      <c r="M70" s="30" t="s">
        <v>299</v>
      </c>
      <c r="N70" s="30" t="s">
        <v>95</v>
      </c>
      <c r="O70" s="30" t="s">
        <v>95</v>
      </c>
      <c r="P70" s="30" t="s">
        <v>95</v>
      </c>
      <c r="Q70" s="30" t="s">
        <v>95</v>
      </c>
      <c r="R70" s="30" t="s">
        <v>96</v>
      </c>
      <c r="S70" s="27" t="s">
        <v>300</v>
      </c>
      <c r="T70" s="27" t="s">
        <v>98</v>
      </c>
    </row>
    <row r="71" spans="1:20" ht="19.5" customHeight="1" x14ac:dyDescent="0.25">
      <c r="A71" s="24" t="s">
        <v>40</v>
      </c>
      <c r="B71" s="24" t="s">
        <v>307</v>
      </c>
      <c r="C71" s="24" t="s">
        <v>296</v>
      </c>
      <c r="D71" s="24" t="s">
        <v>218</v>
      </c>
      <c r="E71" s="52"/>
      <c r="F71" s="53" t="s">
        <v>219</v>
      </c>
      <c r="G71" s="19" t="s">
        <v>88</v>
      </c>
      <c r="H71" s="19" t="s">
        <v>133</v>
      </c>
      <c r="I71" s="19" t="s">
        <v>90</v>
      </c>
      <c r="J71" s="19" t="s">
        <v>91</v>
      </c>
      <c r="K71" s="19" t="s">
        <v>297</v>
      </c>
      <c r="L71" s="19" t="s">
        <v>298</v>
      </c>
      <c r="M71" s="19" t="s">
        <v>299</v>
      </c>
      <c r="N71" s="19" t="s">
        <v>95</v>
      </c>
      <c r="O71" s="19" t="s">
        <v>95</v>
      </c>
      <c r="P71" s="19" t="s">
        <v>95</v>
      </c>
      <c r="Q71" s="19" t="s">
        <v>95</v>
      </c>
      <c r="R71" s="19" t="s">
        <v>96</v>
      </c>
      <c r="S71" s="24" t="s">
        <v>300</v>
      </c>
      <c r="T71" s="24" t="s">
        <v>98</v>
      </c>
    </row>
    <row r="72" spans="1:20" ht="19.5" customHeight="1" x14ac:dyDescent="0.25">
      <c r="A72" s="27" t="s">
        <v>40</v>
      </c>
      <c r="B72" s="27" t="s">
        <v>308</v>
      </c>
      <c r="C72" s="27" t="s">
        <v>296</v>
      </c>
      <c r="D72" s="27" t="s">
        <v>221</v>
      </c>
      <c r="E72" s="54"/>
      <c r="F72" s="55" t="s">
        <v>222</v>
      </c>
      <c r="G72" s="30" t="s">
        <v>88</v>
      </c>
      <c r="H72" s="30" t="s">
        <v>133</v>
      </c>
      <c r="I72" s="30" t="s">
        <v>90</v>
      </c>
      <c r="J72" s="30" t="s">
        <v>91</v>
      </c>
      <c r="K72" s="30" t="s">
        <v>297</v>
      </c>
      <c r="L72" s="30" t="s">
        <v>298</v>
      </c>
      <c r="M72" s="30" t="s">
        <v>299</v>
      </c>
      <c r="N72" s="30" t="s">
        <v>95</v>
      </c>
      <c r="O72" s="30" t="s">
        <v>95</v>
      </c>
      <c r="P72" s="30" t="s">
        <v>95</v>
      </c>
      <c r="Q72" s="30" t="s">
        <v>95</v>
      </c>
      <c r="R72" s="30" t="s">
        <v>96</v>
      </c>
      <c r="S72" s="27" t="s">
        <v>300</v>
      </c>
      <c r="T72" s="27" t="s">
        <v>98</v>
      </c>
    </row>
    <row r="73" spans="1:20" ht="19.5" customHeight="1" x14ac:dyDescent="0.25">
      <c r="A73" s="24" t="s">
        <v>40</v>
      </c>
      <c r="B73" s="24" t="s">
        <v>309</v>
      </c>
      <c r="C73" s="24" t="s">
        <v>296</v>
      </c>
      <c r="D73" s="24" t="s">
        <v>310</v>
      </c>
      <c r="E73" s="83"/>
      <c r="F73" s="84" t="s">
        <v>311</v>
      </c>
      <c r="G73" s="19" t="s">
        <v>88</v>
      </c>
      <c r="H73" s="19" t="s">
        <v>133</v>
      </c>
      <c r="I73" s="19" t="s">
        <v>90</v>
      </c>
      <c r="J73" s="19" t="s">
        <v>91</v>
      </c>
      <c r="K73" s="19" t="s">
        <v>297</v>
      </c>
      <c r="L73" s="19" t="s">
        <v>298</v>
      </c>
      <c r="M73" s="19" t="s">
        <v>299</v>
      </c>
      <c r="N73" s="19" t="s">
        <v>95</v>
      </c>
      <c r="O73" s="19" t="s">
        <v>95</v>
      </c>
      <c r="P73" s="19" t="s">
        <v>95</v>
      </c>
      <c r="Q73" s="19" t="s">
        <v>95</v>
      </c>
      <c r="R73" s="19" t="s">
        <v>96</v>
      </c>
      <c r="S73" s="24" t="s">
        <v>300</v>
      </c>
      <c r="T73" s="24" t="s">
        <v>98</v>
      </c>
    </row>
    <row r="74" spans="1:20" ht="19.5" customHeight="1" x14ac:dyDescent="0.25">
      <c r="A74" s="27" t="s">
        <v>40</v>
      </c>
      <c r="B74" s="27" t="s">
        <v>312</v>
      </c>
      <c r="C74" s="27" t="s">
        <v>296</v>
      </c>
      <c r="D74" s="27" t="s">
        <v>313</v>
      </c>
      <c r="E74" s="38"/>
      <c r="F74" s="39" t="s">
        <v>144</v>
      </c>
      <c r="G74" s="30" t="s">
        <v>88</v>
      </c>
      <c r="H74" s="30" t="s">
        <v>133</v>
      </c>
      <c r="I74" s="30" t="s">
        <v>90</v>
      </c>
      <c r="J74" s="30" t="s">
        <v>91</v>
      </c>
      <c r="K74" s="30" t="s">
        <v>297</v>
      </c>
      <c r="L74" s="30" t="s">
        <v>298</v>
      </c>
      <c r="M74" s="30" t="s">
        <v>299</v>
      </c>
      <c r="N74" s="30" t="s">
        <v>95</v>
      </c>
      <c r="O74" s="30" t="s">
        <v>95</v>
      </c>
      <c r="P74" s="30" t="s">
        <v>95</v>
      </c>
      <c r="Q74" s="30" t="s">
        <v>95</v>
      </c>
      <c r="R74" s="30" t="s">
        <v>96</v>
      </c>
      <c r="S74" s="27" t="s">
        <v>300</v>
      </c>
      <c r="T74" s="27" t="s">
        <v>314</v>
      </c>
    </row>
    <row r="75" spans="1:20" ht="19.5" customHeight="1" x14ac:dyDescent="0.25">
      <c r="A75" s="24" t="s">
        <v>40</v>
      </c>
      <c r="B75" s="24" t="s">
        <v>315</v>
      </c>
      <c r="C75" s="24" t="s">
        <v>296</v>
      </c>
      <c r="D75" s="24" t="s">
        <v>139</v>
      </c>
      <c r="E75" s="36"/>
      <c r="F75" s="37" t="s">
        <v>140</v>
      </c>
      <c r="G75" s="19" t="s">
        <v>88</v>
      </c>
      <c r="H75" s="19" t="s">
        <v>133</v>
      </c>
      <c r="I75" s="19" t="s">
        <v>90</v>
      </c>
      <c r="J75" s="19" t="s">
        <v>91</v>
      </c>
      <c r="K75" s="19" t="s">
        <v>297</v>
      </c>
      <c r="L75" s="19" t="s">
        <v>298</v>
      </c>
      <c r="M75" s="19" t="s">
        <v>299</v>
      </c>
      <c r="N75" s="19" t="s">
        <v>95</v>
      </c>
      <c r="O75" s="19" t="s">
        <v>95</v>
      </c>
      <c r="P75" s="19" t="s">
        <v>95</v>
      </c>
      <c r="Q75" s="19" t="s">
        <v>95</v>
      </c>
      <c r="R75" s="19" t="s">
        <v>96</v>
      </c>
      <c r="S75" s="24" t="s">
        <v>300</v>
      </c>
      <c r="T75" s="24" t="s">
        <v>98</v>
      </c>
    </row>
    <row r="76" spans="1:20" ht="19.5" customHeight="1" x14ac:dyDescent="0.25">
      <c r="A76" s="27" t="s">
        <v>40</v>
      </c>
      <c r="B76" s="27" t="s">
        <v>316</v>
      </c>
      <c r="C76" s="27" t="s">
        <v>296</v>
      </c>
      <c r="D76" s="27" t="s">
        <v>103</v>
      </c>
      <c r="E76" s="31"/>
      <c r="F76" s="32" t="s">
        <v>104</v>
      </c>
      <c r="G76" s="30" t="s">
        <v>88</v>
      </c>
      <c r="H76" s="30" t="s">
        <v>133</v>
      </c>
      <c r="I76" s="30" t="s">
        <v>90</v>
      </c>
      <c r="J76" s="30" t="s">
        <v>91</v>
      </c>
      <c r="K76" s="30" t="s">
        <v>297</v>
      </c>
      <c r="L76" s="30" t="s">
        <v>298</v>
      </c>
      <c r="M76" s="30" t="s">
        <v>299</v>
      </c>
      <c r="N76" s="30" t="s">
        <v>95</v>
      </c>
      <c r="O76" s="30" t="s">
        <v>95</v>
      </c>
      <c r="P76" s="30" t="s">
        <v>95</v>
      </c>
      <c r="Q76" s="30" t="s">
        <v>95</v>
      </c>
      <c r="R76" s="30" t="s">
        <v>96</v>
      </c>
      <c r="S76" s="27" t="s">
        <v>300</v>
      </c>
      <c r="T76" s="27" t="s">
        <v>98</v>
      </c>
    </row>
    <row r="77" spans="1:20" ht="19.5" customHeight="1" x14ac:dyDescent="0.25">
      <c r="A77" s="24" t="s">
        <v>40</v>
      </c>
      <c r="B77" s="24" t="s">
        <v>317</v>
      </c>
      <c r="C77" s="24" t="s">
        <v>296</v>
      </c>
      <c r="D77" s="24" t="s">
        <v>228</v>
      </c>
      <c r="E77" s="85"/>
      <c r="F77" s="86" t="s">
        <v>318</v>
      </c>
      <c r="G77" s="19" t="s">
        <v>88</v>
      </c>
      <c r="H77" s="19" t="s">
        <v>133</v>
      </c>
      <c r="I77" s="19" t="s">
        <v>90</v>
      </c>
      <c r="J77" s="19" t="s">
        <v>91</v>
      </c>
      <c r="K77" s="19" t="s">
        <v>297</v>
      </c>
      <c r="L77" s="19" t="s">
        <v>298</v>
      </c>
      <c r="M77" s="19" t="s">
        <v>299</v>
      </c>
      <c r="N77" s="19" t="s">
        <v>95</v>
      </c>
      <c r="O77" s="19" t="s">
        <v>95</v>
      </c>
      <c r="P77" s="19" t="s">
        <v>95</v>
      </c>
      <c r="Q77" s="19" t="s">
        <v>95</v>
      </c>
      <c r="R77" s="19" t="s">
        <v>96</v>
      </c>
      <c r="S77" s="24" t="s">
        <v>300</v>
      </c>
      <c r="T77" s="24" t="s">
        <v>98</v>
      </c>
    </row>
    <row r="78" spans="1:20" ht="19.5" customHeight="1" x14ac:dyDescent="0.25">
      <c r="A78" s="27" t="s">
        <v>40</v>
      </c>
      <c r="B78" s="27" t="s">
        <v>319</v>
      </c>
      <c r="C78" s="27" t="s">
        <v>296</v>
      </c>
      <c r="D78" s="27" t="s">
        <v>320</v>
      </c>
      <c r="E78" s="58"/>
      <c r="F78" s="87" t="s">
        <v>321</v>
      </c>
      <c r="G78" s="30" t="s">
        <v>88</v>
      </c>
      <c r="H78" s="30" t="s">
        <v>133</v>
      </c>
      <c r="I78" s="30" t="s">
        <v>90</v>
      </c>
      <c r="J78" s="30" t="s">
        <v>91</v>
      </c>
      <c r="K78" s="30" t="s">
        <v>297</v>
      </c>
      <c r="L78" s="30" t="s">
        <v>298</v>
      </c>
      <c r="M78" s="30" t="s">
        <v>299</v>
      </c>
      <c r="N78" s="30" t="s">
        <v>95</v>
      </c>
      <c r="O78" s="30" t="s">
        <v>95</v>
      </c>
      <c r="P78" s="30" t="s">
        <v>95</v>
      </c>
      <c r="Q78" s="30" t="s">
        <v>95</v>
      </c>
      <c r="R78" s="30" t="s">
        <v>96</v>
      </c>
      <c r="S78" s="27" t="s">
        <v>300</v>
      </c>
      <c r="T78" s="27" t="s">
        <v>98</v>
      </c>
    </row>
    <row r="79" spans="1:20" ht="19.5" customHeight="1" x14ac:dyDescent="0.25">
      <c r="A79" s="24" t="s">
        <v>40</v>
      </c>
      <c r="B79" s="24" t="s">
        <v>322</v>
      </c>
      <c r="C79" s="24" t="s">
        <v>296</v>
      </c>
      <c r="D79" s="24" t="s">
        <v>234</v>
      </c>
      <c r="E79" s="60"/>
      <c r="F79" s="61" t="s">
        <v>235</v>
      </c>
      <c r="G79" s="19" t="s">
        <v>88</v>
      </c>
      <c r="H79" s="19" t="s">
        <v>133</v>
      </c>
      <c r="I79" s="19" t="s">
        <v>90</v>
      </c>
      <c r="J79" s="19" t="s">
        <v>91</v>
      </c>
      <c r="K79" s="19" t="s">
        <v>297</v>
      </c>
      <c r="L79" s="19" t="s">
        <v>298</v>
      </c>
      <c r="M79" s="19" t="s">
        <v>299</v>
      </c>
      <c r="N79" s="19" t="s">
        <v>95</v>
      </c>
      <c r="O79" s="19" t="s">
        <v>95</v>
      </c>
      <c r="P79" s="19" t="s">
        <v>95</v>
      </c>
      <c r="Q79" s="19" t="s">
        <v>95</v>
      </c>
      <c r="R79" s="19" t="s">
        <v>96</v>
      </c>
      <c r="S79" s="24" t="s">
        <v>300</v>
      </c>
      <c r="T79" s="24" t="s">
        <v>98</v>
      </c>
    </row>
    <row r="80" spans="1:20" ht="19.5" customHeight="1" x14ac:dyDescent="0.25">
      <c r="A80" s="27" t="s">
        <v>40</v>
      </c>
      <c r="B80" s="27" t="s">
        <v>323</v>
      </c>
      <c r="C80" s="27" t="s">
        <v>296</v>
      </c>
      <c r="D80" s="27" t="s">
        <v>237</v>
      </c>
      <c r="E80" s="88"/>
      <c r="F80" s="89" t="s">
        <v>324</v>
      </c>
      <c r="G80" s="30" t="s">
        <v>88</v>
      </c>
      <c r="H80" s="30" t="s">
        <v>133</v>
      </c>
      <c r="I80" s="30" t="s">
        <v>90</v>
      </c>
      <c r="J80" s="30" t="s">
        <v>91</v>
      </c>
      <c r="K80" s="30" t="s">
        <v>297</v>
      </c>
      <c r="L80" s="30" t="s">
        <v>298</v>
      </c>
      <c r="M80" s="30" t="s">
        <v>299</v>
      </c>
      <c r="N80" s="30" t="s">
        <v>95</v>
      </c>
      <c r="O80" s="30" t="s">
        <v>95</v>
      </c>
      <c r="P80" s="30" t="s">
        <v>95</v>
      </c>
      <c r="Q80" s="30" t="s">
        <v>95</v>
      </c>
      <c r="R80" s="30" t="s">
        <v>96</v>
      </c>
      <c r="S80" s="27" t="s">
        <v>300</v>
      </c>
      <c r="T80" s="27" t="s">
        <v>98</v>
      </c>
    </row>
    <row r="81" spans="1:20" ht="19.5" customHeight="1" x14ac:dyDescent="0.25">
      <c r="A81" s="24" t="s">
        <v>40</v>
      </c>
      <c r="B81" s="24" t="s">
        <v>325</v>
      </c>
      <c r="C81" s="24" t="s">
        <v>296</v>
      </c>
      <c r="D81" s="24" t="s">
        <v>240</v>
      </c>
      <c r="E81" s="64"/>
      <c r="F81" s="65" t="s">
        <v>241</v>
      </c>
      <c r="G81" s="19" t="s">
        <v>88</v>
      </c>
      <c r="H81" s="19" t="s">
        <v>133</v>
      </c>
      <c r="I81" s="19" t="s">
        <v>90</v>
      </c>
      <c r="J81" s="19" t="s">
        <v>91</v>
      </c>
      <c r="K81" s="19" t="s">
        <v>297</v>
      </c>
      <c r="L81" s="19" t="s">
        <v>298</v>
      </c>
      <c r="M81" s="19" t="s">
        <v>299</v>
      </c>
      <c r="N81" s="19" t="s">
        <v>95</v>
      </c>
      <c r="O81" s="19" t="s">
        <v>95</v>
      </c>
      <c r="P81" s="19" t="s">
        <v>95</v>
      </c>
      <c r="Q81" s="19" t="s">
        <v>95</v>
      </c>
      <c r="R81" s="19" t="s">
        <v>96</v>
      </c>
      <c r="S81" s="24" t="s">
        <v>300</v>
      </c>
      <c r="T81" s="24" t="s">
        <v>98</v>
      </c>
    </row>
    <row r="82" spans="1:20" ht="19.5" customHeight="1" x14ac:dyDescent="0.25">
      <c r="A82" s="27" t="s">
        <v>40</v>
      </c>
      <c r="B82" s="27" t="s">
        <v>326</v>
      </c>
      <c r="C82" s="27" t="s">
        <v>296</v>
      </c>
      <c r="D82" s="27" t="s">
        <v>327</v>
      </c>
      <c r="E82" s="90"/>
      <c r="F82" s="91" t="s">
        <v>328</v>
      </c>
      <c r="G82" s="30" t="s">
        <v>88</v>
      </c>
      <c r="H82" s="30" t="s">
        <v>133</v>
      </c>
      <c r="I82" s="30" t="s">
        <v>90</v>
      </c>
      <c r="J82" s="30" t="s">
        <v>91</v>
      </c>
      <c r="K82" s="30" t="s">
        <v>297</v>
      </c>
      <c r="L82" s="30" t="s">
        <v>298</v>
      </c>
      <c r="M82" s="30" t="s">
        <v>299</v>
      </c>
      <c r="N82" s="30" t="s">
        <v>95</v>
      </c>
      <c r="O82" s="30" t="s">
        <v>95</v>
      </c>
      <c r="P82" s="30" t="s">
        <v>95</v>
      </c>
      <c r="Q82" s="30" t="s">
        <v>95</v>
      </c>
      <c r="R82" s="30" t="s">
        <v>96</v>
      </c>
      <c r="S82" s="27" t="s">
        <v>300</v>
      </c>
      <c r="T82" s="27" t="s">
        <v>98</v>
      </c>
    </row>
    <row r="83" spans="1:20" ht="19.5" customHeight="1" x14ac:dyDescent="0.25">
      <c r="A83" s="24" t="s">
        <v>40</v>
      </c>
      <c r="B83" s="24" t="s">
        <v>329</v>
      </c>
      <c r="C83" s="24" t="s">
        <v>296</v>
      </c>
      <c r="D83" s="24" t="s">
        <v>243</v>
      </c>
      <c r="E83" s="92"/>
      <c r="F83" s="93" t="s">
        <v>330</v>
      </c>
      <c r="G83" s="19" t="s">
        <v>88</v>
      </c>
      <c r="H83" s="19" t="s">
        <v>133</v>
      </c>
      <c r="I83" s="19" t="s">
        <v>90</v>
      </c>
      <c r="J83" s="19" t="s">
        <v>91</v>
      </c>
      <c r="K83" s="19" t="s">
        <v>297</v>
      </c>
      <c r="L83" s="19" t="s">
        <v>298</v>
      </c>
      <c r="M83" s="19" t="s">
        <v>299</v>
      </c>
      <c r="N83" s="19" t="s">
        <v>95</v>
      </c>
      <c r="O83" s="19" t="s">
        <v>95</v>
      </c>
      <c r="P83" s="19" t="s">
        <v>95</v>
      </c>
      <c r="Q83" s="19" t="s">
        <v>95</v>
      </c>
      <c r="R83" s="19" t="s">
        <v>96</v>
      </c>
      <c r="S83" s="24" t="s">
        <v>300</v>
      </c>
      <c r="T83" s="24" t="s">
        <v>98</v>
      </c>
    </row>
    <row r="84" spans="1:20" ht="19.5" customHeight="1" x14ac:dyDescent="0.25">
      <c r="A84" s="27" t="s">
        <v>40</v>
      </c>
      <c r="B84" s="27" t="s">
        <v>331</v>
      </c>
      <c r="C84" s="27" t="s">
        <v>296</v>
      </c>
      <c r="D84" s="27" t="s">
        <v>147</v>
      </c>
      <c r="E84" s="40"/>
      <c r="F84" s="41" t="s">
        <v>148</v>
      </c>
      <c r="G84" s="30" t="s">
        <v>88</v>
      </c>
      <c r="H84" s="30" t="s">
        <v>133</v>
      </c>
      <c r="I84" s="30" t="s">
        <v>90</v>
      </c>
      <c r="J84" s="30" t="s">
        <v>91</v>
      </c>
      <c r="K84" s="30" t="s">
        <v>297</v>
      </c>
      <c r="L84" s="30" t="s">
        <v>298</v>
      </c>
      <c r="M84" s="30" t="s">
        <v>299</v>
      </c>
      <c r="N84" s="30" t="s">
        <v>95</v>
      </c>
      <c r="O84" s="30" t="s">
        <v>95</v>
      </c>
      <c r="P84" s="30" t="s">
        <v>95</v>
      </c>
      <c r="Q84" s="30" t="s">
        <v>95</v>
      </c>
      <c r="R84" s="30" t="s">
        <v>96</v>
      </c>
      <c r="S84" s="27" t="s">
        <v>300</v>
      </c>
      <c r="T84" s="27" t="s">
        <v>98</v>
      </c>
    </row>
    <row r="85" spans="1:20" ht="19.5" customHeight="1" x14ac:dyDescent="0.25">
      <c r="A85" s="24" t="s">
        <v>40</v>
      </c>
      <c r="B85" s="24" t="s">
        <v>332</v>
      </c>
      <c r="C85" s="24" t="s">
        <v>296</v>
      </c>
      <c r="D85" s="24" t="s">
        <v>106</v>
      </c>
      <c r="E85" s="33"/>
      <c r="F85" s="34" t="s">
        <v>107</v>
      </c>
      <c r="G85" s="19" t="s">
        <v>88</v>
      </c>
      <c r="H85" s="19" t="s">
        <v>133</v>
      </c>
      <c r="I85" s="19" t="s">
        <v>90</v>
      </c>
      <c r="J85" s="19" t="s">
        <v>91</v>
      </c>
      <c r="K85" s="19" t="s">
        <v>297</v>
      </c>
      <c r="L85" s="19" t="s">
        <v>298</v>
      </c>
      <c r="M85" s="19" t="s">
        <v>299</v>
      </c>
      <c r="N85" s="19" t="s">
        <v>95</v>
      </c>
      <c r="O85" s="19" t="s">
        <v>95</v>
      </c>
      <c r="P85" s="19" t="s">
        <v>95</v>
      </c>
      <c r="Q85" s="19" t="s">
        <v>95</v>
      </c>
      <c r="R85" s="19" t="s">
        <v>96</v>
      </c>
      <c r="S85" s="24" t="s">
        <v>300</v>
      </c>
      <c r="T85" s="24" t="s">
        <v>98</v>
      </c>
    </row>
    <row r="86" spans="1:20" ht="19.5" customHeight="1" x14ac:dyDescent="0.25">
      <c r="A86" s="27" t="s">
        <v>40</v>
      </c>
      <c r="B86" s="27" t="s">
        <v>333</v>
      </c>
      <c r="C86" s="27" t="s">
        <v>296</v>
      </c>
      <c r="D86" s="27" t="s">
        <v>334</v>
      </c>
      <c r="E86" s="94"/>
      <c r="F86" s="26" t="s">
        <v>335</v>
      </c>
      <c r="G86" s="30" t="s">
        <v>88</v>
      </c>
      <c r="H86" s="30" t="s">
        <v>133</v>
      </c>
      <c r="I86" s="30" t="s">
        <v>90</v>
      </c>
      <c r="J86" s="30" t="s">
        <v>91</v>
      </c>
      <c r="K86" s="30" t="s">
        <v>297</v>
      </c>
      <c r="L86" s="30" t="s">
        <v>298</v>
      </c>
      <c r="M86" s="30" t="s">
        <v>299</v>
      </c>
      <c r="N86" s="30" t="s">
        <v>95</v>
      </c>
      <c r="O86" s="30" t="s">
        <v>95</v>
      </c>
      <c r="P86" s="30" t="s">
        <v>95</v>
      </c>
      <c r="Q86" s="30" t="s">
        <v>95</v>
      </c>
      <c r="R86" s="30" t="s">
        <v>96</v>
      </c>
      <c r="S86" s="27" t="s">
        <v>300</v>
      </c>
      <c r="T86" s="27" t="s">
        <v>98</v>
      </c>
    </row>
    <row r="87" spans="1:20" ht="19.5" customHeight="1" x14ac:dyDescent="0.25">
      <c r="A87" s="24" t="s">
        <v>40</v>
      </c>
      <c r="B87" s="24" t="s">
        <v>336</v>
      </c>
      <c r="C87" s="24" t="s">
        <v>296</v>
      </c>
      <c r="D87" s="24" t="s">
        <v>249</v>
      </c>
      <c r="E87" s="95"/>
      <c r="F87" s="96" t="s">
        <v>337</v>
      </c>
      <c r="G87" s="19" t="s">
        <v>88</v>
      </c>
      <c r="H87" s="19" t="s">
        <v>133</v>
      </c>
      <c r="I87" s="19" t="s">
        <v>90</v>
      </c>
      <c r="J87" s="19" t="s">
        <v>91</v>
      </c>
      <c r="K87" s="19" t="s">
        <v>297</v>
      </c>
      <c r="L87" s="19" t="s">
        <v>298</v>
      </c>
      <c r="M87" s="19" t="s">
        <v>299</v>
      </c>
      <c r="N87" s="19" t="s">
        <v>95</v>
      </c>
      <c r="O87" s="19" t="s">
        <v>95</v>
      </c>
      <c r="P87" s="19" t="s">
        <v>95</v>
      </c>
      <c r="Q87" s="19" t="s">
        <v>95</v>
      </c>
      <c r="R87" s="19" t="s">
        <v>96</v>
      </c>
      <c r="S87" s="24" t="s">
        <v>300</v>
      </c>
      <c r="T87" s="24" t="s">
        <v>98</v>
      </c>
    </row>
    <row r="88" spans="1:20" ht="19.5" customHeight="1" x14ac:dyDescent="0.25">
      <c r="A88" s="27" t="s">
        <v>40</v>
      </c>
      <c r="B88" s="27" t="s">
        <v>338</v>
      </c>
      <c r="C88" s="27" t="s">
        <v>296</v>
      </c>
      <c r="D88" s="27" t="s">
        <v>339</v>
      </c>
      <c r="E88" s="97"/>
      <c r="F88" s="98" t="s">
        <v>340</v>
      </c>
      <c r="G88" s="30" t="s">
        <v>88</v>
      </c>
      <c r="H88" s="30" t="s">
        <v>133</v>
      </c>
      <c r="I88" s="30" t="s">
        <v>90</v>
      </c>
      <c r="J88" s="30" t="s">
        <v>91</v>
      </c>
      <c r="K88" s="30" t="s">
        <v>297</v>
      </c>
      <c r="L88" s="30" t="s">
        <v>298</v>
      </c>
      <c r="M88" s="30" t="s">
        <v>299</v>
      </c>
      <c r="N88" s="30" t="s">
        <v>95</v>
      </c>
      <c r="O88" s="30" t="s">
        <v>95</v>
      </c>
      <c r="P88" s="30" t="s">
        <v>95</v>
      </c>
      <c r="Q88" s="30" t="s">
        <v>95</v>
      </c>
      <c r="R88" s="30" t="s">
        <v>96</v>
      </c>
      <c r="S88" s="27" t="s">
        <v>300</v>
      </c>
      <c r="T88" s="27" t="s">
        <v>98</v>
      </c>
    </row>
    <row r="89" spans="1:20" ht="19.5" customHeight="1" x14ac:dyDescent="0.25">
      <c r="A89" s="24" t="s">
        <v>40</v>
      </c>
      <c r="B89" s="24" t="s">
        <v>341</v>
      </c>
      <c r="C89" s="24" t="s">
        <v>296</v>
      </c>
      <c r="D89" s="24" t="s">
        <v>252</v>
      </c>
      <c r="E89" s="54"/>
      <c r="F89" s="99" t="s">
        <v>342</v>
      </c>
      <c r="G89" s="19" t="s">
        <v>88</v>
      </c>
      <c r="H89" s="19" t="s">
        <v>133</v>
      </c>
      <c r="I89" s="19" t="s">
        <v>90</v>
      </c>
      <c r="J89" s="19" t="s">
        <v>91</v>
      </c>
      <c r="K89" s="19" t="s">
        <v>297</v>
      </c>
      <c r="L89" s="19" t="s">
        <v>298</v>
      </c>
      <c r="M89" s="19" t="s">
        <v>299</v>
      </c>
      <c r="N89" s="19" t="s">
        <v>95</v>
      </c>
      <c r="O89" s="19" t="s">
        <v>95</v>
      </c>
      <c r="P89" s="19" t="s">
        <v>95</v>
      </c>
      <c r="Q89" s="19" t="s">
        <v>95</v>
      </c>
      <c r="R89" s="19" t="s">
        <v>96</v>
      </c>
      <c r="S89" s="24" t="s">
        <v>300</v>
      </c>
      <c r="T89" s="24" t="s">
        <v>98</v>
      </c>
    </row>
    <row r="90" spans="1:20" ht="19.5" customHeight="1" x14ac:dyDescent="0.25">
      <c r="A90" s="27" t="s">
        <v>40</v>
      </c>
      <c r="B90" s="27" t="s">
        <v>343</v>
      </c>
      <c r="C90" s="27" t="s">
        <v>296</v>
      </c>
      <c r="D90" s="27" t="s">
        <v>151</v>
      </c>
      <c r="E90" s="42"/>
      <c r="F90" s="43" t="s">
        <v>152</v>
      </c>
      <c r="G90" s="30" t="s">
        <v>88</v>
      </c>
      <c r="H90" s="30" t="s">
        <v>133</v>
      </c>
      <c r="I90" s="30" t="s">
        <v>90</v>
      </c>
      <c r="J90" s="30" t="s">
        <v>91</v>
      </c>
      <c r="K90" s="30" t="s">
        <v>297</v>
      </c>
      <c r="L90" s="30" t="s">
        <v>298</v>
      </c>
      <c r="M90" s="30" t="s">
        <v>299</v>
      </c>
      <c r="N90" s="30" t="s">
        <v>95</v>
      </c>
      <c r="O90" s="30" t="s">
        <v>95</v>
      </c>
      <c r="P90" s="30" t="s">
        <v>95</v>
      </c>
      <c r="Q90" s="30" t="s">
        <v>95</v>
      </c>
      <c r="R90" s="30" t="s">
        <v>96</v>
      </c>
      <c r="S90" s="27" t="s">
        <v>300</v>
      </c>
      <c r="T90" s="27" t="s">
        <v>98</v>
      </c>
    </row>
    <row r="91" spans="1:20" ht="19.5" customHeight="1" x14ac:dyDescent="0.25">
      <c r="A91" s="24" t="s">
        <v>40</v>
      </c>
      <c r="B91" s="24" t="s">
        <v>344</v>
      </c>
      <c r="C91" s="24" t="s">
        <v>296</v>
      </c>
      <c r="D91" s="24" t="s">
        <v>270</v>
      </c>
      <c r="E91" s="79"/>
      <c r="F91" s="80" t="s">
        <v>271</v>
      </c>
      <c r="G91" s="19" t="s">
        <v>88</v>
      </c>
      <c r="H91" s="19" t="s">
        <v>133</v>
      </c>
      <c r="I91" s="19" t="s">
        <v>90</v>
      </c>
      <c r="J91" s="19" t="s">
        <v>91</v>
      </c>
      <c r="K91" s="19" t="s">
        <v>297</v>
      </c>
      <c r="L91" s="19" t="s">
        <v>298</v>
      </c>
      <c r="M91" s="19" t="s">
        <v>299</v>
      </c>
      <c r="N91" s="19" t="s">
        <v>95</v>
      </c>
      <c r="O91" s="19" t="s">
        <v>95</v>
      </c>
      <c r="P91" s="19" t="s">
        <v>95</v>
      </c>
      <c r="Q91" s="19" t="s">
        <v>95</v>
      </c>
      <c r="R91" s="19" t="s">
        <v>96</v>
      </c>
      <c r="S91" s="24" t="s">
        <v>300</v>
      </c>
      <c r="T91" s="24" t="s">
        <v>98</v>
      </c>
    </row>
    <row r="92" spans="1:20" ht="19.5" customHeight="1" x14ac:dyDescent="0.25">
      <c r="A92" s="27" t="s">
        <v>40</v>
      </c>
      <c r="B92" s="27" t="s">
        <v>345</v>
      </c>
      <c r="C92" s="27" t="s">
        <v>296</v>
      </c>
      <c r="D92" s="27" t="s">
        <v>109</v>
      </c>
      <c r="E92" s="19"/>
      <c r="F92" s="35" t="s">
        <v>110</v>
      </c>
      <c r="G92" s="30" t="s">
        <v>88</v>
      </c>
      <c r="H92" s="30" t="s">
        <v>133</v>
      </c>
      <c r="I92" s="30" t="s">
        <v>90</v>
      </c>
      <c r="J92" s="30" t="s">
        <v>91</v>
      </c>
      <c r="K92" s="30" t="s">
        <v>297</v>
      </c>
      <c r="L92" s="30" t="s">
        <v>298</v>
      </c>
      <c r="M92" s="30" t="s">
        <v>299</v>
      </c>
      <c r="N92" s="30" t="s">
        <v>95</v>
      </c>
      <c r="O92" s="30" t="s">
        <v>95</v>
      </c>
      <c r="P92" s="30" t="s">
        <v>95</v>
      </c>
      <c r="Q92" s="30" t="s">
        <v>95</v>
      </c>
      <c r="R92" s="30" t="s">
        <v>96</v>
      </c>
      <c r="S92" s="27" t="s">
        <v>300</v>
      </c>
      <c r="T92" s="27" t="s">
        <v>98</v>
      </c>
    </row>
    <row r="93" spans="1:20" ht="19.5" customHeight="1" x14ac:dyDescent="0.25">
      <c r="A93" s="24" t="s">
        <v>40</v>
      </c>
      <c r="B93" s="24" t="s">
        <v>346</v>
      </c>
      <c r="C93" s="24" t="s">
        <v>296</v>
      </c>
      <c r="D93" s="24" t="s">
        <v>347</v>
      </c>
      <c r="E93" s="100"/>
      <c r="F93" s="101" t="s">
        <v>348</v>
      </c>
      <c r="G93" s="19" t="s">
        <v>88</v>
      </c>
      <c r="H93" s="19" t="s">
        <v>133</v>
      </c>
      <c r="I93" s="19" t="s">
        <v>90</v>
      </c>
      <c r="J93" s="19" t="s">
        <v>91</v>
      </c>
      <c r="K93" s="19" t="s">
        <v>297</v>
      </c>
      <c r="L93" s="19" t="s">
        <v>298</v>
      </c>
      <c r="M93" s="19" t="s">
        <v>299</v>
      </c>
      <c r="N93" s="19" t="s">
        <v>95</v>
      </c>
      <c r="O93" s="19" t="s">
        <v>95</v>
      </c>
      <c r="P93" s="19" t="s">
        <v>95</v>
      </c>
      <c r="Q93" s="19" t="s">
        <v>95</v>
      </c>
      <c r="R93" s="19" t="s">
        <v>96</v>
      </c>
      <c r="S93" s="24" t="s">
        <v>300</v>
      </c>
      <c r="T93" s="24" t="s">
        <v>98</v>
      </c>
    </row>
    <row r="94" spans="1:20" ht="19.5" customHeight="1" x14ac:dyDescent="0.25">
      <c r="A94" s="27" t="s">
        <v>41</v>
      </c>
      <c r="B94" s="27" t="s">
        <v>349</v>
      </c>
      <c r="C94" s="27" t="s">
        <v>350</v>
      </c>
      <c r="D94" s="27" t="s">
        <v>286</v>
      </c>
      <c r="E94" s="38"/>
      <c r="F94" s="39" t="s">
        <v>144</v>
      </c>
      <c r="G94" s="30" t="s">
        <v>88</v>
      </c>
      <c r="H94" s="30" t="s">
        <v>133</v>
      </c>
      <c r="I94" s="30" t="s">
        <v>90</v>
      </c>
      <c r="J94" s="30" t="s">
        <v>91</v>
      </c>
      <c r="K94" s="30" t="s">
        <v>351</v>
      </c>
      <c r="L94" s="30" t="s">
        <v>352</v>
      </c>
      <c r="M94" s="30" t="s">
        <v>353</v>
      </c>
      <c r="N94" s="30" t="s">
        <v>95</v>
      </c>
      <c r="O94" s="30" t="s">
        <v>95</v>
      </c>
      <c r="P94" s="30" t="s">
        <v>95</v>
      </c>
      <c r="Q94" s="30" t="s">
        <v>95</v>
      </c>
      <c r="R94" s="30" t="s">
        <v>114</v>
      </c>
      <c r="S94" s="27" t="s">
        <v>354</v>
      </c>
      <c r="T94" s="27" t="s">
        <v>288</v>
      </c>
    </row>
    <row r="95" spans="1:20" ht="19.5" customHeight="1" x14ac:dyDescent="0.25">
      <c r="A95" s="24" t="s">
        <v>42</v>
      </c>
      <c r="B95" s="24" t="s">
        <v>355</v>
      </c>
      <c r="C95" s="24" t="s">
        <v>356</v>
      </c>
      <c r="D95" s="24" t="s">
        <v>86</v>
      </c>
      <c r="E95" s="25"/>
      <c r="F95" s="26" t="s">
        <v>87</v>
      </c>
      <c r="G95" s="19" t="s">
        <v>88</v>
      </c>
      <c r="H95" s="19" t="s">
        <v>133</v>
      </c>
      <c r="I95" s="19" t="s">
        <v>90</v>
      </c>
      <c r="J95" s="19" t="s">
        <v>91</v>
      </c>
      <c r="K95" s="19" t="s">
        <v>351</v>
      </c>
      <c r="L95" s="19" t="s">
        <v>298</v>
      </c>
      <c r="M95" s="19" t="s">
        <v>353</v>
      </c>
      <c r="N95" s="19" t="s">
        <v>95</v>
      </c>
      <c r="O95" s="19" t="s">
        <v>95</v>
      </c>
      <c r="P95" s="19" t="s">
        <v>95</v>
      </c>
      <c r="Q95" s="19" t="s">
        <v>95</v>
      </c>
      <c r="R95" s="19" t="s">
        <v>114</v>
      </c>
      <c r="S95" s="24" t="s">
        <v>357</v>
      </c>
      <c r="T95" s="24" t="s">
        <v>116</v>
      </c>
    </row>
    <row r="96" spans="1:20" ht="19.5" customHeight="1" x14ac:dyDescent="0.25">
      <c r="A96" s="27" t="s">
        <v>43</v>
      </c>
      <c r="B96" s="27" t="s">
        <v>358</v>
      </c>
      <c r="C96" s="27" t="s">
        <v>359</v>
      </c>
      <c r="D96" s="27" t="s">
        <v>86</v>
      </c>
      <c r="E96" s="25"/>
      <c r="F96" s="26" t="s">
        <v>87</v>
      </c>
      <c r="G96" s="30" t="s">
        <v>88</v>
      </c>
      <c r="H96" s="30" t="s">
        <v>133</v>
      </c>
      <c r="I96" s="30" t="s">
        <v>90</v>
      </c>
      <c r="J96" s="30" t="s">
        <v>91</v>
      </c>
      <c r="K96" s="30" t="s">
        <v>360</v>
      </c>
      <c r="L96" s="30" t="s">
        <v>352</v>
      </c>
      <c r="M96" s="30" t="s">
        <v>353</v>
      </c>
      <c r="N96" s="30" t="s">
        <v>95</v>
      </c>
      <c r="O96" s="30" t="s">
        <v>95</v>
      </c>
      <c r="P96" s="30" t="s">
        <v>95</v>
      </c>
      <c r="Q96" s="30" t="s">
        <v>95</v>
      </c>
      <c r="R96" s="30" t="s">
        <v>114</v>
      </c>
      <c r="S96" s="27" t="s">
        <v>361</v>
      </c>
      <c r="T96" s="27" t="s">
        <v>116</v>
      </c>
    </row>
    <row r="97" spans="1:20" ht="19.5" customHeight="1" x14ac:dyDescent="0.25">
      <c r="A97" s="24" t="s">
        <v>44</v>
      </c>
      <c r="B97" s="24" t="s">
        <v>362</v>
      </c>
      <c r="C97" s="24" t="s">
        <v>363</v>
      </c>
      <c r="D97" s="24" t="s">
        <v>364</v>
      </c>
      <c r="E97" s="38"/>
      <c r="F97" s="39" t="s">
        <v>144</v>
      </c>
      <c r="G97" s="19" t="s">
        <v>88</v>
      </c>
      <c r="H97" s="19" t="s">
        <v>133</v>
      </c>
      <c r="I97" s="19" t="s">
        <v>90</v>
      </c>
      <c r="J97" s="19" t="s">
        <v>91</v>
      </c>
      <c r="K97" s="19" t="s">
        <v>365</v>
      </c>
      <c r="L97" s="19" t="s">
        <v>352</v>
      </c>
      <c r="M97" s="19" t="s">
        <v>353</v>
      </c>
      <c r="N97" s="19" t="s">
        <v>95</v>
      </c>
      <c r="O97" s="19" t="s">
        <v>95</v>
      </c>
      <c r="P97" s="19" t="s">
        <v>95</v>
      </c>
      <c r="Q97" s="19" t="s">
        <v>95</v>
      </c>
      <c r="R97" s="19" t="s">
        <v>164</v>
      </c>
      <c r="S97" s="24" t="s">
        <v>366</v>
      </c>
      <c r="T97" s="24" t="s">
        <v>314</v>
      </c>
    </row>
    <row r="98" spans="1:20" ht="19.5" customHeight="1" x14ac:dyDescent="0.25">
      <c r="A98" s="27" t="s">
        <v>45</v>
      </c>
      <c r="B98" s="27" t="s">
        <v>367</v>
      </c>
      <c r="C98" s="27" t="s">
        <v>368</v>
      </c>
      <c r="D98" s="27" t="s">
        <v>100</v>
      </c>
      <c r="E98" s="28"/>
      <c r="F98" s="29" t="s">
        <v>101</v>
      </c>
      <c r="G98" s="30" t="s">
        <v>88</v>
      </c>
      <c r="H98" s="30" t="s">
        <v>133</v>
      </c>
      <c r="I98" s="30" t="s">
        <v>90</v>
      </c>
      <c r="J98" s="30" t="s">
        <v>91</v>
      </c>
      <c r="K98" s="30" t="s">
        <v>351</v>
      </c>
      <c r="L98" s="30" t="s">
        <v>352</v>
      </c>
      <c r="M98" s="30" t="s">
        <v>353</v>
      </c>
      <c r="N98" s="30" t="s">
        <v>95</v>
      </c>
      <c r="O98" s="30" t="s">
        <v>95</v>
      </c>
      <c r="P98" s="30" t="s">
        <v>95</v>
      </c>
      <c r="Q98" s="30" t="s">
        <v>95</v>
      </c>
      <c r="R98" s="30" t="s">
        <v>96</v>
      </c>
      <c r="S98" s="27" t="s">
        <v>369</v>
      </c>
      <c r="T98" s="27" t="s">
        <v>370</v>
      </c>
    </row>
    <row r="99" spans="1:20" ht="19.5" customHeight="1" x14ac:dyDescent="0.25">
      <c r="A99" s="24" t="s">
        <v>45</v>
      </c>
      <c r="B99" s="24" t="s">
        <v>371</v>
      </c>
      <c r="C99" s="24" t="s">
        <v>368</v>
      </c>
      <c r="D99" s="24" t="s">
        <v>139</v>
      </c>
      <c r="E99" s="36"/>
      <c r="F99" s="37" t="s">
        <v>140</v>
      </c>
      <c r="G99" s="19" t="s">
        <v>88</v>
      </c>
      <c r="H99" s="19" t="s">
        <v>133</v>
      </c>
      <c r="I99" s="19" t="s">
        <v>90</v>
      </c>
      <c r="J99" s="19" t="s">
        <v>91</v>
      </c>
      <c r="K99" s="19" t="s">
        <v>351</v>
      </c>
      <c r="L99" s="19" t="s">
        <v>352</v>
      </c>
      <c r="M99" s="19" t="s">
        <v>353</v>
      </c>
      <c r="N99" s="19" t="s">
        <v>95</v>
      </c>
      <c r="O99" s="19" t="s">
        <v>95</v>
      </c>
      <c r="P99" s="19" t="s">
        <v>95</v>
      </c>
      <c r="Q99" s="19" t="s">
        <v>95</v>
      </c>
      <c r="R99" s="19" t="s">
        <v>96</v>
      </c>
      <c r="S99" s="24" t="s">
        <v>372</v>
      </c>
      <c r="T99" s="24" t="s">
        <v>370</v>
      </c>
    </row>
    <row r="100" spans="1:20" ht="19.5" customHeight="1" x14ac:dyDescent="0.25">
      <c r="A100" s="27" t="s">
        <v>45</v>
      </c>
      <c r="B100" s="27" t="s">
        <v>373</v>
      </c>
      <c r="C100" s="27" t="s">
        <v>368</v>
      </c>
      <c r="D100" s="27" t="s">
        <v>106</v>
      </c>
      <c r="E100" s="33"/>
      <c r="F100" s="34" t="s">
        <v>107</v>
      </c>
      <c r="G100" s="30" t="s">
        <v>88</v>
      </c>
      <c r="H100" s="30" t="s">
        <v>133</v>
      </c>
      <c r="I100" s="30" t="s">
        <v>90</v>
      </c>
      <c r="J100" s="30" t="s">
        <v>91</v>
      </c>
      <c r="K100" s="30" t="s">
        <v>351</v>
      </c>
      <c r="L100" s="30" t="s">
        <v>352</v>
      </c>
      <c r="M100" s="30" t="s">
        <v>353</v>
      </c>
      <c r="N100" s="30" t="s">
        <v>95</v>
      </c>
      <c r="O100" s="30" t="s">
        <v>95</v>
      </c>
      <c r="P100" s="30" t="s">
        <v>95</v>
      </c>
      <c r="Q100" s="30" t="s">
        <v>95</v>
      </c>
      <c r="R100" s="30" t="s">
        <v>96</v>
      </c>
      <c r="S100" s="27" t="s">
        <v>374</v>
      </c>
      <c r="T100" s="27" t="s">
        <v>370</v>
      </c>
    </row>
    <row r="101" spans="1:20" ht="19.5" customHeight="1" x14ac:dyDescent="0.25">
      <c r="A101" s="24" t="s">
        <v>45</v>
      </c>
      <c r="B101" s="24" t="s">
        <v>375</v>
      </c>
      <c r="C101" s="24" t="s">
        <v>368</v>
      </c>
      <c r="D101" s="24" t="s">
        <v>347</v>
      </c>
      <c r="E101" s="100"/>
      <c r="F101" s="101" t="s">
        <v>348</v>
      </c>
      <c r="G101" s="19" t="s">
        <v>88</v>
      </c>
      <c r="H101" s="19" t="s">
        <v>133</v>
      </c>
      <c r="I101" s="19" t="s">
        <v>90</v>
      </c>
      <c r="J101" s="19" t="s">
        <v>91</v>
      </c>
      <c r="K101" s="19" t="s">
        <v>351</v>
      </c>
      <c r="L101" s="19" t="s">
        <v>352</v>
      </c>
      <c r="M101" s="19" t="s">
        <v>353</v>
      </c>
      <c r="N101" s="19" t="s">
        <v>95</v>
      </c>
      <c r="O101" s="19" t="s">
        <v>95</v>
      </c>
      <c r="P101" s="19" t="s">
        <v>95</v>
      </c>
      <c r="Q101" s="19" t="s">
        <v>95</v>
      </c>
      <c r="R101" s="19" t="s">
        <v>96</v>
      </c>
      <c r="S101" s="24" t="s">
        <v>376</v>
      </c>
      <c r="T101" s="24" t="s">
        <v>370</v>
      </c>
    </row>
    <row r="102" spans="1:20" ht="19.5" customHeight="1" x14ac:dyDescent="0.25">
      <c r="A102" s="27" t="s">
        <v>46</v>
      </c>
      <c r="B102" s="27" t="s">
        <v>377</v>
      </c>
      <c r="C102" s="27" t="s">
        <v>378</v>
      </c>
      <c r="D102" s="27" t="s">
        <v>379</v>
      </c>
      <c r="E102" s="38"/>
      <c r="F102" s="39" t="s">
        <v>144</v>
      </c>
      <c r="G102" s="30" t="s">
        <v>88</v>
      </c>
      <c r="H102" s="30" t="s">
        <v>133</v>
      </c>
      <c r="I102" s="30" t="s">
        <v>90</v>
      </c>
      <c r="J102" s="30" t="s">
        <v>91</v>
      </c>
      <c r="K102" s="30" t="s">
        <v>351</v>
      </c>
      <c r="L102" s="30" t="s">
        <v>352</v>
      </c>
      <c r="M102" s="30" t="s">
        <v>353</v>
      </c>
      <c r="N102" s="30" t="s">
        <v>95</v>
      </c>
      <c r="O102" s="30" t="s">
        <v>95</v>
      </c>
      <c r="P102" s="30" t="s">
        <v>95</v>
      </c>
      <c r="Q102" s="30" t="s">
        <v>95</v>
      </c>
      <c r="R102" s="30" t="s">
        <v>114</v>
      </c>
      <c r="S102" s="27" t="s">
        <v>380</v>
      </c>
      <c r="T102" s="27" t="s">
        <v>288</v>
      </c>
    </row>
    <row r="103" spans="1:20" ht="19.5" customHeight="1" x14ac:dyDescent="0.25">
      <c r="A103" s="24" t="s">
        <v>47</v>
      </c>
      <c r="B103" s="24" t="s">
        <v>381</v>
      </c>
      <c r="C103" s="24" t="s">
        <v>382</v>
      </c>
      <c r="D103" s="24" t="s">
        <v>383</v>
      </c>
      <c r="E103" s="38"/>
      <c r="F103" s="39" t="s">
        <v>144</v>
      </c>
      <c r="G103" s="19" t="s">
        <v>88</v>
      </c>
      <c r="H103" s="19" t="s">
        <v>133</v>
      </c>
      <c r="I103" s="19" t="s">
        <v>90</v>
      </c>
      <c r="J103" s="19" t="s">
        <v>91</v>
      </c>
      <c r="K103" s="19" t="s">
        <v>365</v>
      </c>
      <c r="L103" s="19" t="s">
        <v>352</v>
      </c>
      <c r="M103" s="19" t="s">
        <v>353</v>
      </c>
      <c r="N103" s="19" t="s">
        <v>95</v>
      </c>
      <c r="O103" s="19" t="s">
        <v>95</v>
      </c>
      <c r="P103" s="19" t="s">
        <v>95</v>
      </c>
      <c r="Q103" s="19" t="s">
        <v>95</v>
      </c>
      <c r="R103" s="19" t="s">
        <v>96</v>
      </c>
      <c r="S103" s="24" t="s">
        <v>384</v>
      </c>
      <c r="T103" s="24" t="s">
        <v>281</v>
      </c>
    </row>
    <row r="104" spans="1:20" ht="19.5" customHeight="1" x14ac:dyDescent="0.25">
      <c r="A104" s="27" t="s">
        <v>47</v>
      </c>
      <c r="B104" s="27" t="s">
        <v>385</v>
      </c>
      <c r="C104" s="27" t="s">
        <v>382</v>
      </c>
      <c r="D104" s="27" t="s">
        <v>386</v>
      </c>
      <c r="E104" s="102"/>
      <c r="F104" s="103" t="s">
        <v>387</v>
      </c>
      <c r="G104" s="30" t="s">
        <v>88</v>
      </c>
      <c r="H104" s="30" t="s">
        <v>133</v>
      </c>
      <c r="I104" s="30" t="s">
        <v>90</v>
      </c>
      <c r="J104" s="30" t="s">
        <v>91</v>
      </c>
      <c r="K104" s="30" t="s">
        <v>365</v>
      </c>
      <c r="L104" s="30" t="s">
        <v>352</v>
      </c>
      <c r="M104" s="30" t="s">
        <v>353</v>
      </c>
      <c r="N104" s="30" t="s">
        <v>95</v>
      </c>
      <c r="O104" s="30" t="s">
        <v>95</v>
      </c>
      <c r="P104" s="30" t="s">
        <v>95</v>
      </c>
      <c r="Q104" s="30" t="s">
        <v>95</v>
      </c>
      <c r="R104" s="30" t="s">
        <v>96</v>
      </c>
      <c r="S104" s="27" t="s">
        <v>384</v>
      </c>
      <c r="T104" s="27" t="s">
        <v>388</v>
      </c>
    </row>
    <row r="105" spans="1:20" ht="19.5" customHeight="1" x14ac:dyDescent="0.25">
      <c r="A105" s="24" t="s">
        <v>47</v>
      </c>
      <c r="B105" s="24" t="s">
        <v>389</v>
      </c>
      <c r="C105" s="24" t="s">
        <v>382</v>
      </c>
      <c r="D105" s="24" t="s">
        <v>390</v>
      </c>
      <c r="E105" s="38"/>
      <c r="F105" s="39" t="s">
        <v>144</v>
      </c>
      <c r="G105" s="19" t="s">
        <v>88</v>
      </c>
      <c r="H105" s="19" t="s">
        <v>133</v>
      </c>
      <c r="I105" s="19" t="s">
        <v>90</v>
      </c>
      <c r="J105" s="19" t="s">
        <v>91</v>
      </c>
      <c r="K105" s="19" t="s">
        <v>365</v>
      </c>
      <c r="L105" s="19" t="s">
        <v>352</v>
      </c>
      <c r="M105" s="19" t="s">
        <v>353</v>
      </c>
      <c r="N105" s="19" t="s">
        <v>95</v>
      </c>
      <c r="O105" s="19" t="s">
        <v>95</v>
      </c>
      <c r="P105" s="19" t="s">
        <v>95</v>
      </c>
      <c r="Q105" s="19" t="s">
        <v>95</v>
      </c>
      <c r="R105" s="19" t="s">
        <v>96</v>
      </c>
      <c r="S105" s="24" t="s">
        <v>384</v>
      </c>
      <c r="T105" s="24" t="s">
        <v>281</v>
      </c>
    </row>
    <row r="106" spans="1:20" ht="19.5" customHeight="1" x14ac:dyDescent="0.25">
      <c r="A106" s="27" t="s">
        <v>47</v>
      </c>
      <c r="B106" s="27" t="s">
        <v>391</v>
      </c>
      <c r="C106" s="27" t="s">
        <v>382</v>
      </c>
      <c r="D106" s="27" t="s">
        <v>392</v>
      </c>
      <c r="E106" s="38"/>
      <c r="F106" s="39" t="s">
        <v>144</v>
      </c>
      <c r="G106" s="30" t="s">
        <v>88</v>
      </c>
      <c r="H106" s="30" t="s">
        <v>133</v>
      </c>
      <c r="I106" s="30" t="s">
        <v>90</v>
      </c>
      <c r="J106" s="30" t="s">
        <v>91</v>
      </c>
      <c r="K106" s="30" t="s">
        <v>365</v>
      </c>
      <c r="L106" s="30" t="s">
        <v>352</v>
      </c>
      <c r="M106" s="30" t="s">
        <v>353</v>
      </c>
      <c r="N106" s="30" t="s">
        <v>95</v>
      </c>
      <c r="O106" s="30" t="s">
        <v>95</v>
      </c>
      <c r="P106" s="30" t="s">
        <v>95</v>
      </c>
      <c r="Q106" s="30" t="s">
        <v>95</v>
      </c>
      <c r="R106" s="30" t="s">
        <v>96</v>
      </c>
      <c r="S106" s="27" t="s">
        <v>384</v>
      </c>
      <c r="T106" s="27" t="s">
        <v>281</v>
      </c>
    </row>
    <row r="107" spans="1:20" ht="19.5" customHeight="1" x14ac:dyDescent="0.25">
      <c r="A107" s="24" t="s">
        <v>47</v>
      </c>
      <c r="B107" s="24" t="s">
        <v>393</v>
      </c>
      <c r="C107" s="24" t="s">
        <v>382</v>
      </c>
      <c r="D107" s="24" t="s">
        <v>394</v>
      </c>
      <c r="E107" s="38"/>
      <c r="F107" s="39" t="s">
        <v>144</v>
      </c>
      <c r="G107" s="19" t="s">
        <v>88</v>
      </c>
      <c r="H107" s="19" t="s">
        <v>133</v>
      </c>
      <c r="I107" s="19" t="s">
        <v>90</v>
      </c>
      <c r="J107" s="19" t="s">
        <v>91</v>
      </c>
      <c r="K107" s="19" t="s">
        <v>365</v>
      </c>
      <c r="L107" s="19" t="s">
        <v>352</v>
      </c>
      <c r="M107" s="19" t="s">
        <v>353</v>
      </c>
      <c r="N107" s="19" t="s">
        <v>95</v>
      </c>
      <c r="O107" s="19" t="s">
        <v>95</v>
      </c>
      <c r="P107" s="19" t="s">
        <v>95</v>
      </c>
      <c r="Q107" s="19" t="s">
        <v>95</v>
      </c>
      <c r="R107" s="19" t="s">
        <v>96</v>
      </c>
      <c r="S107" s="24" t="s">
        <v>384</v>
      </c>
      <c r="T107" s="24" t="s">
        <v>281</v>
      </c>
    </row>
    <row r="108" spans="1:20" ht="19.5" customHeight="1" x14ac:dyDescent="0.25">
      <c r="A108" s="27" t="s">
        <v>47</v>
      </c>
      <c r="B108" s="27" t="s">
        <v>395</v>
      </c>
      <c r="C108" s="27" t="s">
        <v>382</v>
      </c>
      <c r="D108" s="27" t="s">
        <v>396</v>
      </c>
      <c r="E108" s="38"/>
      <c r="F108" s="39" t="s">
        <v>144</v>
      </c>
      <c r="G108" s="30" t="s">
        <v>88</v>
      </c>
      <c r="H108" s="30" t="s">
        <v>133</v>
      </c>
      <c r="I108" s="30" t="s">
        <v>90</v>
      </c>
      <c r="J108" s="30" t="s">
        <v>91</v>
      </c>
      <c r="K108" s="30" t="s">
        <v>365</v>
      </c>
      <c r="L108" s="30" t="s">
        <v>352</v>
      </c>
      <c r="M108" s="30" t="s">
        <v>353</v>
      </c>
      <c r="N108" s="30" t="s">
        <v>95</v>
      </c>
      <c r="O108" s="30" t="s">
        <v>95</v>
      </c>
      <c r="P108" s="30" t="s">
        <v>95</v>
      </c>
      <c r="Q108" s="30" t="s">
        <v>95</v>
      </c>
      <c r="R108" s="30" t="s">
        <v>96</v>
      </c>
      <c r="S108" s="27" t="s">
        <v>384</v>
      </c>
      <c r="T108" s="27" t="s">
        <v>281</v>
      </c>
    </row>
    <row r="109" spans="1:20" ht="19.5" customHeight="1" x14ac:dyDescent="0.25">
      <c r="A109" s="24" t="s">
        <v>48</v>
      </c>
      <c r="B109" s="24" t="s">
        <v>397</v>
      </c>
      <c r="C109" s="24" t="s">
        <v>398</v>
      </c>
      <c r="D109" s="24" t="s">
        <v>86</v>
      </c>
      <c r="E109" s="25"/>
      <c r="F109" s="26" t="s">
        <v>87</v>
      </c>
      <c r="G109" s="19" t="s">
        <v>88</v>
      </c>
      <c r="H109" s="19" t="s">
        <v>89</v>
      </c>
      <c r="I109" s="19" t="s">
        <v>90</v>
      </c>
      <c r="J109" s="19" t="s">
        <v>91</v>
      </c>
      <c r="K109" s="19" t="s">
        <v>399</v>
      </c>
      <c r="L109" s="19" t="s">
        <v>400</v>
      </c>
      <c r="M109" s="19" t="s">
        <v>353</v>
      </c>
      <c r="N109" s="19" t="s">
        <v>95</v>
      </c>
      <c r="O109" s="19" t="s">
        <v>95</v>
      </c>
      <c r="P109" s="19" t="s">
        <v>95</v>
      </c>
      <c r="Q109" s="19" t="s">
        <v>95</v>
      </c>
      <c r="R109" s="19" t="s">
        <v>164</v>
      </c>
      <c r="S109" s="24" t="s">
        <v>401</v>
      </c>
      <c r="T109" s="24" t="s">
        <v>294</v>
      </c>
    </row>
    <row r="110" spans="1:20" ht="19.5" customHeight="1" x14ac:dyDescent="0.25">
      <c r="A110" s="27" t="s">
        <v>48</v>
      </c>
      <c r="B110" s="27" t="s">
        <v>402</v>
      </c>
      <c r="C110" s="27" t="s">
        <v>403</v>
      </c>
      <c r="D110" s="27" t="s">
        <v>404</v>
      </c>
      <c r="E110" s="104"/>
      <c r="F110" s="26" t="s">
        <v>405</v>
      </c>
      <c r="G110" s="30" t="s">
        <v>88</v>
      </c>
      <c r="H110" s="30" t="s">
        <v>89</v>
      </c>
      <c r="I110" s="30" t="s">
        <v>90</v>
      </c>
      <c r="J110" s="30" t="s">
        <v>91</v>
      </c>
      <c r="K110" s="30" t="s">
        <v>399</v>
      </c>
      <c r="L110" s="30" t="s">
        <v>400</v>
      </c>
      <c r="M110" s="30" t="s">
        <v>353</v>
      </c>
      <c r="N110" s="30" t="s">
        <v>95</v>
      </c>
      <c r="O110" s="30" t="s">
        <v>95</v>
      </c>
      <c r="P110" s="30" t="s">
        <v>95</v>
      </c>
      <c r="Q110" s="30" t="s">
        <v>95</v>
      </c>
      <c r="R110" s="30" t="s">
        <v>96</v>
      </c>
      <c r="S110" s="27" t="s">
        <v>406</v>
      </c>
      <c r="T110" s="27" t="s">
        <v>407</v>
      </c>
    </row>
    <row r="111" spans="1:20" ht="19.5" customHeight="1" x14ac:dyDescent="0.25">
      <c r="A111" s="24" t="s">
        <v>48</v>
      </c>
      <c r="B111" s="24" t="s">
        <v>408</v>
      </c>
      <c r="C111" s="24" t="s">
        <v>403</v>
      </c>
      <c r="D111" s="24" t="s">
        <v>409</v>
      </c>
      <c r="E111" s="38"/>
      <c r="F111" s="39" t="s">
        <v>144</v>
      </c>
      <c r="G111" s="19" t="s">
        <v>88</v>
      </c>
      <c r="H111" s="19" t="s">
        <v>89</v>
      </c>
      <c r="I111" s="19" t="s">
        <v>90</v>
      </c>
      <c r="J111" s="19" t="s">
        <v>91</v>
      </c>
      <c r="K111" s="19" t="s">
        <v>399</v>
      </c>
      <c r="L111" s="19" t="s">
        <v>400</v>
      </c>
      <c r="M111" s="19" t="s">
        <v>353</v>
      </c>
      <c r="N111" s="19" t="s">
        <v>95</v>
      </c>
      <c r="O111" s="19" t="s">
        <v>95</v>
      </c>
      <c r="P111" s="19" t="s">
        <v>95</v>
      </c>
      <c r="Q111" s="19" t="s">
        <v>95</v>
      </c>
      <c r="R111" s="19" t="s">
        <v>114</v>
      </c>
      <c r="S111" s="24" t="s">
        <v>410</v>
      </c>
      <c r="T111" s="24" t="s">
        <v>411</v>
      </c>
    </row>
    <row r="112" spans="1:20" ht="19.5" customHeight="1" x14ac:dyDescent="0.25">
      <c r="A112" s="27" t="s">
        <v>48</v>
      </c>
      <c r="B112" s="27" t="s">
        <v>412</v>
      </c>
      <c r="C112" s="27" t="s">
        <v>403</v>
      </c>
      <c r="D112" s="27" t="s">
        <v>413</v>
      </c>
      <c r="E112" s="38"/>
      <c r="F112" s="39" t="s">
        <v>144</v>
      </c>
      <c r="G112" s="30" t="s">
        <v>88</v>
      </c>
      <c r="H112" s="30" t="s">
        <v>89</v>
      </c>
      <c r="I112" s="30" t="s">
        <v>90</v>
      </c>
      <c r="J112" s="30" t="s">
        <v>91</v>
      </c>
      <c r="K112" s="30" t="s">
        <v>399</v>
      </c>
      <c r="L112" s="30" t="s">
        <v>400</v>
      </c>
      <c r="M112" s="30" t="s">
        <v>353</v>
      </c>
      <c r="N112" s="30" t="s">
        <v>95</v>
      </c>
      <c r="O112" s="30" t="s">
        <v>95</v>
      </c>
      <c r="P112" s="30" t="s">
        <v>95</v>
      </c>
      <c r="Q112" s="30" t="s">
        <v>95</v>
      </c>
      <c r="R112" s="30" t="s">
        <v>114</v>
      </c>
      <c r="S112" s="27" t="s">
        <v>410</v>
      </c>
      <c r="T112" s="27" t="s">
        <v>411</v>
      </c>
    </row>
    <row r="113" spans="1:20" ht="19.5" customHeight="1" x14ac:dyDescent="0.25">
      <c r="A113" s="24" t="s">
        <v>48</v>
      </c>
      <c r="B113" s="24" t="s">
        <v>414</v>
      </c>
      <c r="C113" s="24" t="s">
        <v>403</v>
      </c>
      <c r="D113" s="24" t="s">
        <v>415</v>
      </c>
      <c r="E113" s="38"/>
      <c r="F113" s="39" t="s">
        <v>144</v>
      </c>
      <c r="G113" s="19" t="s">
        <v>88</v>
      </c>
      <c r="H113" s="19" t="s">
        <v>89</v>
      </c>
      <c r="I113" s="19" t="s">
        <v>90</v>
      </c>
      <c r="J113" s="19" t="s">
        <v>91</v>
      </c>
      <c r="K113" s="19" t="s">
        <v>399</v>
      </c>
      <c r="L113" s="19" t="s">
        <v>400</v>
      </c>
      <c r="M113" s="19" t="s">
        <v>353</v>
      </c>
      <c r="N113" s="19" t="s">
        <v>95</v>
      </c>
      <c r="O113" s="19" t="s">
        <v>95</v>
      </c>
      <c r="P113" s="19" t="s">
        <v>95</v>
      </c>
      <c r="Q113" s="19" t="s">
        <v>95</v>
      </c>
      <c r="R113" s="19" t="s">
        <v>114</v>
      </c>
      <c r="S113" s="24" t="s">
        <v>410</v>
      </c>
      <c r="T113" s="24" t="s">
        <v>411</v>
      </c>
    </row>
    <row r="114" spans="1:20" ht="19.5" customHeight="1" x14ac:dyDescent="0.25">
      <c r="A114" s="27" t="s">
        <v>48</v>
      </c>
      <c r="B114" s="27" t="s">
        <v>416</v>
      </c>
      <c r="C114" s="27" t="s">
        <v>398</v>
      </c>
      <c r="D114" s="27" t="s">
        <v>417</v>
      </c>
      <c r="E114" s="105"/>
      <c r="F114" s="71" t="s">
        <v>418</v>
      </c>
      <c r="G114" s="30" t="s">
        <v>88</v>
      </c>
      <c r="H114" s="30" t="s">
        <v>89</v>
      </c>
      <c r="I114" s="30" t="s">
        <v>90</v>
      </c>
      <c r="J114" s="30" t="s">
        <v>91</v>
      </c>
      <c r="K114" s="30" t="s">
        <v>399</v>
      </c>
      <c r="L114" s="30" t="s">
        <v>400</v>
      </c>
      <c r="M114" s="30" t="s">
        <v>353</v>
      </c>
      <c r="N114" s="30" t="s">
        <v>95</v>
      </c>
      <c r="O114" s="30" t="s">
        <v>95</v>
      </c>
      <c r="P114" s="30" t="s">
        <v>95</v>
      </c>
      <c r="Q114" s="30" t="s">
        <v>95</v>
      </c>
      <c r="R114" s="30" t="s">
        <v>164</v>
      </c>
      <c r="S114" s="27" t="s">
        <v>401</v>
      </c>
      <c r="T114" s="27" t="s">
        <v>419</v>
      </c>
    </row>
    <row r="115" spans="1:20" ht="19.5" customHeight="1" x14ac:dyDescent="0.25">
      <c r="A115" s="24" t="s">
        <v>48</v>
      </c>
      <c r="B115" s="24" t="s">
        <v>420</v>
      </c>
      <c r="C115" s="24" t="s">
        <v>398</v>
      </c>
      <c r="D115" s="24" t="s">
        <v>421</v>
      </c>
      <c r="E115" s="31"/>
      <c r="F115" s="106" t="s">
        <v>422</v>
      </c>
      <c r="G115" s="19" t="s">
        <v>88</v>
      </c>
      <c r="H115" s="19" t="s">
        <v>89</v>
      </c>
      <c r="I115" s="19" t="s">
        <v>90</v>
      </c>
      <c r="J115" s="19" t="s">
        <v>91</v>
      </c>
      <c r="K115" s="19" t="s">
        <v>399</v>
      </c>
      <c r="L115" s="19" t="s">
        <v>400</v>
      </c>
      <c r="M115" s="19" t="s">
        <v>353</v>
      </c>
      <c r="N115" s="19" t="s">
        <v>95</v>
      </c>
      <c r="O115" s="19" t="s">
        <v>95</v>
      </c>
      <c r="P115" s="19" t="s">
        <v>95</v>
      </c>
      <c r="Q115" s="19" t="s">
        <v>95</v>
      </c>
      <c r="R115" s="19" t="s">
        <v>164</v>
      </c>
      <c r="S115" s="24" t="s">
        <v>401</v>
      </c>
      <c r="T115" s="24" t="s">
        <v>419</v>
      </c>
    </row>
    <row r="116" spans="1:20" ht="19.5" customHeight="1" x14ac:dyDescent="0.25">
      <c r="A116" s="27" t="s">
        <v>48</v>
      </c>
      <c r="B116" s="27" t="s">
        <v>423</v>
      </c>
      <c r="C116" s="27" t="s">
        <v>398</v>
      </c>
      <c r="D116" s="27" t="s">
        <v>139</v>
      </c>
      <c r="E116" s="36"/>
      <c r="F116" s="37" t="s">
        <v>140</v>
      </c>
      <c r="G116" s="30" t="s">
        <v>88</v>
      </c>
      <c r="H116" s="30" t="s">
        <v>89</v>
      </c>
      <c r="I116" s="30" t="s">
        <v>90</v>
      </c>
      <c r="J116" s="30" t="s">
        <v>91</v>
      </c>
      <c r="K116" s="30" t="s">
        <v>399</v>
      </c>
      <c r="L116" s="30" t="s">
        <v>400</v>
      </c>
      <c r="M116" s="30" t="s">
        <v>353</v>
      </c>
      <c r="N116" s="30" t="s">
        <v>95</v>
      </c>
      <c r="O116" s="30" t="s">
        <v>95</v>
      </c>
      <c r="P116" s="30" t="s">
        <v>95</v>
      </c>
      <c r="Q116" s="30" t="s">
        <v>95</v>
      </c>
      <c r="R116" s="30" t="s">
        <v>164</v>
      </c>
      <c r="S116" s="27" t="s">
        <v>401</v>
      </c>
      <c r="T116" s="27" t="s">
        <v>294</v>
      </c>
    </row>
    <row r="117" spans="1:20" ht="19.5" customHeight="1" x14ac:dyDescent="0.25">
      <c r="A117" s="24" t="s">
        <v>48</v>
      </c>
      <c r="B117" s="24" t="s">
        <v>424</v>
      </c>
      <c r="C117" s="24" t="s">
        <v>403</v>
      </c>
      <c r="D117" s="24" t="s">
        <v>425</v>
      </c>
      <c r="E117" s="38"/>
      <c r="F117" s="39" t="s">
        <v>144</v>
      </c>
      <c r="G117" s="19" t="s">
        <v>88</v>
      </c>
      <c r="H117" s="19" t="s">
        <v>89</v>
      </c>
      <c r="I117" s="19" t="s">
        <v>90</v>
      </c>
      <c r="J117" s="19" t="s">
        <v>91</v>
      </c>
      <c r="K117" s="19" t="s">
        <v>399</v>
      </c>
      <c r="L117" s="19" t="s">
        <v>400</v>
      </c>
      <c r="M117" s="19" t="s">
        <v>353</v>
      </c>
      <c r="N117" s="19" t="s">
        <v>95</v>
      </c>
      <c r="O117" s="19" t="s">
        <v>95</v>
      </c>
      <c r="P117" s="19" t="s">
        <v>95</v>
      </c>
      <c r="Q117" s="19" t="s">
        <v>95</v>
      </c>
      <c r="R117" s="19" t="s">
        <v>114</v>
      </c>
      <c r="S117" s="24" t="s">
        <v>410</v>
      </c>
      <c r="T117" s="24" t="s">
        <v>411</v>
      </c>
    </row>
    <row r="118" spans="1:20" ht="19.5" customHeight="1" x14ac:dyDescent="0.25">
      <c r="A118" s="27" t="s">
        <v>48</v>
      </c>
      <c r="B118" s="27" t="s">
        <v>426</v>
      </c>
      <c r="C118" s="27" t="s">
        <v>398</v>
      </c>
      <c r="D118" s="27" t="s">
        <v>106</v>
      </c>
      <c r="E118" s="33"/>
      <c r="F118" s="34" t="s">
        <v>107</v>
      </c>
      <c r="G118" s="30" t="s">
        <v>88</v>
      </c>
      <c r="H118" s="30" t="s">
        <v>89</v>
      </c>
      <c r="I118" s="30" t="s">
        <v>90</v>
      </c>
      <c r="J118" s="30" t="s">
        <v>91</v>
      </c>
      <c r="K118" s="30" t="s">
        <v>399</v>
      </c>
      <c r="L118" s="30" t="s">
        <v>400</v>
      </c>
      <c r="M118" s="30" t="s">
        <v>353</v>
      </c>
      <c r="N118" s="30" t="s">
        <v>95</v>
      </c>
      <c r="O118" s="30" t="s">
        <v>95</v>
      </c>
      <c r="P118" s="30" t="s">
        <v>95</v>
      </c>
      <c r="Q118" s="30" t="s">
        <v>95</v>
      </c>
      <c r="R118" s="30" t="s">
        <v>164</v>
      </c>
      <c r="S118" s="27" t="s">
        <v>401</v>
      </c>
      <c r="T118" s="27" t="s">
        <v>294</v>
      </c>
    </row>
    <row r="119" spans="1:20" ht="19.5" customHeight="1" x14ac:dyDescent="0.25">
      <c r="A119" s="24" t="s">
        <v>48</v>
      </c>
      <c r="B119" s="24" t="s">
        <v>427</v>
      </c>
      <c r="C119" s="24" t="s">
        <v>403</v>
      </c>
      <c r="D119" s="24" t="s">
        <v>428</v>
      </c>
      <c r="E119" s="38"/>
      <c r="F119" s="39" t="s">
        <v>144</v>
      </c>
      <c r="G119" s="19" t="s">
        <v>88</v>
      </c>
      <c r="H119" s="19" t="s">
        <v>89</v>
      </c>
      <c r="I119" s="19" t="s">
        <v>90</v>
      </c>
      <c r="J119" s="19" t="s">
        <v>91</v>
      </c>
      <c r="K119" s="19" t="s">
        <v>429</v>
      </c>
      <c r="L119" s="19" t="s">
        <v>298</v>
      </c>
      <c r="M119" s="19" t="s">
        <v>353</v>
      </c>
      <c r="N119" s="19" t="s">
        <v>95</v>
      </c>
      <c r="O119" s="19" t="s">
        <v>95</v>
      </c>
      <c r="P119" s="19" t="s">
        <v>95</v>
      </c>
      <c r="Q119" s="19" t="s">
        <v>95</v>
      </c>
      <c r="R119" s="19" t="s">
        <v>96</v>
      </c>
      <c r="S119" s="24" t="s">
        <v>430</v>
      </c>
      <c r="T119" s="24" t="s">
        <v>431</v>
      </c>
    </row>
    <row r="120" spans="1:20" ht="19.5" customHeight="1" x14ac:dyDescent="0.25">
      <c r="A120" s="27" t="s">
        <v>48</v>
      </c>
      <c r="B120" s="27" t="s">
        <v>432</v>
      </c>
      <c r="C120" s="27" t="s">
        <v>403</v>
      </c>
      <c r="D120" s="27" t="s">
        <v>433</v>
      </c>
      <c r="E120" s="38"/>
      <c r="F120" s="39" t="s">
        <v>144</v>
      </c>
      <c r="G120" s="30" t="s">
        <v>88</v>
      </c>
      <c r="H120" s="30" t="s">
        <v>89</v>
      </c>
      <c r="I120" s="30" t="s">
        <v>90</v>
      </c>
      <c r="J120" s="30" t="s">
        <v>91</v>
      </c>
      <c r="K120" s="30" t="s">
        <v>399</v>
      </c>
      <c r="L120" s="30" t="s">
        <v>400</v>
      </c>
      <c r="M120" s="30" t="s">
        <v>353</v>
      </c>
      <c r="N120" s="30" t="s">
        <v>95</v>
      </c>
      <c r="O120" s="30" t="s">
        <v>95</v>
      </c>
      <c r="P120" s="30" t="s">
        <v>95</v>
      </c>
      <c r="Q120" s="30" t="s">
        <v>95</v>
      </c>
      <c r="R120" s="30" t="s">
        <v>114</v>
      </c>
      <c r="S120" s="27" t="s">
        <v>410</v>
      </c>
      <c r="T120" s="27" t="s">
        <v>411</v>
      </c>
    </row>
    <row r="121" spans="1:20" ht="19.5" customHeight="1" x14ac:dyDescent="0.25">
      <c r="A121" s="24" t="s">
        <v>48</v>
      </c>
      <c r="B121" s="24" t="s">
        <v>434</v>
      </c>
      <c r="C121" s="24" t="s">
        <v>403</v>
      </c>
      <c r="D121" s="24" t="s">
        <v>435</v>
      </c>
      <c r="E121" s="38"/>
      <c r="F121" s="39" t="s">
        <v>144</v>
      </c>
      <c r="G121" s="19" t="s">
        <v>88</v>
      </c>
      <c r="H121" s="19" t="s">
        <v>89</v>
      </c>
      <c r="I121" s="19" t="s">
        <v>90</v>
      </c>
      <c r="J121" s="19" t="s">
        <v>91</v>
      </c>
      <c r="K121" s="19" t="s">
        <v>436</v>
      </c>
      <c r="L121" s="19" t="s">
        <v>437</v>
      </c>
      <c r="M121" s="19" t="s">
        <v>353</v>
      </c>
      <c r="N121" s="19" t="s">
        <v>95</v>
      </c>
      <c r="O121" s="19" t="s">
        <v>95</v>
      </c>
      <c r="P121" s="19" t="s">
        <v>95</v>
      </c>
      <c r="Q121" s="19" t="s">
        <v>95</v>
      </c>
      <c r="R121" s="19" t="s">
        <v>114</v>
      </c>
      <c r="S121" s="24" t="s">
        <v>438</v>
      </c>
      <c r="T121" s="24" t="s">
        <v>439</v>
      </c>
    </row>
    <row r="122" spans="1:20" ht="19.5" customHeight="1" x14ac:dyDescent="0.25">
      <c r="A122" s="27" t="s">
        <v>48</v>
      </c>
      <c r="B122" s="27" t="s">
        <v>440</v>
      </c>
      <c r="C122" s="27" t="s">
        <v>398</v>
      </c>
      <c r="D122" s="27" t="s">
        <v>109</v>
      </c>
      <c r="E122" s="19"/>
      <c r="F122" s="35" t="s">
        <v>110</v>
      </c>
      <c r="G122" s="30" t="s">
        <v>88</v>
      </c>
      <c r="H122" s="30" t="s">
        <v>89</v>
      </c>
      <c r="I122" s="30" t="s">
        <v>90</v>
      </c>
      <c r="J122" s="30" t="s">
        <v>91</v>
      </c>
      <c r="K122" s="30" t="s">
        <v>399</v>
      </c>
      <c r="L122" s="30" t="s">
        <v>400</v>
      </c>
      <c r="M122" s="30" t="s">
        <v>353</v>
      </c>
      <c r="N122" s="30" t="s">
        <v>95</v>
      </c>
      <c r="O122" s="30" t="s">
        <v>95</v>
      </c>
      <c r="P122" s="30" t="s">
        <v>95</v>
      </c>
      <c r="Q122" s="30" t="s">
        <v>95</v>
      </c>
      <c r="R122" s="30" t="s">
        <v>164</v>
      </c>
      <c r="S122" s="27" t="s">
        <v>401</v>
      </c>
      <c r="T122" s="27" t="s">
        <v>294</v>
      </c>
    </row>
    <row r="123" spans="1:20" ht="19.5" customHeight="1" x14ac:dyDescent="0.25">
      <c r="A123" s="24" t="s">
        <v>49</v>
      </c>
      <c r="B123" s="24" t="s">
        <v>441</v>
      </c>
      <c r="C123" s="24" t="s">
        <v>442</v>
      </c>
      <c r="D123" s="24" t="s">
        <v>86</v>
      </c>
      <c r="E123" s="25"/>
      <c r="F123" s="26" t="s">
        <v>87</v>
      </c>
      <c r="G123" s="19" t="s">
        <v>88</v>
      </c>
      <c r="H123" s="19" t="s">
        <v>133</v>
      </c>
      <c r="I123" s="19" t="s">
        <v>90</v>
      </c>
      <c r="J123" s="19" t="s">
        <v>91</v>
      </c>
      <c r="K123" s="19" t="s">
        <v>443</v>
      </c>
      <c r="L123" s="19" t="s">
        <v>298</v>
      </c>
      <c r="M123" s="19" t="s">
        <v>353</v>
      </c>
      <c r="N123" s="19" t="s">
        <v>95</v>
      </c>
      <c r="O123" s="19" t="s">
        <v>95</v>
      </c>
      <c r="P123" s="19" t="s">
        <v>95</v>
      </c>
      <c r="Q123" s="19" t="s">
        <v>95</v>
      </c>
      <c r="R123" s="19" t="s">
        <v>164</v>
      </c>
      <c r="S123" s="24" t="s">
        <v>444</v>
      </c>
      <c r="T123" s="24" t="s">
        <v>445</v>
      </c>
    </row>
    <row r="124" spans="1:20" ht="19.5" customHeight="1" x14ac:dyDescent="0.25">
      <c r="A124" s="27" t="s">
        <v>50</v>
      </c>
      <c r="B124" s="27" t="s">
        <v>446</v>
      </c>
      <c r="C124" s="27" t="s">
        <v>447</v>
      </c>
      <c r="D124" s="27" t="s">
        <v>86</v>
      </c>
      <c r="E124" s="25"/>
      <c r="F124" s="26" t="s">
        <v>87</v>
      </c>
      <c r="G124" s="30" t="s">
        <v>88</v>
      </c>
      <c r="H124" s="30" t="s">
        <v>133</v>
      </c>
      <c r="I124" s="30" t="s">
        <v>90</v>
      </c>
      <c r="J124" s="30" t="s">
        <v>91</v>
      </c>
      <c r="K124" s="30" t="s">
        <v>448</v>
      </c>
      <c r="L124" s="30" t="s">
        <v>298</v>
      </c>
      <c r="M124" s="30" t="s">
        <v>353</v>
      </c>
      <c r="N124" s="30" t="s">
        <v>95</v>
      </c>
      <c r="O124" s="30" t="s">
        <v>95</v>
      </c>
      <c r="P124" s="30" t="s">
        <v>95</v>
      </c>
      <c r="Q124" s="30" t="s">
        <v>95</v>
      </c>
      <c r="R124" s="30" t="s">
        <v>164</v>
      </c>
      <c r="S124" s="27" t="s">
        <v>449</v>
      </c>
      <c r="T124" s="27" t="s">
        <v>445</v>
      </c>
    </row>
    <row r="125" spans="1:20" ht="19.5" customHeight="1" x14ac:dyDescent="0.25">
      <c r="A125" s="24" t="s">
        <v>51</v>
      </c>
      <c r="B125" s="24" t="s">
        <v>450</v>
      </c>
      <c r="C125" s="24" t="s">
        <v>451</v>
      </c>
      <c r="D125" s="24" t="s">
        <v>452</v>
      </c>
      <c r="E125" s="38"/>
      <c r="F125" s="39" t="s">
        <v>144</v>
      </c>
      <c r="G125" s="19" t="s">
        <v>88</v>
      </c>
      <c r="H125" s="19" t="s">
        <v>133</v>
      </c>
      <c r="I125" s="19" t="s">
        <v>90</v>
      </c>
      <c r="J125" s="19" t="s">
        <v>91</v>
      </c>
      <c r="K125" s="19" t="s">
        <v>365</v>
      </c>
      <c r="L125" s="19" t="s">
        <v>352</v>
      </c>
      <c r="M125" s="19" t="s">
        <v>353</v>
      </c>
      <c r="N125" s="19" t="s">
        <v>95</v>
      </c>
      <c r="O125" s="19" t="s">
        <v>95</v>
      </c>
      <c r="P125" s="19" t="s">
        <v>95</v>
      </c>
      <c r="Q125" s="19" t="s">
        <v>95</v>
      </c>
      <c r="R125" s="19" t="s">
        <v>114</v>
      </c>
      <c r="S125" s="24" t="s">
        <v>453</v>
      </c>
      <c r="T125" s="24" t="s">
        <v>288</v>
      </c>
    </row>
    <row r="126" spans="1:20" ht="19.5" customHeight="1" x14ac:dyDescent="0.25">
      <c r="A126" s="27" t="s">
        <v>52</v>
      </c>
      <c r="B126" s="27" t="s">
        <v>454</v>
      </c>
      <c r="C126" s="27" t="s">
        <v>455</v>
      </c>
      <c r="D126" s="27" t="s">
        <v>240</v>
      </c>
      <c r="E126" s="64"/>
      <c r="F126" s="65" t="s">
        <v>241</v>
      </c>
      <c r="G126" s="30" t="s">
        <v>88</v>
      </c>
      <c r="H126" s="30" t="s">
        <v>89</v>
      </c>
      <c r="I126" s="30" t="s">
        <v>90</v>
      </c>
      <c r="J126" s="30" t="s">
        <v>91</v>
      </c>
      <c r="K126" s="30" t="s">
        <v>456</v>
      </c>
      <c r="L126" s="30" t="s">
        <v>352</v>
      </c>
      <c r="M126" s="30" t="s">
        <v>353</v>
      </c>
      <c r="N126" s="30" t="s">
        <v>95</v>
      </c>
      <c r="O126" s="30" t="s">
        <v>95</v>
      </c>
      <c r="P126" s="30" t="s">
        <v>95</v>
      </c>
      <c r="Q126" s="30" t="s">
        <v>95</v>
      </c>
      <c r="R126" s="30" t="s">
        <v>114</v>
      </c>
      <c r="S126" s="27" t="s">
        <v>457</v>
      </c>
      <c r="T126" s="27" t="s">
        <v>116</v>
      </c>
    </row>
    <row r="127" spans="1:20" ht="19.5" customHeight="1" x14ac:dyDescent="0.25">
      <c r="A127" s="24" t="s">
        <v>53</v>
      </c>
      <c r="B127" s="24" t="s">
        <v>458</v>
      </c>
      <c r="C127" s="24" t="s">
        <v>459</v>
      </c>
      <c r="D127" s="24" t="s">
        <v>192</v>
      </c>
      <c r="E127" s="44"/>
      <c r="F127" s="45" t="s">
        <v>193</v>
      </c>
      <c r="G127" s="19" t="s">
        <v>88</v>
      </c>
      <c r="H127" s="19" t="s">
        <v>133</v>
      </c>
      <c r="I127" s="19" t="s">
        <v>90</v>
      </c>
      <c r="J127" s="19" t="s">
        <v>91</v>
      </c>
      <c r="K127" s="19" t="s">
        <v>297</v>
      </c>
      <c r="L127" s="19" t="s">
        <v>298</v>
      </c>
      <c r="M127" s="19" t="s">
        <v>299</v>
      </c>
      <c r="N127" s="19" t="s">
        <v>95</v>
      </c>
      <c r="O127" s="19" t="s">
        <v>95</v>
      </c>
      <c r="P127" s="19" t="s">
        <v>95</v>
      </c>
      <c r="Q127" s="19" t="s">
        <v>95</v>
      </c>
      <c r="R127" s="19" t="s">
        <v>96</v>
      </c>
      <c r="S127" s="24" t="s">
        <v>97</v>
      </c>
      <c r="T127" s="24" t="s">
        <v>98</v>
      </c>
    </row>
    <row r="128" spans="1:20" ht="19.5" customHeight="1" x14ac:dyDescent="0.25">
      <c r="A128" s="27" t="s">
        <v>53</v>
      </c>
      <c r="B128" s="27" t="s">
        <v>460</v>
      </c>
      <c r="C128" s="27" t="s">
        <v>459</v>
      </c>
      <c r="D128" s="27" t="s">
        <v>86</v>
      </c>
      <c r="E128" s="25"/>
      <c r="F128" s="26" t="s">
        <v>87</v>
      </c>
      <c r="G128" s="30" t="s">
        <v>88</v>
      </c>
      <c r="H128" s="30" t="s">
        <v>133</v>
      </c>
      <c r="I128" s="30" t="s">
        <v>90</v>
      </c>
      <c r="J128" s="30" t="s">
        <v>91</v>
      </c>
      <c r="K128" s="30" t="s">
        <v>297</v>
      </c>
      <c r="L128" s="30" t="s">
        <v>298</v>
      </c>
      <c r="M128" s="30" t="s">
        <v>299</v>
      </c>
      <c r="N128" s="30" t="s">
        <v>95</v>
      </c>
      <c r="O128" s="30" t="s">
        <v>95</v>
      </c>
      <c r="P128" s="30" t="s">
        <v>95</v>
      </c>
      <c r="Q128" s="30" t="s">
        <v>95</v>
      </c>
      <c r="R128" s="30" t="s">
        <v>96</v>
      </c>
      <c r="S128" s="27" t="s">
        <v>97</v>
      </c>
      <c r="T128" s="27" t="s">
        <v>98</v>
      </c>
    </row>
    <row r="129" spans="1:20" ht="19.5" customHeight="1" x14ac:dyDescent="0.25">
      <c r="A129" s="24" t="s">
        <v>53</v>
      </c>
      <c r="B129" s="24" t="s">
        <v>461</v>
      </c>
      <c r="C129" s="24" t="s">
        <v>459</v>
      </c>
      <c r="D129" s="24" t="s">
        <v>100</v>
      </c>
      <c r="E129" s="28"/>
      <c r="F129" s="29" t="s">
        <v>101</v>
      </c>
      <c r="G129" s="19" t="s">
        <v>88</v>
      </c>
      <c r="H129" s="19" t="s">
        <v>133</v>
      </c>
      <c r="I129" s="19" t="s">
        <v>90</v>
      </c>
      <c r="J129" s="19" t="s">
        <v>91</v>
      </c>
      <c r="K129" s="19" t="s">
        <v>297</v>
      </c>
      <c r="L129" s="19" t="s">
        <v>298</v>
      </c>
      <c r="M129" s="19" t="s">
        <v>299</v>
      </c>
      <c r="N129" s="19" t="s">
        <v>95</v>
      </c>
      <c r="O129" s="19" t="s">
        <v>95</v>
      </c>
      <c r="P129" s="19" t="s">
        <v>95</v>
      </c>
      <c r="Q129" s="19" t="s">
        <v>95</v>
      </c>
      <c r="R129" s="19" t="s">
        <v>96</v>
      </c>
      <c r="S129" s="24" t="s">
        <v>97</v>
      </c>
      <c r="T129" s="24" t="s">
        <v>98</v>
      </c>
    </row>
    <row r="130" spans="1:20" ht="19.5" customHeight="1" x14ac:dyDescent="0.25">
      <c r="A130" s="27" t="s">
        <v>53</v>
      </c>
      <c r="B130" s="27" t="s">
        <v>462</v>
      </c>
      <c r="C130" s="27" t="s">
        <v>459</v>
      </c>
      <c r="D130" s="27" t="s">
        <v>201</v>
      </c>
      <c r="E130" s="44"/>
      <c r="F130" s="45" t="s">
        <v>202</v>
      </c>
      <c r="G130" s="30" t="s">
        <v>88</v>
      </c>
      <c r="H130" s="30" t="s">
        <v>133</v>
      </c>
      <c r="I130" s="30" t="s">
        <v>90</v>
      </c>
      <c r="J130" s="30" t="s">
        <v>91</v>
      </c>
      <c r="K130" s="30" t="s">
        <v>297</v>
      </c>
      <c r="L130" s="30" t="s">
        <v>298</v>
      </c>
      <c r="M130" s="30" t="s">
        <v>299</v>
      </c>
      <c r="N130" s="30" t="s">
        <v>95</v>
      </c>
      <c r="O130" s="30" t="s">
        <v>95</v>
      </c>
      <c r="P130" s="30" t="s">
        <v>95</v>
      </c>
      <c r="Q130" s="30" t="s">
        <v>95</v>
      </c>
      <c r="R130" s="30" t="s">
        <v>96</v>
      </c>
      <c r="S130" s="27" t="s">
        <v>97</v>
      </c>
      <c r="T130" s="27" t="s">
        <v>98</v>
      </c>
    </row>
    <row r="131" spans="1:20" ht="19.5" customHeight="1" x14ac:dyDescent="0.25">
      <c r="A131" s="24" t="s">
        <v>53</v>
      </c>
      <c r="B131" s="24" t="s">
        <v>463</v>
      </c>
      <c r="C131" s="24" t="s">
        <v>459</v>
      </c>
      <c r="D131" s="24" t="s">
        <v>204</v>
      </c>
      <c r="E131" s="46"/>
      <c r="F131" s="47" t="s">
        <v>205</v>
      </c>
      <c r="G131" s="19" t="s">
        <v>88</v>
      </c>
      <c r="H131" s="19" t="s">
        <v>133</v>
      </c>
      <c r="I131" s="19" t="s">
        <v>90</v>
      </c>
      <c r="J131" s="19" t="s">
        <v>91</v>
      </c>
      <c r="K131" s="19" t="s">
        <v>297</v>
      </c>
      <c r="L131" s="19" t="s">
        <v>298</v>
      </c>
      <c r="M131" s="19" t="s">
        <v>299</v>
      </c>
      <c r="N131" s="19" t="s">
        <v>95</v>
      </c>
      <c r="O131" s="19" t="s">
        <v>95</v>
      </c>
      <c r="P131" s="19" t="s">
        <v>95</v>
      </c>
      <c r="Q131" s="19" t="s">
        <v>95</v>
      </c>
      <c r="R131" s="19" t="s">
        <v>96</v>
      </c>
      <c r="S131" s="24" t="s">
        <v>97</v>
      </c>
      <c r="T131" s="24" t="s">
        <v>98</v>
      </c>
    </row>
    <row r="132" spans="1:20" ht="19.5" customHeight="1" x14ac:dyDescent="0.25">
      <c r="A132" s="27" t="s">
        <v>53</v>
      </c>
      <c r="B132" s="27" t="s">
        <v>464</v>
      </c>
      <c r="C132" s="27" t="s">
        <v>459</v>
      </c>
      <c r="D132" s="27" t="s">
        <v>207</v>
      </c>
      <c r="E132" s="107"/>
      <c r="F132" s="108" t="s">
        <v>465</v>
      </c>
      <c r="G132" s="30" t="s">
        <v>88</v>
      </c>
      <c r="H132" s="30" t="s">
        <v>133</v>
      </c>
      <c r="I132" s="30" t="s">
        <v>90</v>
      </c>
      <c r="J132" s="30" t="s">
        <v>91</v>
      </c>
      <c r="K132" s="30" t="s">
        <v>297</v>
      </c>
      <c r="L132" s="30" t="s">
        <v>298</v>
      </c>
      <c r="M132" s="30" t="s">
        <v>299</v>
      </c>
      <c r="N132" s="30" t="s">
        <v>95</v>
      </c>
      <c r="O132" s="30" t="s">
        <v>95</v>
      </c>
      <c r="P132" s="30" t="s">
        <v>95</v>
      </c>
      <c r="Q132" s="30" t="s">
        <v>95</v>
      </c>
      <c r="R132" s="30" t="s">
        <v>96</v>
      </c>
      <c r="S132" s="27" t="s">
        <v>97</v>
      </c>
      <c r="T132" s="27" t="s">
        <v>98</v>
      </c>
    </row>
    <row r="133" spans="1:20" ht="19.5" customHeight="1" x14ac:dyDescent="0.25">
      <c r="A133" s="24" t="s">
        <v>53</v>
      </c>
      <c r="B133" s="24" t="s">
        <v>466</v>
      </c>
      <c r="C133" s="24" t="s">
        <v>459</v>
      </c>
      <c r="D133" s="24" t="s">
        <v>210</v>
      </c>
      <c r="E133" s="109"/>
      <c r="F133" s="110" t="s">
        <v>467</v>
      </c>
      <c r="G133" s="19" t="s">
        <v>88</v>
      </c>
      <c r="H133" s="19" t="s">
        <v>133</v>
      </c>
      <c r="I133" s="19" t="s">
        <v>90</v>
      </c>
      <c r="J133" s="19" t="s">
        <v>91</v>
      </c>
      <c r="K133" s="19" t="s">
        <v>297</v>
      </c>
      <c r="L133" s="19" t="s">
        <v>298</v>
      </c>
      <c r="M133" s="19" t="s">
        <v>299</v>
      </c>
      <c r="N133" s="19" t="s">
        <v>95</v>
      </c>
      <c r="O133" s="19" t="s">
        <v>95</v>
      </c>
      <c r="P133" s="19" t="s">
        <v>95</v>
      </c>
      <c r="Q133" s="19" t="s">
        <v>95</v>
      </c>
      <c r="R133" s="19" t="s">
        <v>96</v>
      </c>
      <c r="S133" s="24" t="s">
        <v>97</v>
      </c>
      <c r="T133" s="24" t="s">
        <v>98</v>
      </c>
    </row>
    <row r="134" spans="1:20" ht="19.5" customHeight="1" x14ac:dyDescent="0.25">
      <c r="A134" s="27" t="s">
        <v>53</v>
      </c>
      <c r="B134" s="27" t="s">
        <v>468</v>
      </c>
      <c r="C134" s="27" t="s">
        <v>459</v>
      </c>
      <c r="D134" s="27" t="s">
        <v>218</v>
      </c>
      <c r="E134" s="52"/>
      <c r="F134" s="53" t="s">
        <v>219</v>
      </c>
      <c r="G134" s="30" t="s">
        <v>88</v>
      </c>
      <c r="H134" s="30" t="s">
        <v>133</v>
      </c>
      <c r="I134" s="30" t="s">
        <v>90</v>
      </c>
      <c r="J134" s="30" t="s">
        <v>91</v>
      </c>
      <c r="K134" s="30" t="s">
        <v>297</v>
      </c>
      <c r="L134" s="30" t="s">
        <v>298</v>
      </c>
      <c r="M134" s="30" t="s">
        <v>299</v>
      </c>
      <c r="N134" s="30" t="s">
        <v>95</v>
      </c>
      <c r="O134" s="30" t="s">
        <v>95</v>
      </c>
      <c r="P134" s="30" t="s">
        <v>95</v>
      </c>
      <c r="Q134" s="30" t="s">
        <v>95</v>
      </c>
      <c r="R134" s="30" t="s">
        <v>96</v>
      </c>
      <c r="S134" s="27" t="s">
        <v>97</v>
      </c>
      <c r="T134" s="27" t="s">
        <v>98</v>
      </c>
    </row>
    <row r="135" spans="1:20" ht="19.5" customHeight="1" x14ac:dyDescent="0.25">
      <c r="A135" s="24" t="s">
        <v>53</v>
      </c>
      <c r="B135" s="24" t="s">
        <v>469</v>
      </c>
      <c r="C135" s="24" t="s">
        <v>459</v>
      </c>
      <c r="D135" s="24" t="s">
        <v>221</v>
      </c>
      <c r="E135" s="54"/>
      <c r="F135" s="55" t="s">
        <v>222</v>
      </c>
      <c r="G135" s="19" t="s">
        <v>88</v>
      </c>
      <c r="H135" s="19" t="s">
        <v>133</v>
      </c>
      <c r="I135" s="19" t="s">
        <v>90</v>
      </c>
      <c r="J135" s="19" t="s">
        <v>91</v>
      </c>
      <c r="K135" s="19" t="s">
        <v>297</v>
      </c>
      <c r="L135" s="19" t="s">
        <v>298</v>
      </c>
      <c r="M135" s="19" t="s">
        <v>299</v>
      </c>
      <c r="N135" s="19" t="s">
        <v>95</v>
      </c>
      <c r="O135" s="19" t="s">
        <v>95</v>
      </c>
      <c r="P135" s="19" t="s">
        <v>95</v>
      </c>
      <c r="Q135" s="19" t="s">
        <v>95</v>
      </c>
      <c r="R135" s="19" t="s">
        <v>96</v>
      </c>
      <c r="S135" s="24" t="s">
        <v>97</v>
      </c>
      <c r="T135" s="24" t="s">
        <v>98</v>
      </c>
    </row>
    <row r="136" spans="1:20" ht="19.5" customHeight="1" x14ac:dyDescent="0.25">
      <c r="A136" s="27" t="s">
        <v>53</v>
      </c>
      <c r="B136" s="27" t="s">
        <v>470</v>
      </c>
      <c r="C136" s="27" t="s">
        <v>459</v>
      </c>
      <c r="D136" s="27" t="s">
        <v>310</v>
      </c>
      <c r="E136" s="83"/>
      <c r="F136" s="84" t="s">
        <v>311</v>
      </c>
      <c r="G136" s="30" t="s">
        <v>88</v>
      </c>
      <c r="H136" s="30" t="s">
        <v>133</v>
      </c>
      <c r="I136" s="30" t="s">
        <v>90</v>
      </c>
      <c r="J136" s="30" t="s">
        <v>91</v>
      </c>
      <c r="K136" s="30" t="s">
        <v>297</v>
      </c>
      <c r="L136" s="30" t="s">
        <v>298</v>
      </c>
      <c r="M136" s="30" t="s">
        <v>299</v>
      </c>
      <c r="N136" s="30" t="s">
        <v>95</v>
      </c>
      <c r="O136" s="30" t="s">
        <v>95</v>
      </c>
      <c r="P136" s="30" t="s">
        <v>95</v>
      </c>
      <c r="Q136" s="30" t="s">
        <v>95</v>
      </c>
      <c r="R136" s="30" t="s">
        <v>96</v>
      </c>
      <c r="S136" s="27" t="s">
        <v>97</v>
      </c>
      <c r="T136" s="27" t="s">
        <v>98</v>
      </c>
    </row>
    <row r="137" spans="1:20" ht="19.5" customHeight="1" x14ac:dyDescent="0.25">
      <c r="A137" s="24" t="s">
        <v>53</v>
      </c>
      <c r="B137" s="24" t="s">
        <v>471</v>
      </c>
      <c r="C137" s="24" t="s">
        <v>459</v>
      </c>
      <c r="D137" s="24" t="s">
        <v>472</v>
      </c>
      <c r="E137" s="111"/>
      <c r="F137" s="101" t="s">
        <v>473</v>
      </c>
      <c r="G137" s="19" t="s">
        <v>88</v>
      </c>
      <c r="H137" s="19" t="s">
        <v>133</v>
      </c>
      <c r="I137" s="19" t="s">
        <v>90</v>
      </c>
      <c r="J137" s="19" t="s">
        <v>91</v>
      </c>
      <c r="K137" s="19" t="s">
        <v>297</v>
      </c>
      <c r="L137" s="19" t="s">
        <v>298</v>
      </c>
      <c r="M137" s="19" t="s">
        <v>299</v>
      </c>
      <c r="N137" s="19" t="s">
        <v>95</v>
      </c>
      <c r="O137" s="19" t="s">
        <v>95</v>
      </c>
      <c r="P137" s="19" t="s">
        <v>95</v>
      </c>
      <c r="Q137" s="19" t="s">
        <v>95</v>
      </c>
      <c r="R137" s="19" t="s">
        <v>96</v>
      </c>
      <c r="S137" s="24" t="s">
        <v>97</v>
      </c>
      <c r="T137" s="24" t="s">
        <v>474</v>
      </c>
    </row>
    <row r="138" spans="1:20" ht="19.5" customHeight="1" x14ac:dyDescent="0.25">
      <c r="A138" s="27" t="s">
        <v>53</v>
      </c>
      <c r="B138" s="27" t="s">
        <v>475</v>
      </c>
      <c r="C138" s="27" t="s">
        <v>459</v>
      </c>
      <c r="D138" s="27" t="s">
        <v>313</v>
      </c>
      <c r="E138" s="112"/>
      <c r="F138" s="37" t="s">
        <v>476</v>
      </c>
      <c r="G138" s="30" t="s">
        <v>88</v>
      </c>
      <c r="H138" s="30" t="s">
        <v>133</v>
      </c>
      <c r="I138" s="30" t="s">
        <v>90</v>
      </c>
      <c r="J138" s="30" t="s">
        <v>91</v>
      </c>
      <c r="K138" s="30" t="s">
        <v>297</v>
      </c>
      <c r="L138" s="30" t="s">
        <v>298</v>
      </c>
      <c r="M138" s="30" t="s">
        <v>299</v>
      </c>
      <c r="N138" s="30" t="s">
        <v>95</v>
      </c>
      <c r="O138" s="30" t="s">
        <v>95</v>
      </c>
      <c r="P138" s="30" t="s">
        <v>95</v>
      </c>
      <c r="Q138" s="30" t="s">
        <v>95</v>
      </c>
      <c r="R138" s="30" t="s">
        <v>96</v>
      </c>
      <c r="S138" s="27" t="s">
        <v>97</v>
      </c>
      <c r="T138" s="27" t="s">
        <v>98</v>
      </c>
    </row>
    <row r="139" spans="1:20" ht="19.5" customHeight="1" x14ac:dyDescent="0.25">
      <c r="A139" s="24" t="s">
        <v>53</v>
      </c>
      <c r="B139" s="24" t="s">
        <v>477</v>
      </c>
      <c r="C139" s="24" t="s">
        <v>459</v>
      </c>
      <c r="D139" s="24" t="s">
        <v>139</v>
      </c>
      <c r="E139" s="36"/>
      <c r="F139" s="37" t="s">
        <v>140</v>
      </c>
      <c r="G139" s="19" t="s">
        <v>88</v>
      </c>
      <c r="H139" s="19" t="s">
        <v>133</v>
      </c>
      <c r="I139" s="19" t="s">
        <v>90</v>
      </c>
      <c r="J139" s="19" t="s">
        <v>91</v>
      </c>
      <c r="K139" s="19" t="s">
        <v>297</v>
      </c>
      <c r="L139" s="19" t="s">
        <v>298</v>
      </c>
      <c r="M139" s="19" t="s">
        <v>299</v>
      </c>
      <c r="N139" s="19" t="s">
        <v>95</v>
      </c>
      <c r="O139" s="19" t="s">
        <v>95</v>
      </c>
      <c r="P139" s="19" t="s">
        <v>95</v>
      </c>
      <c r="Q139" s="19" t="s">
        <v>95</v>
      </c>
      <c r="R139" s="19" t="s">
        <v>96</v>
      </c>
      <c r="S139" s="24" t="s">
        <v>97</v>
      </c>
      <c r="T139" s="24" t="s">
        <v>98</v>
      </c>
    </row>
    <row r="140" spans="1:20" ht="19.5" customHeight="1" x14ac:dyDescent="0.25">
      <c r="A140" s="27" t="s">
        <v>53</v>
      </c>
      <c r="B140" s="27" t="s">
        <v>478</v>
      </c>
      <c r="C140" s="27" t="s">
        <v>459</v>
      </c>
      <c r="D140" s="27" t="s">
        <v>103</v>
      </c>
      <c r="E140" s="31"/>
      <c r="F140" s="32" t="s">
        <v>104</v>
      </c>
      <c r="G140" s="30" t="s">
        <v>88</v>
      </c>
      <c r="H140" s="30" t="s">
        <v>133</v>
      </c>
      <c r="I140" s="30" t="s">
        <v>90</v>
      </c>
      <c r="J140" s="30" t="s">
        <v>91</v>
      </c>
      <c r="K140" s="30" t="s">
        <v>297</v>
      </c>
      <c r="L140" s="30" t="s">
        <v>298</v>
      </c>
      <c r="M140" s="30" t="s">
        <v>299</v>
      </c>
      <c r="N140" s="30" t="s">
        <v>95</v>
      </c>
      <c r="O140" s="30" t="s">
        <v>95</v>
      </c>
      <c r="P140" s="30" t="s">
        <v>95</v>
      </c>
      <c r="Q140" s="30" t="s">
        <v>95</v>
      </c>
      <c r="R140" s="30" t="s">
        <v>96</v>
      </c>
      <c r="S140" s="27" t="s">
        <v>97</v>
      </c>
      <c r="T140" s="27" t="s">
        <v>98</v>
      </c>
    </row>
    <row r="141" spans="1:20" ht="19.5" customHeight="1" x14ac:dyDescent="0.25">
      <c r="A141" s="24" t="s">
        <v>53</v>
      </c>
      <c r="B141" s="24" t="s">
        <v>479</v>
      </c>
      <c r="C141" s="24" t="s">
        <v>459</v>
      </c>
      <c r="D141" s="24" t="s">
        <v>228</v>
      </c>
      <c r="E141" s="113"/>
      <c r="F141" s="57" t="s">
        <v>480</v>
      </c>
      <c r="G141" s="19" t="s">
        <v>88</v>
      </c>
      <c r="H141" s="19" t="s">
        <v>133</v>
      </c>
      <c r="I141" s="19" t="s">
        <v>90</v>
      </c>
      <c r="J141" s="19" t="s">
        <v>91</v>
      </c>
      <c r="K141" s="19" t="s">
        <v>297</v>
      </c>
      <c r="L141" s="19" t="s">
        <v>298</v>
      </c>
      <c r="M141" s="19" t="s">
        <v>299</v>
      </c>
      <c r="N141" s="19" t="s">
        <v>95</v>
      </c>
      <c r="O141" s="19" t="s">
        <v>95</v>
      </c>
      <c r="P141" s="19" t="s">
        <v>95</v>
      </c>
      <c r="Q141" s="19" t="s">
        <v>95</v>
      </c>
      <c r="R141" s="19" t="s">
        <v>96</v>
      </c>
      <c r="S141" s="24" t="s">
        <v>97</v>
      </c>
      <c r="T141" s="24" t="s">
        <v>98</v>
      </c>
    </row>
    <row r="142" spans="1:20" ht="19.5" customHeight="1" x14ac:dyDescent="0.25">
      <c r="A142" s="27" t="s">
        <v>53</v>
      </c>
      <c r="B142" s="27" t="s">
        <v>481</v>
      </c>
      <c r="C142" s="27" t="s">
        <v>459</v>
      </c>
      <c r="D142" s="27" t="s">
        <v>320</v>
      </c>
      <c r="E142" s="58"/>
      <c r="F142" s="87" t="s">
        <v>321</v>
      </c>
      <c r="G142" s="30" t="s">
        <v>88</v>
      </c>
      <c r="H142" s="30" t="s">
        <v>133</v>
      </c>
      <c r="I142" s="30" t="s">
        <v>90</v>
      </c>
      <c r="J142" s="30" t="s">
        <v>91</v>
      </c>
      <c r="K142" s="30" t="s">
        <v>297</v>
      </c>
      <c r="L142" s="30" t="s">
        <v>298</v>
      </c>
      <c r="M142" s="30" t="s">
        <v>299</v>
      </c>
      <c r="N142" s="30" t="s">
        <v>95</v>
      </c>
      <c r="O142" s="30" t="s">
        <v>95</v>
      </c>
      <c r="P142" s="30" t="s">
        <v>95</v>
      </c>
      <c r="Q142" s="30" t="s">
        <v>95</v>
      </c>
      <c r="R142" s="30" t="s">
        <v>96</v>
      </c>
      <c r="S142" s="27" t="s">
        <v>97</v>
      </c>
      <c r="T142" s="27" t="s">
        <v>98</v>
      </c>
    </row>
    <row r="143" spans="1:20" ht="19.5" customHeight="1" x14ac:dyDescent="0.25">
      <c r="A143" s="24" t="s">
        <v>53</v>
      </c>
      <c r="B143" s="24" t="s">
        <v>482</v>
      </c>
      <c r="C143" s="24" t="s">
        <v>459</v>
      </c>
      <c r="D143" s="24" t="s">
        <v>234</v>
      </c>
      <c r="E143" s="60"/>
      <c r="F143" s="61" t="s">
        <v>235</v>
      </c>
      <c r="G143" s="19" t="s">
        <v>88</v>
      </c>
      <c r="H143" s="19" t="s">
        <v>133</v>
      </c>
      <c r="I143" s="19" t="s">
        <v>90</v>
      </c>
      <c r="J143" s="19" t="s">
        <v>91</v>
      </c>
      <c r="K143" s="19" t="s">
        <v>297</v>
      </c>
      <c r="L143" s="19" t="s">
        <v>298</v>
      </c>
      <c r="M143" s="19" t="s">
        <v>299</v>
      </c>
      <c r="N143" s="19" t="s">
        <v>95</v>
      </c>
      <c r="O143" s="19" t="s">
        <v>95</v>
      </c>
      <c r="P143" s="19" t="s">
        <v>95</v>
      </c>
      <c r="Q143" s="19" t="s">
        <v>95</v>
      </c>
      <c r="R143" s="19" t="s">
        <v>96</v>
      </c>
      <c r="S143" s="24" t="s">
        <v>97</v>
      </c>
      <c r="T143" s="24" t="s">
        <v>98</v>
      </c>
    </row>
    <row r="144" spans="1:20" ht="19.5" customHeight="1" x14ac:dyDescent="0.25">
      <c r="A144" s="27" t="s">
        <v>53</v>
      </c>
      <c r="B144" s="27" t="s">
        <v>483</v>
      </c>
      <c r="C144" s="27" t="s">
        <v>459</v>
      </c>
      <c r="D144" s="27" t="s">
        <v>237</v>
      </c>
      <c r="E144" s="38"/>
      <c r="F144" s="39" t="s">
        <v>144</v>
      </c>
      <c r="G144" s="30" t="s">
        <v>88</v>
      </c>
      <c r="H144" s="30" t="s">
        <v>133</v>
      </c>
      <c r="I144" s="30" t="s">
        <v>90</v>
      </c>
      <c r="J144" s="30" t="s">
        <v>91</v>
      </c>
      <c r="K144" s="30" t="s">
        <v>297</v>
      </c>
      <c r="L144" s="30" t="s">
        <v>298</v>
      </c>
      <c r="M144" s="30" t="s">
        <v>299</v>
      </c>
      <c r="N144" s="30" t="s">
        <v>95</v>
      </c>
      <c r="O144" s="30" t="s">
        <v>95</v>
      </c>
      <c r="P144" s="30" t="s">
        <v>95</v>
      </c>
      <c r="Q144" s="30" t="s">
        <v>95</v>
      </c>
      <c r="R144" s="30" t="s">
        <v>96</v>
      </c>
      <c r="S144" s="27" t="s">
        <v>97</v>
      </c>
      <c r="T144" s="27" t="s">
        <v>314</v>
      </c>
    </row>
    <row r="145" spans="1:20" ht="19.5" customHeight="1" x14ac:dyDescent="0.25">
      <c r="A145" s="24" t="s">
        <v>53</v>
      </c>
      <c r="B145" s="24" t="s">
        <v>484</v>
      </c>
      <c r="C145" s="24" t="s">
        <v>459</v>
      </c>
      <c r="D145" s="24" t="s">
        <v>240</v>
      </c>
      <c r="E145" s="64"/>
      <c r="F145" s="65" t="s">
        <v>241</v>
      </c>
      <c r="G145" s="19" t="s">
        <v>88</v>
      </c>
      <c r="H145" s="19" t="s">
        <v>133</v>
      </c>
      <c r="I145" s="19" t="s">
        <v>90</v>
      </c>
      <c r="J145" s="19" t="s">
        <v>91</v>
      </c>
      <c r="K145" s="19" t="s">
        <v>297</v>
      </c>
      <c r="L145" s="19" t="s">
        <v>298</v>
      </c>
      <c r="M145" s="19" t="s">
        <v>299</v>
      </c>
      <c r="N145" s="19" t="s">
        <v>95</v>
      </c>
      <c r="O145" s="19" t="s">
        <v>95</v>
      </c>
      <c r="P145" s="19" t="s">
        <v>95</v>
      </c>
      <c r="Q145" s="19" t="s">
        <v>95</v>
      </c>
      <c r="R145" s="19" t="s">
        <v>96</v>
      </c>
      <c r="S145" s="24" t="s">
        <v>97</v>
      </c>
      <c r="T145" s="24" t="s">
        <v>98</v>
      </c>
    </row>
    <row r="146" spans="1:20" ht="19.5" customHeight="1" x14ac:dyDescent="0.25">
      <c r="A146" s="27" t="s">
        <v>53</v>
      </c>
      <c r="B146" s="27" t="s">
        <v>485</v>
      </c>
      <c r="C146" s="27" t="s">
        <v>459</v>
      </c>
      <c r="D146" s="27" t="s">
        <v>327</v>
      </c>
      <c r="E146" s="90"/>
      <c r="F146" s="91" t="s">
        <v>328</v>
      </c>
      <c r="G146" s="30" t="s">
        <v>88</v>
      </c>
      <c r="H146" s="30" t="s">
        <v>133</v>
      </c>
      <c r="I146" s="30" t="s">
        <v>90</v>
      </c>
      <c r="J146" s="30" t="s">
        <v>91</v>
      </c>
      <c r="K146" s="30" t="s">
        <v>297</v>
      </c>
      <c r="L146" s="30" t="s">
        <v>298</v>
      </c>
      <c r="M146" s="30" t="s">
        <v>299</v>
      </c>
      <c r="N146" s="30" t="s">
        <v>95</v>
      </c>
      <c r="O146" s="30" t="s">
        <v>95</v>
      </c>
      <c r="P146" s="30" t="s">
        <v>95</v>
      </c>
      <c r="Q146" s="30" t="s">
        <v>95</v>
      </c>
      <c r="R146" s="30" t="s">
        <v>96</v>
      </c>
      <c r="S146" s="27" t="s">
        <v>97</v>
      </c>
      <c r="T146" s="27" t="s">
        <v>98</v>
      </c>
    </row>
    <row r="147" spans="1:20" ht="19.5" customHeight="1" x14ac:dyDescent="0.25">
      <c r="A147" s="24" t="s">
        <v>53</v>
      </c>
      <c r="B147" s="24" t="s">
        <v>486</v>
      </c>
      <c r="C147" s="24" t="s">
        <v>459</v>
      </c>
      <c r="D147" s="24" t="s">
        <v>243</v>
      </c>
      <c r="E147" s="38"/>
      <c r="F147" s="39" t="s">
        <v>144</v>
      </c>
      <c r="G147" s="19" t="s">
        <v>88</v>
      </c>
      <c r="H147" s="19" t="s">
        <v>133</v>
      </c>
      <c r="I147" s="19" t="s">
        <v>90</v>
      </c>
      <c r="J147" s="19" t="s">
        <v>91</v>
      </c>
      <c r="K147" s="19" t="s">
        <v>297</v>
      </c>
      <c r="L147" s="19" t="s">
        <v>298</v>
      </c>
      <c r="M147" s="19" t="s">
        <v>299</v>
      </c>
      <c r="N147" s="19" t="s">
        <v>95</v>
      </c>
      <c r="O147" s="19" t="s">
        <v>95</v>
      </c>
      <c r="P147" s="19" t="s">
        <v>95</v>
      </c>
      <c r="Q147" s="19" t="s">
        <v>95</v>
      </c>
      <c r="R147" s="19" t="s">
        <v>96</v>
      </c>
      <c r="S147" s="24" t="s">
        <v>97</v>
      </c>
      <c r="T147" s="24" t="s">
        <v>314</v>
      </c>
    </row>
    <row r="148" spans="1:20" ht="19.5" customHeight="1" x14ac:dyDescent="0.25">
      <c r="A148" s="27" t="s">
        <v>53</v>
      </c>
      <c r="B148" s="27" t="s">
        <v>487</v>
      </c>
      <c r="C148" s="27" t="s">
        <v>459</v>
      </c>
      <c r="D148" s="27" t="s">
        <v>147</v>
      </c>
      <c r="E148" s="40"/>
      <c r="F148" s="41" t="s">
        <v>148</v>
      </c>
      <c r="G148" s="30" t="s">
        <v>88</v>
      </c>
      <c r="H148" s="30" t="s">
        <v>133</v>
      </c>
      <c r="I148" s="30" t="s">
        <v>90</v>
      </c>
      <c r="J148" s="30" t="s">
        <v>91</v>
      </c>
      <c r="K148" s="30" t="s">
        <v>297</v>
      </c>
      <c r="L148" s="30" t="s">
        <v>298</v>
      </c>
      <c r="M148" s="30" t="s">
        <v>299</v>
      </c>
      <c r="N148" s="30" t="s">
        <v>95</v>
      </c>
      <c r="O148" s="30" t="s">
        <v>95</v>
      </c>
      <c r="P148" s="30" t="s">
        <v>95</v>
      </c>
      <c r="Q148" s="30" t="s">
        <v>95</v>
      </c>
      <c r="R148" s="30" t="s">
        <v>96</v>
      </c>
      <c r="S148" s="27" t="s">
        <v>97</v>
      </c>
      <c r="T148" s="27" t="s">
        <v>98</v>
      </c>
    </row>
    <row r="149" spans="1:20" ht="19.5" customHeight="1" x14ac:dyDescent="0.25">
      <c r="A149" s="24" t="s">
        <v>53</v>
      </c>
      <c r="B149" s="24" t="s">
        <v>488</v>
      </c>
      <c r="C149" s="24" t="s">
        <v>459</v>
      </c>
      <c r="D149" s="24" t="s">
        <v>106</v>
      </c>
      <c r="E149" s="33"/>
      <c r="F149" s="34" t="s">
        <v>107</v>
      </c>
      <c r="G149" s="19" t="s">
        <v>88</v>
      </c>
      <c r="H149" s="19" t="s">
        <v>133</v>
      </c>
      <c r="I149" s="19" t="s">
        <v>90</v>
      </c>
      <c r="J149" s="19" t="s">
        <v>91</v>
      </c>
      <c r="K149" s="19" t="s">
        <v>297</v>
      </c>
      <c r="L149" s="19" t="s">
        <v>298</v>
      </c>
      <c r="M149" s="19" t="s">
        <v>299</v>
      </c>
      <c r="N149" s="19" t="s">
        <v>95</v>
      </c>
      <c r="O149" s="19" t="s">
        <v>95</v>
      </c>
      <c r="P149" s="19" t="s">
        <v>95</v>
      </c>
      <c r="Q149" s="19" t="s">
        <v>95</v>
      </c>
      <c r="R149" s="19" t="s">
        <v>96</v>
      </c>
      <c r="S149" s="24" t="s">
        <v>97</v>
      </c>
      <c r="T149" s="24" t="s">
        <v>98</v>
      </c>
    </row>
    <row r="150" spans="1:20" ht="19.5" customHeight="1" x14ac:dyDescent="0.25">
      <c r="A150" s="27" t="s">
        <v>53</v>
      </c>
      <c r="B150" s="27" t="s">
        <v>489</v>
      </c>
      <c r="C150" s="27" t="s">
        <v>459</v>
      </c>
      <c r="D150" s="27" t="s">
        <v>334</v>
      </c>
      <c r="E150" s="94"/>
      <c r="F150" s="26" t="s">
        <v>335</v>
      </c>
      <c r="G150" s="30" t="s">
        <v>88</v>
      </c>
      <c r="H150" s="30" t="s">
        <v>133</v>
      </c>
      <c r="I150" s="30" t="s">
        <v>90</v>
      </c>
      <c r="J150" s="30" t="s">
        <v>91</v>
      </c>
      <c r="K150" s="30" t="s">
        <v>297</v>
      </c>
      <c r="L150" s="30" t="s">
        <v>298</v>
      </c>
      <c r="M150" s="30" t="s">
        <v>299</v>
      </c>
      <c r="N150" s="30" t="s">
        <v>95</v>
      </c>
      <c r="O150" s="30" t="s">
        <v>95</v>
      </c>
      <c r="P150" s="30" t="s">
        <v>95</v>
      </c>
      <c r="Q150" s="30" t="s">
        <v>95</v>
      </c>
      <c r="R150" s="30" t="s">
        <v>96</v>
      </c>
      <c r="S150" s="27" t="s">
        <v>97</v>
      </c>
      <c r="T150" s="27" t="s">
        <v>98</v>
      </c>
    </row>
    <row r="151" spans="1:20" ht="19.5" customHeight="1" x14ac:dyDescent="0.25">
      <c r="A151" s="24" t="s">
        <v>53</v>
      </c>
      <c r="B151" s="24" t="s">
        <v>490</v>
      </c>
      <c r="C151" s="24" t="s">
        <v>459</v>
      </c>
      <c r="D151" s="24" t="s">
        <v>249</v>
      </c>
      <c r="E151" s="66"/>
      <c r="F151" s="67" t="s">
        <v>250</v>
      </c>
      <c r="G151" s="19" t="s">
        <v>88</v>
      </c>
      <c r="H151" s="19" t="s">
        <v>133</v>
      </c>
      <c r="I151" s="19" t="s">
        <v>90</v>
      </c>
      <c r="J151" s="19" t="s">
        <v>91</v>
      </c>
      <c r="K151" s="19" t="s">
        <v>297</v>
      </c>
      <c r="L151" s="19" t="s">
        <v>298</v>
      </c>
      <c r="M151" s="19" t="s">
        <v>299</v>
      </c>
      <c r="N151" s="19" t="s">
        <v>95</v>
      </c>
      <c r="O151" s="19" t="s">
        <v>95</v>
      </c>
      <c r="P151" s="19" t="s">
        <v>95</v>
      </c>
      <c r="Q151" s="19" t="s">
        <v>95</v>
      </c>
      <c r="R151" s="19" t="s">
        <v>96</v>
      </c>
      <c r="S151" s="24" t="s">
        <v>97</v>
      </c>
      <c r="T151" s="24" t="s">
        <v>98</v>
      </c>
    </row>
    <row r="152" spans="1:20" ht="19.5" customHeight="1" x14ac:dyDescent="0.25">
      <c r="A152" s="27" t="s">
        <v>53</v>
      </c>
      <c r="B152" s="27" t="s">
        <v>491</v>
      </c>
      <c r="C152" s="27" t="s">
        <v>459</v>
      </c>
      <c r="D152" s="27" t="s">
        <v>339</v>
      </c>
      <c r="E152" s="97"/>
      <c r="F152" s="98" t="s">
        <v>340</v>
      </c>
      <c r="G152" s="30" t="s">
        <v>88</v>
      </c>
      <c r="H152" s="30" t="s">
        <v>133</v>
      </c>
      <c r="I152" s="30" t="s">
        <v>90</v>
      </c>
      <c r="J152" s="30" t="s">
        <v>91</v>
      </c>
      <c r="K152" s="30" t="s">
        <v>297</v>
      </c>
      <c r="L152" s="30" t="s">
        <v>298</v>
      </c>
      <c r="M152" s="30" t="s">
        <v>299</v>
      </c>
      <c r="N152" s="30" t="s">
        <v>95</v>
      </c>
      <c r="O152" s="30" t="s">
        <v>95</v>
      </c>
      <c r="P152" s="30" t="s">
        <v>95</v>
      </c>
      <c r="Q152" s="30" t="s">
        <v>95</v>
      </c>
      <c r="R152" s="30" t="s">
        <v>96</v>
      </c>
      <c r="S152" s="27" t="s">
        <v>97</v>
      </c>
      <c r="T152" s="27" t="s">
        <v>98</v>
      </c>
    </row>
    <row r="153" spans="1:20" ht="19.5" customHeight="1" x14ac:dyDescent="0.25">
      <c r="A153" s="24" t="s">
        <v>53</v>
      </c>
      <c r="B153" s="24" t="s">
        <v>492</v>
      </c>
      <c r="C153" s="24" t="s">
        <v>459</v>
      </c>
      <c r="D153" s="24" t="s">
        <v>252</v>
      </c>
      <c r="E153" s="38"/>
      <c r="F153" s="39" t="s">
        <v>144</v>
      </c>
      <c r="G153" s="19" t="s">
        <v>88</v>
      </c>
      <c r="H153" s="19" t="s">
        <v>133</v>
      </c>
      <c r="I153" s="19" t="s">
        <v>90</v>
      </c>
      <c r="J153" s="19" t="s">
        <v>91</v>
      </c>
      <c r="K153" s="19" t="s">
        <v>297</v>
      </c>
      <c r="L153" s="19" t="s">
        <v>298</v>
      </c>
      <c r="M153" s="19" t="s">
        <v>299</v>
      </c>
      <c r="N153" s="19" t="s">
        <v>95</v>
      </c>
      <c r="O153" s="19" t="s">
        <v>95</v>
      </c>
      <c r="P153" s="19" t="s">
        <v>95</v>
      </c>
      <c r="Q153" s="19" t="s">
        <v>95</v>
      </c>
      <c r="R153" s="19" t="s">
        <v>96</v>
      </c>
      <c r="S153" s="24" t="s">
        <v>97</v>
      </c>
      <c r="T153" s="24" t="s">
        <v>314</v>
      </c>
    </row>
    <row r="154" spans="1:20" ht="19.5" customHeight="1" x14ac:dyDescent="0.25">
      <c r="A154" s="27" t="s">
        <v>53</v>
      </c>
      <c r="B154" s="27" t="s">
        <v>493</v>
      </c>
      <c r="C154" s="27" t="s">
        <v>459</v>
      </c>
      <c r="D154" s="27" t="s">
        <v>151</v>
      </c>
      <c r="E154" s="42"/>
      <c r="F154" s="43" t="s">
        <v>152</v>
      </c>
      <c r="G154" s="30" t="s">
        <v>88</v>
      </c>
      <c r="H154" s="30" t="s">
        <v>133</v>
      </c>
      <c r="I154" s="30" t="s">
        <v>90</v>
      </c>
      <c r="J154" s="30" t="s">
        <v>91</v>
      </c>
      <c r="K154" s="30" t="s">
        <v>297</v>
      </c>
      <c r="L154" s="30" t="s">
        <v>298</v>
      </c>
      <c r="M154" s="30" t="s">
        <v>299</v>
      </c>
      <c r="N154" s="30" t="s">
        <v>95</v>
      </c>
      <c r="O154" s="30" t="s">
        <v>95</v>
      </c>
      <c r="P154" s="30" t="s">
        <v>95</v>
      </c>
      <c r="Q154" s="30" t="s">
        <v>95</v>
      </c>
      <c r="R154" s="30" t="s">
        <v>96</v>
      </c>
      <c r="S154" s="27" t="s">
        <v>97</v>
      </c>
      <c r="T154" s="27" t="s">
        <v>98</v>
      </c>
    </row>
    <row r="155" spans="1:20" ht="19.5" customHeight="1" x14ac:dyDescent="0.25">
      <c r="A155" s="24" t="s">
        <v>53</v>
      </c>
      <c r="B155" s="24" t="s">
        <v>494</v>
      </c>
      <c r="C155" s="24" t="s">
        <v>459</v>
      </c>
      <c r="D155" s="24" t="s">
        <v>495</v>
      </c>
      <c r="E155" s="38"/>
      <c r="F155" s="39" t="s">
        <v>144</v>
      </c>
      <c r="G155" s="19" t="s">
        <v>88</v>
      </c>
      <c r="H155" s="19" t="s">
        <v>133</v>
      </c>
      <c r="I155" s="19" t="s">
        <v>90</v>
      </c>
      <c r="J155" s="19" t="s">
        <v>91</v>
      </c>
      <c r="K155" s="19" t="s">
        <v>297</v>
      </c>
      <c r="L155" s="19" t="s">
        <v>298</v>
      </c>
      <c r="M155" s="19" t="s">
        <v>299</v>
      </c>
      <c r="N155" s="19" t="s">
        <v>95</v>
      </c>
      <c r="O155" s="19" t="s">
        <v>95</v>
      </c>
      <c r="P155" s="19" t="s">
        <v>95</v>
      </c>
      <c r="Q155" s="19" t="s">
        <v>95</v>
      </c>
      <c r="R155" s="19" t="s">
        <v>96</v>
      </c>
      <c r="S155" s="24" t="s">
        <v>97</v>
      </c>
      <c r="T155" s="24" t="s">
        <v>314</v>
      </c>
    </row>
    <row r="156" spans="1:20" ht="19.5" customHeight="1" x14ac:dyDescent="0.25">
      <c r="A156" s="27" t="s">
        <v>53</v>
      </c>
      <c r="B156" s="27" t="s">
        <v>496</v>
      </c>
      <c r="C156" s="27" t="s">
        <v>459</v>
      </c>
      <c r="D156" s="27" t="s">
        <v>255</v>
      </c>
      <c r="E156" s="38"/>
      <c r="F156" s="39" t="s">
        <v>144</v>
      </c>
      <c r="G156" s="30" t="s">
        <v>88</v>
      </c>
      <c r="H156" s="30" t="s">
        <v>133</v>
      </c>
      <c r="I156" s="30" t="s">
        <v>90</v>
      </c>
      <c r="J156" s="30" t="s">
        <v>91</v>
      </c>
      <c r="K156" s="30" t="s">
        <v>297</v>
      </c>
      <c r="L156" s="30" t="s">
        <v>298</v>
      </c>
      <c r="M156" s="30" t="s">
        <v>299</v>
      </c>
      <c r="N156" s="30" t="s">
        <v>95</v>
      </c>
      <c r="O156" s="30" t="s">
        <v>95</v>
      </c>
      <c r="P156" s="30" t="s">
        <v>95</v>
      </c>
      <c r="Q156" s="30" t="s">
        <v>95</v>
      </c>
      <c r="R156" s="30" t="s">
        <v>96</v>
      </c>
      <c r="S156" s="27" t="s">
        <v>97</v>
      </c>
      <c r="T156" s="27" t="s">
        <v>314</v>
      </c>
    </row>
    <row r="157" spans="1:20" ht="19.5" customHeight="1" x14ac:dyDescent="0.25">
      <c r="A157" s="24" t="s">
        <v>53</v>
      </c>
      <c r="B157" s="24" t="s">
        <v>497</v>
      </c>
      <c r="C157" s="24" t="s">
        <v>459</v>
      </c>
      <c r="D157" s="24" t="s">
        <v>258</v>
      </c>
      <c r="E157" s="38"/>
      <c r="F157" s="39" t="s">
        <v>144</v>
      </c>
      <c r="G157" s="19" t="s">
        <v>88</v>
      </c>
      <c r="H157" s="19" t="s">
        <v>133</v>
      </c>
      <c r="I157" s="19" t="s">
        <v>90</v>
      </c>
      <c r="J157" s="19" t="s">
        <v>91</v>
      </c>
      <c r="K157" s="19" t="s">
        <v>297</v>
      </c>
      <c r="L157" s="19" t="s">
        <v>298</v>
      </c>
      <c r="M157" s="19" t="s">
        <v>299</v>
      </c>
      <c r="N157" s="19" t="s">
        <v>95</v>
      </c>
      <c r="O157" s="19" t="s">
        <v>95</v>
      </c>
      <c r="P157" s="19" t="s">
        <v>95</v>
      </c>
      <c r="Q157" s="19" t="s">
        <v>95</v>
      </c>
      <c r="R157" s="19" t="s">
        <v>96</v>
      </c>
      <c r="S157" s="24" t="s">
        <v>97</v>
      </c>
      <c r="T157" s="24" t="s">
        <v>314</v>
      </c>
    </row>
    <row r="158" spans="1:20" ht="19.5" customHeight="1" x14ac:dyDescent="0.25">
      <c r="A158" s="27" t="s">
        <v>53</v>
      </c>
      <c r="B158" s="27" t="s">
        <v>498</v>
      </c>
      <c r="C158" s="27" t="s">
        <v>459</v>
      </c>
      <c r="D158" s="27" t="s">
        <v>261</v>
      </c>
      <c r="E158" s="38"/>
      <c r="F158" s="39" t="s">
        <v>144</v>
      </c>
      <c r="G158" s="30" t="s">
        <v>88</v>
      </c>
      <c r="H158" s="30" t="s">
        <v>133</v>
      </c>
      <c r="I158" s="30" t="s">
        <v>90</v>
      </c>
      <c r="J158" s="30" t="s">
        <v>91</v>
      </c>
      <c r="K158" s="30" t="s">
        <v>297</v>
      </c>
      <c r="L158" s="30" t="s">
        <v>298</v>
      </c>
      <c r="M158" s="30" t="s">
        <v>299</v>
      </c>
      <c r="N158" s="30" t="s">
        <v>95</v>
      </c>
      <c r="O158" s="30" t="s">
        <v>95</v>
      </c>
      <c r="P158" s="30" t="s">
        <v>95</v>
      </c>
      <c r="Q158" s="30" t="s">
        <v>95</v>
      </c>
      <c r="R158" s="30" t="s">
        <v>96</v>
      </c>
      <c r="S158" s="27" t="s">
        <v>97</v>
      </c>
      <c r="T158" s="27" t="s">
        <v>314</v>
      </c>
    </row>
    <row r="159" spans="1:20" ht="19.5" customHeight="1" x14ac:dyDescent="0.25">
      <c r="A159" s="24" t="s">
        <v>53</v>
      </c>
      <c r="B159" s="24" t="s">
        <v>499</v>
      </c>
      <c r="C159" s="24" t="s">
        <v>459</v>
      </c>
      <c r="D159" s="24" t="s">
        <v>264</v>
      </c>
      <c r="E159" s="38"/>
      <c r="F159" s="39" t="s">
        <v>144</v>
      </c>
      <c r="G159" s="19" t="s">
        <v>88</v>
      </c>
      <c r="H159" s="19" t="s">
        <v>133</v>
      </c>
      <c r="I159" s="19" t="s">
        <v>90</v>
      </c>
      <c r="J159" s="19" t="s">
        <v>91</v>
      </c>
      <c r="K159" s="19" t="s">
        <v>297</v>
      </c>
      <c r="L159" s="19" t="s">
        <v>298</v>
      </c>
      <c r="M159" s="19" t="s">
        <v>299</v>
      </c>
      <c r="N159" s="19" t="s">
        <v>95</v>
      </c>
      <c r="O159" s="19" t="s">
        <v>95</v>
      </c>
      <c r="P159" s="19" t="s">
        <v>95</v>
      </c>
      <c r="Q159" s="19" t="s">
        <v>95</v>
      </c>
      <c r="R159" s="19" t="s">
        <v>96</v>
      </c>
      <c r="S159" s="24" t="s">
        <v>97</v>
      </c>
      <c r="T159" s="24" t="s">
        <v>314</v>
      </c>
    </row>
    <row r="160" spans="1:20" ht="19.5" customHeight="1" x14ac:dyDescent="0.25">
      <c r="A160" s="27" t="s">
        <v>53</v>
      </c>
      <c r="B160" s="27" t="s">
        <v>500</v>
      </c>
      <c r="C160" s="27" t="s">
        <v>459</v>
      </c>
      <c r="D160" s="27" t="s">
        <v>267</v>
      </c>
      <c r="E160" s="38"/>
      <c r="F160" s="39" t="s">
        <v>144</v>
      </c>
      <c r="G160" s="30" t="s">
        <v>88</v>
      </c>
      <c r="H160" s="30" t="s">
        <v>133</v>
      </c>
      <c r="I160" s="30" t="s">
        <v>90</v>
      </c>
      <c r="J160" s="30" t="s">
        <v>91</v>
      </c>
      <c r="K160" s="30" t="s">
        <v>297</v>
      </c>
      <c r="L160" s="30" t="s">
        <v>298</v>
      </c>
      <c r="M160" s="30" t="s">
        <v>299</v>
      </c>
      <c r="N160" s="30" t="s">
        <v>95</v>
      </c>
      <c r="O160" s="30" t="s">
        <v>95</v>
      </c>
      <c r="P160" s="30" t="s">
        <v>95</v>
      </c>
      <c r="Q160" s="30" t="s">
        <v>95</v>
      </c>
      <c r="R160" s="30" t="s">
        <v>96</v>
      </c>
      <c r="S160" s="27" t="s">
        <v>97</v>
      </c>
      <c r="T160" s="27" t="s">
        <v>314</v>
      </c>
    </row>
    <row r="161" spans="1:20" ht="19.5" customHeight="1" x14ac:dyDescent="0.25">
      <c r="A161" s="24" t="s">
        <v>53</v>
      </c>
      <c r="B161" s="24" t="s">
        <v>501</v>
      </c>
      <c r="C161" s="24" t="s">
        <v>459</v>
      </c>
      <c r="D161" s="24" t="s">
        <v>502</v>
      </c>
      <c r="E161" s="38"/>
      <c r="F161" s="39" t="s">
        <v>144</v>
      </c>
      <c r="G161" s="19" t="s">
        <v>88</v>
      </c>
      <c r="H161" s="19" t="s">
        <v>133</v>
      </c>
      <c r="I161" s="19" t="s">
        <v>90</v>
      </c>
      <c r="J161" s="19" t="s">
        <v>91</v>
      </c>
      <c r="K161" s="19" t="s">
        <v>297</v>
      </c>
      <c r="L161" s="19" t="s">
        <v>298</v>
      </c>
      <c r="M161" s="19" t="s">
        <v>299</v>
      </c>
      <c r="N161" s="19" t="s">
        <v>95</v>
      </c>
      <c r="O161" s="19" t="s">
        <v>95</v>
      </c>
      <c r="P161" s="19" t="s">
        <v>95</v>
      </c>
      <c r="Q161" s="19" t="s">
        <v>95</v>
      </c>
      <c r="R161" s="19" t="s">
        <v>96</v>
      </c>
      <c r="S161" s="24" t="s">
        <v>97</v>
      </c>
      <c r="T161" s="24" t="s">
        <v>314</v>
      </c>
    </row>
    <row r="162" spans="1:20" ht="19.5" customHeight="1" x14ac:dyDescent="0.25">
      <c r="A162" s="27" t="s">
        <v>53</v>
      </c>
      <c r="B162" s="27" t="s">
        <v>503</v>
      </c>
      <c r="C162" s="27" t="s">
        <v>459</v>
      </c>
      <c r="D162" s="27" t="s">
        <v>270</v>
      </c>
      <c r="E162" s="79"/>
      <c r="F162" s="80" t="s">
        <v>271</v>
      </c>
      <c r="G162" s="30" t="s">
        <v>88</v>
      </c>
      <c r="H162" s="30" t="s">
        <v>133</v>
      </c>
      <c r="I162" s="30" t="s">
        <v>90</v>
      </c>
      <c r="J162" s="30" t="s">
        <v>91</v>
      </c>
      <c r="K162" s="30" t="s">
        <v>297</v>
      </c>
      <c r="L162" s="30" t="s">
        <v>298</v>
      </c>
      <c r="M162" s="30" t="s">
        <v>299</v>
      </c>
      <c r="N162" s="30" t="s">
        <v>95</v>
      </c>
      <c r="O162" s="30" t="s">
        <v>95</v>
      </c>
      <c r="P162" s="30" t="s">
        <v>95</v>
      </c>
      <c r="Q162" s="30" t="s">
        <v>95</v>
      </c>
      <c r="R162" s="30" t="s">
        <v>96</v>
      </c>
      <c r="S162" s="27" t="s">
        <v>97</v>
      </c>
      <c r="T162" s="27" t="s">
        <v>98</v>
      </c>
    </row>
    <row r="163" spans="1:20" ht="19.5" customHeight="1" x14ac:dyDescent="0.25">
      <c r="A163" s="24" t="s">
        <v>53</v>
      </c>
      <c r="B163" s="24" t="s">
        <v>504</v>
      </c>
      <c r="C163" s="24" t="s">
        <v>459</v>
      </c>
      <c r="D163" s="24" t="s">
        <v>109</v>
      </c>
      <c r="E163" s="19"/>
      <c r="F163" s="35" t="s">
        <v>110</v>
      </c>
      <c r="G163" s="19" t="s">
        <v>88</v>
      </c>
      <c r="H163" s="19" t="s">
        <v>133</v>
      </c>
      <c r="I163" s="19" t="s">
        <v>90</v>
      </c>
      <c r="J163" s="19" t="s">
        <v>91</v>
      </c>
      <c r="K163" s="19" t="s">
        <v>297</v>
      </c>
      <c r="L163" s="19" t="s">
        <v>298</v>
      </c>
      <c r="M163" s="19" t="s">
        <v>299</v>
      </c>
      <c r="N163" s="19" t="s">
        <v>95</v>
      </c>
      <c r="O163" s="19" t="s">
        <v>95</v>
      </c>
      <c r="P163" s="19" t="s">
        <v>95</v>
      </c>
      <c r="Q163" s="19" t="s">
        <v>95</v>
      </c>
      <c r="R163" s="19" t="s">
        <v>96</v>
      </c>
      <c r="S163" s="24" t="s">
        <v>97</v>
      </c>
      <c r="T163" s="24" t="s">
        <v>98</v>
      </c>
    </row>
    <row r="164" spans="1:20" ht="19.5" customHeight="1" x14ac:dyDescent="0.25">
      <c r="A164" s="27" t="s">
        <v>53</v>
      </c>
      <c r="B164" s="27" t="s">
        <v>505</v>
      </c>
      <c r="C164" s="27" t="s">
        <v>459</v>
      </c>
      <c r="D164" s="27" t="s">
        <v>347</v>
      </c>
      <c r="E164" s="100"/>
      <c r="F164" s="101" t="s">
        <v>348</v>
      </c>
      <c r="G164" s="30" t="s">
        <v>88</v>
      </c>
      <c r="H164" s="30" t="s">
        <v>133</v>
      </c>
      <c r="I164" s="30" t="s">
        <v>90</v>
      </c>
      <c r="J164" s="30" t="s">
        <v>91</v>
      </c>
      <c r="K164" s="30" t="s">
        <v>297</v>
      </c>
      <c r="L164" s="30" t="s">
        <v>298</v>
      </c>
      <c r="M164" s="30" t="s">
        <v>299</v>
      </c>
      <c r="N164" s="30" t="s">
        <v>95</v>
      </c>
      <c r="O164" s="30" t="s">
        <v>95</v>
      </c>
      <c r="P164" s="30" t="s">
        <v>95</v>
      </c>
      <c r="Q164" s="30" t="s">
        <v>95</v>
      </c>
      <c r="R164" s="30" t="s">
        <v>96</v>
      </c>
      <c r="S164" s="27" t="s">
        <v>97</v>
      </c>
      <c r="T164" s="27" t="s">
        <v>98</v>
      </c>
    </row>
    <row r="165" spans="1:20" ht="19.5" customHeight="1" x14ac:dyDescent="0.25">
      <c r="A165" s="24" t="s">
        <v>54</v>
      </c>
      <c r="B165" s="24" t="s">
        <v>506</v>
      </c>
      <c r="C165" s="24" t="s">
        <v>507</v>
      </c>
      <c r="D165" s="24" t="s">
        <v>86</v>
      </c>
      <c r="E165" s="25"/>
      <c r="F165" s="26" t="s">
        <v>87</v>
      </c>
      <c r="G165" s="19" t="s">
        <v>88</v>
      </c>
      <c r="H165" s="19" t="s">
        <v>133</v>
      </c>
      <c r="I165" s="19" t="s">
        <v>90</v>
      </c>
      <c r="J165" s="19" t="s">
        <v>91</v>
      </c>
      <c r="K165" s="19" t="s">
        <v>508</v>
      </c>
      <c r="L165" s="19" t="s">
        <v>352</v>
      </c>
      <c r="M165" s="19" t="s">
        <v>299</v>
      </c>
      <c r="N165" s="19" t="s">
        <v>95</v>
      </c>
      <c r="O165" s="19" t="s">
        <v>95</v>
      </c>
      <c r="P165" s="19" t="s">
        <v>95</v>
      </c>
      <c r="Q165" s="19" t="s">
        <v>95</v>
      </c>
      <c r="R165" s="19" t="s">
        <v>114</v>
      </c>
      <c r="S165" s="24" t="s">
        <v>509</v>
      </c>
      <c r="T165" s="24" t="s">
        <v>116</v>
      </c>
    </row>
    <row r="166" spans="1:20" ht="19.5" customHeight="1" x14ac:dyDescent="0.25">
      <c r="A166" s="27" t="s">
        <v>55</v>
      </c>
      <c r="B166" s="27" t="s">
        <v>510</v>
      </c>
      <c r="C166" s="27" t="s">
        <v>511</v>
      </c>
      <c r="D166" s="27" t="s">
        <v>86</v>
      </c>
      <c r="E166" s="25"/>
      <c r="F166" s="26" t="s">
        <v>87</v>
      </c>
      <c r="G166" s="30" t="s">
        <v>88</v>
      </c>
      <c r="H166" s="30" t="s">
        <v>133</v>
      </c>
      <c r="I166" s="30" t="s">
        <v>90</v>
      </c>
      <c r="J166" s="30" t="s">
        <v>91</v>
      </c>
      <c r="K166" s="30" t="s">
        <v>512</v>
      </c>
      <c r="L166" s="30" t="s">
        <v>298</v>
      </c>
      <c r="M166" s="30" t="s">
        <v>299</v>
      </c>
      <c r="N166" s="30" t="s">
        <v>95</v>
      </c>
      <c r="O166" s="30" t="s">
        <v>95</v>
      </c>
      <c r="P166" s="30" t="s">
        <v>95</v>
      </c>
      <c r="Q166" s="30" t="s">
        <v>95</v>
      </c>
      <c r="R166" s="30" t="s">
        <v>96</v>
      </c>
      <c r="S166" s="27" t="s">
        <v>513</v>
      </c>
      <c r="T166" s="27" t="s">
        <v>370</v>
      </c>
    </row>
    <row r="167" spans="1:20" ht="19.5" customHeight="1" x14ac:dyDescent="0.25">
      <c r="A167" s="24" t="s">
        <v>55</v>
      </c>
      <c r="B167" s="24" t="s">
        <v>514</v>
      </c>
      <c r="C167" s="24" t="s">
        <v>511</v>
      </c>
      <c r="D167" s="24" t="s">
        <v>100</v>
      </c>
      <c r="E167" s="28"/>
      <c r="F167" s="29" t="s">
        <v>101</v>
      </c>
      <c r="G167" s="19" t="s">
        <v>88</v>
      </c>
      <c r="H167" s="19" t="s">
        <v>133</v>
      </c>
      <c r="I167" s="19" t="s">
        <v>90</v>
      </c>
      <c r="J167" s="19" t="s">
        <v>91</v>
      </c>
      <c r="K167" s="19" t="s">
        <v>512</v>
      </c>
      <c r="L167" s="19" t="s">
        <v>298</v>
      </c>
      <c r="M167" s="19" t="s">
        <v>299</v>
      </c>
      <c r="N167" s="19" t="s">
        <v>95</v>
      </c>
      <c r="O167" s="19" t="s">
        <v>95</v>
      </c>
      <c r="P167" s="19" t="s">
        <v>95</v>
      </c>
      <c r="Q167" s="19" t="s">
        <v>95</v>
      </c>
      <c r="R167" s="19" t="s">
        <v>96</v>
      </c>
      <c r="S167" s="24" t="s">
        <v>513</v>
      </c>
      <c r="T167" s="24" t="s">
        <v>370</v>
      </c>
    </row>
    <row r="168" spans="1:20" ht="19.5" customHeight="1" x14ac:dyDescent="0.25">
      <c r="A168" s="27" t="s">
        <v>55</v>
      </c>
      <c r="B168" s="27" t="s">
        <v>515</v>
      </c>
      <c r="C168" s="27" t="s">
        <v>511</v>
      </c>
      <c r="D168" s="27" t="s">
        <v>139</v>
      </c>
      <c r="E168" s="36"/>
      <c r="F168" s="37" t="s">
        <v>140</v>
      </c>
      <c r="G168" s="30" t="s">
        <v>88</v>
      </c>
      <c r="H168" s="30" t="s">
        <v>133</v>
      </c>
      <c r="I168" s="30" t="s">
        <v>90</v>
      </c>
      <c r="J168" s="30" t="s">
        <v>91</v>
      </c>
      <c r="K168" s="30" t="s">
        <v>512</v>
      </c>
      <c r="L168" s="30" t="s">
        <v>298</v>
      </c>
      <c r="M168" s="30" t="s">
        <v>299</v>
      </c>
      <c r="N168" s="30" t="s">
        <v>95</v>
      </c>
      <c r="O168" s="30" t="s">
        <v>95</v>
      </c>
      <c r="P168" s="30" t="s">
        <v>95</v>
      </c>
      <c r="Q168" s="30" t="s">
        <v>95</v>
      </c>
      <c r="R168" s="30" t="s">
        <v>96</v>
      </c>
      <c r="S168" s="27" t="s">
        <v>513</v>
      </c>
      <c r="T168" s="27" t="s">
        <v>370</v>
      </c>
    </row>
    <row r="169" spans="1:20" ht="19.5" customHeight="1" x14ac:dyDescent="0.25">
      <c r="A169" s="24" t="s">
        <v>55</v>
      </c>
      <c r="B169" s="24" t="s">
        <v>516</v>
      </c>
      <c r="C169" s="24" t="s">
        <v>511</v>
      </c>
      <c r="D169" s="24" t="s">
        <v>103</v>
      </c>
      <c r="E169" s="31"/>
      <c r="F169" s="32" t="s">
        <v>104</v>
      </c>
      <c r="G169" s="19" t="s">
        <v>88</v>
      </c>
      <c r="H169" s="19" t="s">
        <v>133</v>
      </c>
      <c r="I169" s="19" t="s">
        <v>90</v>
      </c>
      <c r="J169" s="19" t="s">
        <v>91</v>
      </c>
      <c r="K169" s="19" t="s">
        <v>512</v>
      </c>
      <c r="L169" s="19" t="s">
        <v>298</v>
      </c>
      <c r="M169" s="19" t="s">
        <v>299</v>
      </c>
      <c r="N169" s="19" t="s">
        <v>95</v>
      </c>
      <c r="O169" s="19" t="s">
        <v>95</v>
      </c>
      <c r="P169" s="19" t="s">
        <v>95</v>
      </c>
      <c r="Q169" s="19" t="s">
        <v>95</v>
      </c>
      <c r="R169" s="19" t="s">
        <v>96</v>
      </c>
      <c r="S169" s="24" t="s">
        <v>513</v>
      </c>
      <c r="T169" s="24" t="s">
        <v>370</v>
      </c>
    </row>
    <row r="170" spans="1:20" ht="19.5" customHeight="1" x14ac:dyDescent="0.25">
      <c r="A170" s="27" t="s">
        <v>55</v>
      </c>
      <c r="B170" s="27" t="s">
        <v>517</v>
      </c>
      <c r="C170" s="27" t="s">
        <v>511</v>
      </c>
      <c r="D170" s="27" t="s">
        <v>231</v>
      </c>
      <c r="E170" s="114"/>
      <c r="F170" s="115" t="s">
        <v>518</v>
      </c>
      <c r="G170" s="30" t="s">
        <v>88</v>
      </c>
      <c r="H170" s="30" t="s">
        <v>133</v>
      </c>
      <c r="I170" s="30" t="s">
        <v>90</v>
      </c>
      <c r="J170" s="30" t="s">
        <v>91</v>
      </c>
      <c r="K170" s="30" t="s">
        <v>519</v>
      </c>
      <c r="L170" s="30" t="s">
        <v>298</v>
      </c>
      <c r="M170" s="30" t="s">
        <v>299</v>
      </c>
      <c r="N170" s="30" t="s">
        <v>95</v>
      </c>
      <c r="O170" s="30" t="s">
        <v>95</v>
      </c>
      <c r="P170" s="30" t="s">
        <v>95</v>
      </c>
      <c r="Q170" s="30" t="s">
        <v>95</v>
      </c>
      <c r="R170" s="30" t="s">
        <v>96</v>
      </c>
      <c r="S170" s="27" t="s">
        <v>520</v>
      </c>
      <c r="T170" s="27" t="s">
        <v>521</v>
      </c>
    </row>
    <row r="171" spans="1:20" ht="19.5" customHeight="1" x14ac:dyDescent="0.25">
      <c r="A171" s="24" t="s">
        <v>55</v>
      </c>
      <c r="B171" s="24" t="s">
        <v>522</v>
      </c>
      <c r="C171" s="24" t="s">
        <v>511</v>
      </c>
      <c r="D171" s="24" t="s">
        <v>147</v>
      </c>
      <c r="E171" s="40"/>
      <c r="F171" s="41" t="s">
        <v>148</v>
      </c>
      <c r="G171" s="19" t="s">
        <v>88</v>
      </c>
      <c r="H171" s="19" t="s">
        <v>133</v>
      </c>
      <c r="I171" s="19" t="s">
        <v>90</v>
      </c>
      <c r="J171" s="19" t="s">
        <v>91</v>
      </c>
      <c r="K171" s="19" t="s">
        <v>512</v>
      </c>
      <c r="L171" s="19" t="s">
        <v>298</v>
      </c>
      <c r="M171" s="19" t="s">
        <v>299</v>
      </c>
      <c r="N171" s="19" t="s">
        <v>95</v>
      </c>
      <c r="O171" s="19" t="s">
        <v>95</v>
      </c>
      <c r="P171" s="19" t="s">
        <v>95</v>
      </c>
      <c r="Q171" s="19" t="s">
        <v>95</v>
      </c>
      <c r="R171" s="19" t="s">
        <v>96</v>
      </c>
      <c r="S171" s="24" t="s">
        <v>513</v>
      </c>
      <c r="T171" s="24" t="s">
        <v>370</v>
      </c>
    </row>
    <row r="172" spans="1:20" ht="19.5" customHeight="1" x14ac:dyDescent="0.25">
      <c r="A172" s="27" t="s">
        <v>55</v>
      </c>
      <c r="B172" s="27" t="s">
        <v>523</v>
      </c>
      <c r="C172" s="27" t="s">
        <v>511</v>
      </c>
      <c r="D172" s="27" t="s">
        <v>106</v>
      </c>
      <c r="E172" s="33"/>
      <c r="F172" s="34" t="s">
        <v>107</v>
      </c>
      <c r="G172" s="30" t="s">
        <v>88</v>
      </c>
      <c r="H172" s="30" t="s">
        <v>133</v>
      </c>
      <c r="I172" s="30" t="s">
        <v>90</v>
      </c>
      <c r="J172" s="30" t="s">
        <v>91</v>
      </c>
      <c r="K172" s="30" t="s">
        <v>512</v>
      </c>
      <c r="L172" s="30" t="s">
        <v>298</v>
      </c>
      <c r="M172" s="30" t="s">
        <v>299</v>
      </c>
      <c r="N172" s="30" t="s">
        <v>95</v>
      </c>
      <c r="O172" s="30" t="s">
        <v>95</v>
      </c>
      <c r="P172" s="30" t="s">
        <v>95</v>
      </c>
      <c r="Q172" s="30" t="s">
        <v>95</v>
      </c>
      <c r="R172" s="30" t="s">
        <v>96</v>
      </c>
      <c r="S172" s="27" t="s">
        <v>513</v>
      </c>
      <c r="T172" s="27" t="s">
        <v>370</v>
      </c>
    </row>
    <row r="173" spans="1:20" ht="19.5" customHeight="1" x14ac:dyDescent="0.25">
      <c r="A173" s="24" t="s">
        <v>55</v>
      </c>
      <c r="B173" s="24" t="s">
        <v>524</v>
      </c>
      <c r="C173" s="24" t="s">
        <v>511</v>
      </c>
      <c r="D173" s="24" t="s">
        <v>249</v>
      </c>
      <c r="E173" s="38"/>
      <c r="F173" s="39" t="s">
        <v>144</v>
      </c>
      <c r="G173" s="19" t="s">
        <v>88</v>
      </c>
      <c r="H173" s="19" t="s">
        <v>133</v>
      </c>
      <c r="I173" s="19" t="s">
        <v>90</v>
      </c>
      <c r="J173" s="19" t="s">
        <v>91</v>
      </c>
      <c r="K173" s="19" t="s">
        <v>512</v>
      </c>
      <c r="L173" s="19" t="s">
        <v>298</v>
      </c>
      <c r="M173" s="19" t="s">
        <v>299</v>
      </c>
      <c r="N173" s="19" t="s">
        <v>95</v>
      </c>
      <c r="O173" s="19" t="s">
        <v>95</v>
      </c>
      <c r="P173" s="19" t="s">
        <v>95</v>
      </c>
      <c r="Q173" s="19" t="s">
        <v>95</v>
      </c>
      <c r="R173" s="19" t="s">
        <v>96</v>
      </c>
      <c r="S173" s="24" t="s">
        <v>513</v>
      </c>
      <c r="T173" s="24" t="s">
        <v>281</v>
      </c>
    </row>
    <row r="174" spans="1:20" ht="19.5" customHeight="1" x14ac:dyDescent="0.25">
      <c r="A174" s="27" t="s">
        <v>55</v>
      </c>
      <c r="B174" s="27" t="s">
        <v>525</v>
      </c>
      <c r="C174" s="27" t="s">
        <v>511</v>
      </c>
      <c r="D174" s="27" t="s">
        <v>151</v>
      </c>
      <c r="E174" s="42"/>
      <c r="F174" s="43" t="s">
        <v>152</v>
      </c>
      <c r="G174" s="30" t="s">
        <v>88</v>
      </c>
      <c r="H174" s="30" t="s">
        <v>133</v>
      </c>
      <c r="I174" s="30" t="s">
        <v>90</v>
      </c>
      <c r="J174" s="30" t="s">
        <v>91</v>
      </c>
      <c r="K174" s="30" t="s">
        <v>512</v>
      </c>
      <c r="L174" s="30" t="s">
        <v>298</v>
      </c>
      <c r="M174" s="30" t="s">
        <v>299</v>
      </c>
      <c r="N174" s="30" t="s">
        <v>95</v>
      </c>
      <c r="O174" s="30" t="s">
        <v>95</v>
      </c>
      <c r="P174" s="30" t="s">
        <v>95</v>
      </c>
      <c r="Q174" s="30" t="s">
        <v>95</v>
      </c>
      <c r="R174" s="30" t="s">
        <v>96</v>
      </c>
      <c r="S174" s="27" t="s">
        <v>513</v>
      </c>
      <c r="T174" s="27" t="s">
        <v>370</v>
      </c>
    </row>
    <row r="175" spans="1:20" ht="19.5" customHeight="1" x14ac:dyDescent="0.25">
      <c r="A175" s="24" t="s">
        <v>55</v>
      </c>
      <c r="B175" s="24" t="s">
        <v>526</v>
      </c>
      <c r="C175" s="24" t="s">
        <v>511</v>
      </c>
      <c r="D175" s="24" t="s">
        <v>109</v>
      </c>
      <c r="E175" s="19"/>
      <c r="F175" s="35" t="s">
        <v>110</v>
      </c>
      <c r="G175" s="19" t="s">
        <v>88</v>
      </c>
      <c r="H175" s="19" t="s">
        <v>133</v>
      </c>
      <c r="I175" s="19" t="s">
        <v>90</v>
      </c>
      <c r="J175" s="19" t="s">
        <v>91</v>
      </c>
      <c r="K175" s="19" t="s">
        <v>512</v>
      </c>
      <c r="L175" s="19" t="s">
        <v>298</v>
      </c>
      <c r="M175" s="19" t="s">
        <v>299</v>
      </c>
      <c r="N175" s="19" t="s">
        <v>95</v>
      </c>
      <c r="O175" s="19" t="s">
        <v>95</v>
      </c>
      <c r="P175" s="19" t="s">
        <v>95</v>
      </c>
      <c r="Q175" s="19" t="s">
        <v>95</v>
      </c>
      <c r="R175" s="19" t="s">
        <v>96</v>
      </c>
      <c r="S175" s="24" t="s">
        <v>513</v>
      </c>
      <c r="T175" s="24" t="s">
        <v>370</v>
      </c>
    </row>
    <row r="176" spans="1:20" ht="19.5" customHeight="1" x14ac:dyDescent="0.25">
      <c r="A176" s="27" t="s">
        <v>55</v>
      </c>
      <c r="B176" s="27" t="s">
        <v>527</v>
      </c>
      <c r="C176" s="27" t="s">
        <v>511</v>
      </c>
      <c r="D176" s="27" t="s">
        <v>347</v>
      </c>
      <c r="E176" s="100"/>
      <c r="F176" s="101" t="s">
        <v>348</v>
      </c>
      <c r="G176" s="30" t="s">
        <v>88</v>
      </c>
      <c r="H176" s="30" t="s">
        <v>133</v>
      </c>
      <c r="I176" s="30" t="s">
        <v>90</v>
      </c>
      <c r="J176" s="30" t="s">
        <v>91</v>
      </c>
      <c r="K176" s="30" t="s">
        <v>512</v>
      </c>
      <c r="L176" s="30" t="s">
        <v>298</v>
      </c>
      <c r="M176" s="30" t="s">
        <v>299</v>
      </c>
      <c r="N176" s="30" t="s">
        <v>95</v>
      </c>
      <c r="O176" s="30" t="s">
        <v>95</v>
      </c>
      <c r="P176" s="30" t="s">
        <v>95</v>
      </c>
      <c r="Q176" s="30" t="s">
        <v>95</v>
      </c>
      <c r="R176" s="30" t="s">
        <v>96</v>
      </c>
      <c r="S176" s="27" t="s">
        <v>513</v>
      </c>
      <c r="T176" s="27" t="s">
        <v>370</v>
      </c>
    </row>
    <row r="177" spans="1:20" ht="19.5" customHeight="1" x14ac:dyDescent="0.25">
      <c r="A177" s="24" t="s">
        <v>56</v>
      </c>
      <c r="B177" s="24" t="s">
        <v>528</v>
      </c>
      <c r="C177" s="24" t="s">
        <v>529</v>
      </c>
      <c r="D177" s="24" t="s">
        <v>86</v>
      </c>
      <c r="E177" s="25"/>
      <c r="F177" s="26" t="s">
        <v>87</v>
      </c>
      <c r="G177" s="19" t="s">
        <v>88</v>
      </c>
      <c r="H177" s="19" t="s">
        <v>133</v>
      </c>
      <c r="I177" s="19" t="s">
        <v>90</v>
      </c>
      <c r="J177" s="19" t="s">
        <v>91</v>
      </c>
      <c r="K177" s="19" t="s">
        <v>508</v>
      </c>
      <c r="L177" s="19" t="s">
        <v>352</v>
      </c>
      <c r="M177" s="19" t="s">
        <v>299</v>
      </c>
      <c r="N177" s="19" t="s">
        <v>95</v>
      </c>
      <c r="O177" s="19" t="s">
        <v>95</v>
      </c>
      <c r="P177" s="19" t="s">
        <v>95</v>
      </c>
      <c r="Q177" s="19" t="s">
        <v>95</v>
      </c>
      <c r="R177" s="19" t="s">
        <v>114</v>
      </c>
      <c r="S177" s="24" t="s">
        <v>509</v>
      </c>
      <c r="T177" s="24" t="s">
        <v>116</v>
      </c>
    </row>
    <row r="178" spans="1:20" ht="19.5" customHeight="1" x14ac:dyDescent="0.25">
      <c r="A178" s="27" t="s">
        <v>57</v>
      </c>
      <c r="B178" s="27" t="s">
        <v>530</v>
      </c>
      <c r="C178" s="27" t="s">
        <v>531</v>
      </c>
      <c r="D178" s="27" t="s">
        <v>86</v>
      </c>
      <c r="E178" s="25"/>
      <c r="F178" s="26" t="s">
        <v>87</v>
      </c>
      <c r="G178" s="30" t="s">
        <v>88</v>
      </c>
      <c r="H178" s="30" t="s">
        <v>89</v>
      </c>
      <c r="I178" s="30" t="s">
        <v>90</v>
      </c>
      <c r="J178" s="30" t="s">
        <v>91</v>
      </c>
      <c r="K178" s="30" t="s">
        <v>532</v>
      </c>
      <c r="L178" s="30" t="s">
        <v>533</v>
      </c>
      <c r="M178" s="30" t="s">
        <v>292</v>
      </c>
      <c r="N178" s="30" t="s">
        <v>95</v>
      </c>
      <c r="O178" s="30" t="s">
        <v>95</v>
      </c>
      <c r="P178" s="30" t="s">
        <v>95</v>
      </c>
      <c r="Q178" s="30" t="s">
        <v>95</v>
      </c>
      <c r="R178" s="30" t="s">
        <v>114</v>
      </c>
      <c r="S178" s="27" t="s">
        <v>534</v>
      </c>
      <c r="T178" s="27" t="s">
        <v>294</v>
      </c>
    </row>
    <row r="179" spans="1:20" ht="19.5" customHeight="1" x14ac:dyDescent="0.25">
      <c r="A179" s="24" t="s">
        <v>58</v>
      </c>
      <c r="B179" s="24" t="s">
        <v>535</v>
      </c>
      <c r="C179" s="24" t="s">
        <v>536</v>
      </c>
      <c r="D179" s="24" t="s">
        <v>175</v>
      </c>
      <c r="E179" s="38"/>
      <c r="F179" s="39" t="s">
        <v>144</v>
      </c>
      <c r="G179" s="19" t="s">
        <v>88</v>
      </c>
      <c r="H179" s="19" t="s">
        <v>121</v>
      </c>
      <c r="I179" s="19" t="s">
        <v>90</v>
      </c>
      <c r="J179" s="19" t="s">
        <v>91</v>
      </c>
      <c r="K179" s="19" t="s">
        <v>532</v>
      </c>
      <c r="L179" s="19" t="s">
        <v>537</v>
      </c>
      <c r="M179" s="19" t="s">
        <v>299</v>
      </c>
      <c r="N179" s="19" t="s">
        <v>95</v>
      </c>
      <c r="O179" s="19" t="s">
        <v>95</v>
      </c>
      <c r="P179" s="19" t="s">
        <v>95</v>
      </c>
      <c r="Q179" s="19" t="s">
        <v>95</v>
      </c>
      <c r="R179" s="19" t="s">
        <v>114</v>
      </c>
      <c r="S179" s="24" t="s">
        <v>178</v>
      </c>
      <c r="T179" s="24" t="s">
        <v>159</v>
      </c>
    </row>
    <row r="180" spans="1:20" ht="19.5" customHeight="1" x14ac:dyDescent="0.25">
      <c r="A180" s="27" t="s">
        <v>59</v>
      </c>
      <c r="B180" s="27" t="s">
        <v>538</v>
      </c>
      <c r="C180" s="27" t="s">
        <v>539</v>
      </c>
      <c r="D180" s="27" t="s">
        <v>540</v>
      </c>
      <c r="E180" s="38"/>
      <c r="F180" s="39" t="s">
        <v>144</v>
      </c>
      <c r="G180" s="30" t="s">
        <v>88</v>
      </c>
      <c r="H180" s="30" t="s">
        <v>121</v>
      </c>
      <c r="I180" s="30" t="s">
        <v>90</v>
      </c>
      <c r="J180" s="30" t="s">
        <v>91</v>
      </c>
      <c r="K180" s="30" t="s">
        <v>541</v>
      </c>
      <c r="L180" s="30" t="s">
        <v>298</v>
      </c>
      <c r="M180" s="30" t="s">
        <v>353</v>
      </c>
      <c r="N180" s="30" t="s">
        <v>95</v>
      </c>
      <c r="O180" s="30" t="s">
        <v>95</v>
      </c>
      <c r="P180" s="30" t="s">
        <v>95</v>
      </c>
      <c r="Q180" s="30" t="s">
        <v>95</v>
      </c>
      <c r="R180" s="30" t="s">
        <v>114</v>
      </c>
      <c r="S180" s="27" t="s">
        <v>542</v>
      </c>
      <c r="T180" s="27" t="s">
        <v>288</v>
      </c>
    </row>
    <row r="181" spans="1:20" ht="19.5" customHeight="1" x14ac:dyDescent="0.25">
      <c r="A181" s="24" t="s">
        <v>60</v>
      </c>
      <c r="B181" s="24" t="s">
        <v>543</v>
      </c>
      <c r="C181" s="24" t="s">
        <v>544</v>
      </c>
      <c r="D181" s="24" t="s">
        <v>545</v>
      </c>
      <c r="E181" s="38"/>
      <c r="F181" s="39" t="s">
        <v>144</v>
      </c>
      <c r="G181" s="19" t="s">
        <v>88</v>
      </c>
      <c r="H181" s="19" t="s">
        <v>133</v>
      </c>
      <c r="I181" s="19" t="s">
        <v>90</v>
      </c>
      <c r="J181" s="19" t="s">
        <v>91</v>
      </c>
      <c r="K181" s="19" t="s">
        <v>365</v>
      </c>
      <c r="L181" s="19" t="s">
        <v>352</v>
      </c>
      <c r="M181" s="19" t="s">
        <v>353</v>
      </c>
      <c r="N181" s="19" t="s">
        <v>95</v>
      </c>
      <c r="O181" s="19" t="s">
        <v>95</v>
      </c>
      <c r="P181" s="19" t="s">
        <v>95</v>
      </c>
      <c r="Q181" s="19" t="s">
        <v>95</v>
      </c>
      <c r="R181" s="19" t="s">
        <v>164</v>
      </c>
      <c r="S181" s="24" t="s">
        <v>546</v>
      </c>
      <c r="T181" s="24" t="s">
        <v>281</v>
      </c>
    </row>
    <row r="182" spans="1:20" ht="19.5" customHeight="1" x14ac:dyDescent="0.25">
      <c r="A182" s="27" t="s">
        <v>60</v>
      </c>
      <c r="B182" s="27" t="s">
        <v>547</v>
      </c>
      <c r="C182" s="27" t="s">
        <v>548</v>
      </c>
      <c r="D182" s="27" t="s">
        <v>549</v>
      </c>
      <c r="E182" s="38"/>
      <c r="F182" s="39" t="s">
        <v>144</v>
      </c>
      <c r="G182" s="30" t="s">
        <v>88</v>
      </c>
      <c r="H182" s="30" t="s">
        <v>133</v>
      </c>
      <c r="I182" s="30" t="s">
        <v>90</v>
      </c>
      <c r="J182" s="30" t="s">
        <v>91</v>
      </c>
      <c r="K182" s="30" t="s">
        <v>365</v>
      </c>
      <c r="L182" s="30" t="s">
        <v>352</v>
      </c>
      <c r="M182" s="30" t="s">
        <v>353</v>
      </c>
      <c r="N182" s="30" t="s">
        <v>95</v>
      </c>
      <c r="O182" s="30" t="s">
        <v>95</v>
      </c>
      <c r="P182" s="30" t="s">
        <v>95</v>
      </c>
      <c r="Q182" s="30" t="s">
        <v>95</v>
      </c>
      <c r="R182" s="30" t="s">
        <v>164</v>
      </c>
      <c r="S182" s="27" t="s">
        <v>546</v>
      </c>
      <c r="T182" s="27" t="s">
        <v>281</v>
      </c>
    </row>
    <row r="183" spans="1:20" ht="19.5" customHeight="1" x14ac:dyDescent="0.25">
      <c r="A183" s="24" t="s">
        <v>60</v>
      </c>
      <c r="B183" s="24" t="s">
        <v>550</v>
      </c>
      <c r="C183" s="24" t="s">
        <v>551</v>
      </c>
      <c r="D183" s="24" t="s">
        <v>286</v>
      </c>
      <c r="E183" s="38"/>
      <c r="F183" s="39" t="s">
        <v>144</v>
      </c>
      <c r="G183" s="19" t="s">
        <v>88</v>
      </c>
      <c r="H183" s="19" t="s">
        <v>133</v>
      </c>
      <c r="I183" s="19" t="s">
        <v>90</v>
      </c>
      <c r="J183" s="19" t="s">
        <v>91</v>
      </c>
      <c r="K183" s="19" t="s">
        <v>365</v>
      </c>
      <c r="L183" s="19" t="s">
        <v>352</v>
      </c>
      <c r="M183" s="19" t="s">
        <v>353</v>
      </c>
      <c r="N183" s="19" t="s">
        <v>95</v>
      </c>
      <c r="O183" s="19" t="s">
        <v>95</v>
      </c>
      <c r="P183" s="19" t="s">
        <v>95</v>
      </c>
      <c r="Q183" s="19" t="s">
        <v>95</v>
      </c>
      <c r="R183" s="19" t="s">
        <v>164</v>
      </c>
      <c r="S183" s="24" t="s">
        <v>552</v>
      </c>
      <c r="T183" s="24" t="s">
        <v>281</v>
      </c>
    </row>
    <row r="184" spans="1:20" ht="19.5" customHeight="1" x14ac:dyDescent="0.25">
      <c r="A184" s="27" t="s">
        <v>60</v>
      </c>
      <c r="B184" s="27" t="s">
        <v>553</v>
      </c>
      <c r="C184" s="27" t="s">
        <v>554</v>
      </c>
      <c r="D184" s="27" t="s">
        <v>555</v>
      </c>
      <c r="E184" s="38"/>
      <c r="F184" s="39" t="s">
        <v>144</v>
      </c>
      <c r="G184" s="30" t="s">
        <v>88</v>
      </c>
      <c r="H184" s="30" t="s">
        <v>133</v>
      </c>
      <c r="I184" s="30" t="s">
        <v>90</v>
      </c>
      <c r="J184" s="30" t="s">
        <v>91</v>
      </c>
      <c r="K184" s="30" t="s">
        <v>365</v>
      </c>
      <c r="L184" s="30" t="s">
        <v>352</v>
      </c>
      <c r="M184" s="30" t="s">
        <v>353</v>
      </c>
      <c r="N184" s="30" t="s">
        <v>95</v>
      </c>
      <c r="O184" s="30" t="s">
        <v>95</v>
      </c>
      <c r="P184" s="30" t="s">
        <v>95</v>
      </c>
      <c r="Q184" s="30" t="s">
        <v>95</v>
      </c>
      <c r="R184" s="30" t="s">
        <v>164</v>
      </c>
      <c r="S184" s="27" t="s">
        <v>546</v>
      </c>
      <c r="T184" s="27" t="s">
        <v>281</v>
      </c>
    </row>
    <row r="185" spans="1:20" ht="19.5" customHeight="1" x14ac:dyDescent="0.25">
      <c r="A185" s="24" t="s">
        <v>61</v>
      </c>
      <c r="B185" s="24" t="s">
        <v>556</v>
      </c>
      <c r="C185" s="24" t="s">
        <v>557</v>
      </c>
      <c r="D185" s="24" t="s">
        <v>417</v>
      </c>
      <c r="E185" s="116"/>
      <c r="F185" s="117" t="s">
        <v>558</v>
      </c>
      <c r="G185" s="19" t="s">
        <v>88</v>
      </c>
      <c r="H185" s="19" t="s">
        <v>89</v>
      </c>
      <c r="I185" s="19" t="s">
        <v>90</v>
      </c>
      <c r="J185" s="19" t="s">
        <v>91</v>
      </c>
      <c r="K185" s="19" t="s">
        <v>351</v>
      </c>
      <c r="L185" s="19" t="s">
        <v>352</v>
      </c>
      <c r="M185" s="19" t="s">
        <v>353</v>
      </c>
      <c r="N185" s="19" t="s">
        <v>95</v>
      </c>
      <c r="O185" s="19" t="s">
        <v>95</v>
      </c>
      <c r="P185" s="19" t="s">
        <v>95</v>
      </c>
      <c r="Q185" s="19" t="s">
        <v>95</v>
      </c>
      <c r="R185" s="19" t="s">
        <v>96</v>
      </c>
      <c r="S185" s="24" t="s">
        <v>559</v>
      </c>
      <c r="T185" s="24" t="s">
        <v>560</v>
      </c>
    </row>
    <row r="186" spans="1:20" ht="19.5" customHeight="1" x14ac:dyDescent="0.25">
      <c r="A186" s="27" t="s">
        <v>61</v>
      </c>
      <c r="B186" s="27" t="s">
        <v>561</v>
      </c>
      <c r="C186" s="27" t="s">
        <v>557</v>
      </c>
      <c r="D186" s="27" t="s">
        <v>562</v>
      </c>
      <c r="E186" s="118"/>
      <c r="F186" s="119" t="s">
        <v>563</v>
      </c>
      <c r="G186" s="30" t="s">
        <v>88</v>
      </c>
      <c r="H186" s="30" t="s">
        <v>89</v>
      </c>
      <c r="I186" s="30" t="s">
        <v>90</v>
      </c>
      <c r="J186" s="30" t="s">
        <v>91</v>
      </c>
      <c r="K186" s="30" t="s">
        <v>564</v>
      </c>
      <c r="L186" s="30" t="s">
        <v>298</v>
      </c>
      <c r="M186" s="30" t="s">
        <v>299</v>
      </c>
      <c r="N186" s="30" t="s">
        <v>95</v>
      </c>
      <c r="O186" s="30" t="s">
        <v>95</v>
      </c>
      <c r="P186" s="30" t="s">
        <v>95</v>
      </c>
      <c r="Q186" s="30" t="s">
        <v>95</v>
      </c>
      <c r="R186" s="30" t="s">
        <v>164</v>
      </c>
      <c r="S186" s="27" t="s">
        <v>565</v>
      </c>
      <c r="T186" s="27" t="s">
        <v>566</v>
      </c>
    </row>
    <row r="187" spans="1:20" ht="19.5" customHeight="1" x14ac:dyDescent="0.25">
      <c r="A187" s="24" t="s">
        <v>61</v>
      </c>
      <c r="B187" s="24" t="s">
        <v>567</v>
      </c>
      <c r="C187" s="24" t="s">
        <v>557</v>
      </c>
      <c r="D187" s="24" t="s">
        <v>310</v>
      </c>
      <c r="E187" s="83"/>
      <c r="F187" s="84" t="s">
        <v>311</v>
      </c>
      <c r="G187" s="19" t="s">
        <v>88</v>
      </c>
      <c r="H187" s="19" t="s">
        <v>89</v>
      </c>
      <c r="I187" s="19" t="s">
        <v>90</v>
      </c>
      <c r="J187" s="19" t="s">
        <v>91</v>
      </c>
      <c r="K187" s="19" t="s">
        <v>351</v>
      </c>
      <c r="L187" s="19" t="s">
        <v>352</v>
      </c>
      <c r="M187" s="19" t="s">
        <v>353</v>
      </c>
      <c r="N187" s="19" t="s">
        <v>95</v>
      </c>
      <c r="O187" s="19" t="s">
        <v>95</v>
      </c>
      <c r="P187" s="19" t="s">
        <v>95</v>
      </c>
      <c r="Q187" s="19" t="s">
        <v>95</v>
      </c>
      <c r="R187" s="19" t="s">
        <v>164</v>
      </c>
      <c r="S187" s="24" t="s">
        <v>401</v>
      </c>
      <c r="T187" s="24" t="s">
        <v>294</v>
      </c>
    </row>
    <row r="188" spans="1:20" ht="19.5" customHeight="1" x14ac:dyDescent="0.25">
      <c r="A188" s="27" t="s">
        <v>61</v>
      </c>
      <c r="B188" s="27" t="s">
        <v>568</v>
      </c>
      <c r="C188" s="27" t="s">
        <v>557</v>
      </c>
      <c r="D188" s="27" t="s">
        <v>139</v>
      </c>
      <c r="E188" s="36"/>
      <c r="F188" s="37" t="s">
        <v>140</v>
      </c>
      <c r="G188" s="30" t="s">
        <v>88</v>
      </c>
      <c r="H188" s="30" t="s">
        <v>89</v>
      </c>
      <c r="I188" s="30" t="s">
        <v>90</v>
      </c>
      <c r="J188" s="30" t="s">
        <v>91</v>
      </c>
      <c r="K188" s="30" t="s">
        <v>351</v>
      </c>
      <c r="L188" s="30" t="s">
        <v>352</v>
      </c>
      <c r="M188" s="30" t="s">
        <v>353</v>
      </c>
      <c r="N188" s="30" t="s">
        <v>95</v>
      </c>
      <c r="O188" s="30" t="s">
        <v>95</v>
      </c>
      <c r="P188" s="30" t="s">
        <v>95</v>
      </c>
      <c r="Q188" s="30" t="s">
        <v>95</v>
      </c>
      <c r="R188" s="30" t="s">
        <v>164</v>
      </c>
      <c r="S188" s="27" t="s">
        <v>401</v>
      </c>
      <c r="T188" s="27" t="s">
        <v>294</v>
      </c>
    </row>
    <row r="189" spans="1:20" ht="19.5" customHeight="1" x14ac:dyDescent="0.25">
      <c r="A189" s="24" t="s">
        <v>61</v>
      </c>
      <c r="B189" s="24" t="s">
        <v>569</v>
      </c>
      <c r="C189" s="24" t="s">
        <v>557</v>
      </c>
      <c r="D189" s="24" t="s">
        <v>570</v>
      </c>
      <c r="E189" s="38"/>
      <c r="F189" s="39" t="s">
        <v>144</v>
      </c>
      <c r="G189" s="19" t="s">
        <v>88</v>
      </c>
      <c r="H189" s="19" t="s">
        <v>89</v>
      </c>
      <c r="I189" s="19" t="s">
        <v>90</v>
      </c>
      <c r="J189" s="19" t="s">
        <v>91</v>
      </c>
      <c r="K189" s="19" t="s">
        <v>351</v>
      </c>
      <c r="L189" s="19" t="s">
        <v>352</v>
      </c>
      <c r="M189" s="19" t="s">
        <v>353</v>
      </c>
      <c r="N189" s="19" t="s">
        <v>95</v>
      </c>
      <c r="O189" s="19" t="s">
        <v>95</v>
      </c>
      <c r="P189" s="19" t="s">
        <v>95</v>
      </c>
      <c r="Q189" s="19" t="s">
        <v>95</v>
      </c>
      <c r="R189" s="19" t="s">
        <v>164</v>
      </c>
      <c r="S189" s="24" t="s">
        <v>401</v>
      </c>
      <c r="T189" s="24" t="s">
        <v>571</v>
      </c>
    </row>
    <row r="190" spans="1:20" ht="19.5" customHeight="1" x14ac:dyDescent="0.25">
      <c r="A190" s="27" t="s">
        <v>61</v>
      </c>
      <c r="B190" s="27" t="s">
        <v>572</v>
      </c>
      <c r="C190" s="27" t="s">
        <v>557</v>
      </c>
      <c r="D190" s="27" t="s">
        <v>106</v>
      </c>
      <c r="E190" s="33"/>
      <c r="F190" s="34" t="s">
        <v>107</v>
      </c>
      <c r="G190" s="30" t="s">
        <v>88</v>
      </c>
      <c r="H190" s="30" t="s">
        <v>89</v>
      </c>
      <c r="I190" s="30" t="s">
        <v>90</v>
      </c>
      <c r="J190" s="30" t="s">
        <v>91</v>
      </c>
      <c r="K190" s="30" t="s">
        <v>351</v>
      </c>
      <c r="L190" s="30" t="s">
        <v>352</v>
      </c>
      <c r="M190" s="30" t="s">
        <v>353</v>
      </c>
      <c r="N190" s="30" t="s">
        <v>95</v>
      </c>
      <c r="O190" s="30" t="s">
        <v>95</v>
      </c>
      <c r="P190" s="30" t="s">
        <v>95</v>
      </c>
      <c r="Q190" s="30" t="s">
        <v>95</v>
      </c>
      <c r="R190" s="30" t="s">
        <v>164</v>
      </c>
      <c r="S190" s="27" t="s">
        <v>401</v>
      </c>
      <c r="T190" s="27" t="s">
        <v>294</v>
      </c>
    </row>
    <row r="191" spans="1:20" ht="19.5" customHeight="1" x14ac:dyDescent="0.25">
      <c r="A191" s="24" t="s">
        <v>61</v>
      </c>
      <c r="B191" s="24" t="s">
        <v>573</v>
      </c>
      <c r="C191" s="24" t="s">
        <v>557</v>
      </c>
      <c r="D191" s="24" t="s">
        <v>574</v>
      </c>
      <c r="E191" s="38"/>
      <c r="F191" s="39" t="s">
        <v>144</v>
      </c>
      <c r="G191" s="19" t="s">
        <v>88</v>
      </c>
      <c r="H191" s="19" t="s">
        <v>89</v>
      </c>
      <c r="I191" s="19" t="s">
        <v>90</v>
      </c>
      <c r="J191" s="19" t="s">
        <v>91</v>
      </c>
      <c r="K191" s="19" t="s">
        <v>351</v>
      </c>
      <c r="L191" s="19" t="s">
        <v>352</v>
      </c>
      <c r="M191" s="19" t="s">
        <v>353</v>
      </c>
      <c r="N191" s="19" t="s">
        <v>95</v>
      </c>
      <c r="O191" s="19" t="s">
        <v>95</v>
      </c>
      <c r="P191" s="19" t="s">
        <v>95</v>
      </c>
      <c r="Q191" s="19" t="s">
        <v>95</v>
      </c>
      <c r="R191" s="19" t="s">
        <v>164</v>
      </c>
      <c r="S191" s="24" t="s">
        <v>575</v>
      </c>
      <c r="T191" s="24" t="s">
        <v>576</v>
      </c>
    </row>
    <row r="192" spans="1:20" ht="19.5" customHeight="1" x14ac:dyDescent="0.25">
      <c r="A192" s="27" t="s">
        <v>61</v>
      </c>
      <c r="B192" s="27" t="s">
        <v>577</v>
      </c>
      <c r="C192" s="27" t="s">
        <v>557</v>
      </c>
      <c r="D192" s="27" t="s">
        <v>339</v>
      </c>
      <c r="E192" s="97"/>
      <c r="F192" s="98" t="s">
        <v>340</v>
      </c>
      <c r="G192" s="30" t="s">
        <v>88</v>
      </c>
      <c r="H192" s="30" t="s">
        <v>89</v>
      </c>
      <c r="I192" s="30" t="s">
        <v>90</v>
      </c>
      <c r="J192" s="30" t="s">
        <v>91</v>
      </c>
      <c r="K192" s="30" t="s">
        <v>351</v>
      </c>
      <c r="L192" s="30" t="s">
        <v>352</v>
      </c>
      <c r="M192" s="30" t="s">
        <v>353</v>
      </c>
      <c r="N192" s="30" t="s">
        <v>95</v>
      </c>
      <c r="O192" s="30" t="s">
        <v>95</v>
      </c>
      <c r="P192" s="30" t="s">
        <v>95</v>
      </c>
      <c r="Q192" s="30" t="s">
        <v>95</v>
      </c>
      <c r="R192" s="30" t="s">
        <v>164</v>
      </c>
      <c r="S192" s="27" t="s">
        <v>401</v>
      </c>
      <c r="T192" s="27" t="s">
        <v>294</v>
      </c>
    </row>
    <row r="193" spans="1:20" ht="19.5" customHeight="1" x14ac:dyDescent="0.25">
      <c r="A193" s="24" t="s">
        <v>62</v>
      </c>
      <c r="B193" s="24" t="s">
        <v>578</v>
      </c>
      <c r="C193" s="24" t="s">
        <v>579</v>
      </c>
      <c r="D193" s="24" t="s">
        <v>86</v>
      </c>
      <c r="E193" s="25"/>
      <c r="F193" s="26" t="s">
        <v>87</v>
      </c>
      <c r="G193" s="19" t="s">
        <v>88</v>
      </c>
      <c r="H193" s="19" t="s">
        <v>89</v>
      </c>
      <c r="I193" s="19" t="s">
        <v>90</v>
      </c>
      <c r="J193" s="19" t="s">
        <v>91</v>
      </c>
      <c r="K193" s="19" t="s">
        <v>532</v>
      </c>
      <c r="L193" s="19" t="s">
        <v>298</v>
      </c>
      <c r="M193" s="19" t="s">
        <v>94</v>
      </c>
      <c r="N193" s="19" t="s">
        <v>95</v>
      </c>
      <c r="O193" s="19" t="s">
        <v>95</v>
      </c>
      <c r="P193" s="19" t="s">
        <v>95</v>
      </c>
      <c r="Q193" s="19" t="s">
        <v>95</v>
      </c>
      <c r="R193" s="19" t="s">
        <v>96</v>
      </c>
      <c r="S193" s="24" t="s">
        <v>580</v>
      </c>
      <c r="T193" s="24" t="s">
        <v>98</v>
      </c>
    </row>
    <row r="194" spans="1:20" ht="19.5" customHeight="1" x14ac:dyDescent="0.25">
      <c r="A194" s="27" t="s">
        <v>62</v>
      </c>
      <c r="B194" s="27" t="s">
        <v>581</v>
      </c>
      <c r="C194" s="27" t="s">
        <v>582</v>
      </c>
      <c r="D194" s="27" t="s">
        <v>86</v>
      </c>
      <c r="E194" s="25"/>
      <c r="F194" s="26" t="s">
        <v>87</v>
      </c>
      <c r="G194" s="30" t="s">
        <v>88</v>
      </c>
      <c r="H194" s="30" t="s">
        <v>89</v>
      </c>
      <c r="I194" s="30" t="s">
        <v>90</v>
      </c>
      <c r="J194" s="30" t="s">
        <v>91</v>
      </c>
      <c r="K194" s="30" t="s">
        <v>532</v>
      </c>
      <c r="L194" s="30" t="s">
        <v>298</v>
      </c>
      <c r="M194" s="30" t="s">
        <v>94</v>
      </c>
      <c r="N194" s="30" t="s">
        <v>95</v>
      </c>
      <c r="O194" s="30" t="s">
        <v>95</v>
      </c>
      <c r="P194" s="30" t="s">
        <v>95</v>
      </c>
      <c r="Q194" s="30" t="s">
        <v>95</v>
      </c>
      <c r="R194" s="30" t="s">
        <v>164</v>
      </c>
      <c r="S194" s="27" t="s">
        <v>583</v>
      </c>
      <c r="T194" s="27" t="s">
        <v>584</v>
      </c>
    </row>
    <row r="195" spans="1:20" ht="19.5" customHeight="1" x14ac:dyDescent="0.25">
      <c r="A195" s="24" t="s">
        <v>62</v>
      </c>
      <c r="B195" s="24" t="s">
        <v>585</v>
      </c>
      <c r="C195" s="24" t="s">
        <v>579</v>
      </c>
      <c r="D195" s="24" t="s">
        <v>100</v>
      </c>
      <c r="E195" s="28"/>
      <c r="F195" s="29" t="s">
        <v>101</v>
      </c>
      <c r="G195" s="19" t="s">
        <v>88</v>
      </c>
      <c r="H195" s="19" t="s">
        <v>89</v>
      </c>
      <c r="I195" s="19" t="s">
        <v>90</v>
      </c>
      <c r="J195" s="19" t="s">
        <v>91</v>
      </c>
      <c r="K195" s="19" t="s">
        <v>532</v>
      </c>
      <c r="L195" s="19" t="s">
        <v>298</v>
      </c>
      <c r="M195" s="19" t="s">
        <v>94</v>
      </c>
      <c r="N195" s="19" t="s">
        <v>95</v>
      </c>
      <c r="O195" s="19" t="s">
        <v>95</v>
      </c>
      <c r="P195" s="19" t="s">
        <v>95</v>
      </c>
      <c r="Q195" s="19" t="s">
        <v>95</v>
      </c>
      <c r="R195" s="19" t="s">
        <v>96</v>
      </c>
      <c r="S195" s="24" t="s">
        <v>580</v>
      </c>
      <c r="T195" s="24" t="s">
        <v>98</v>
      </c>
    </row>
    <row r="196" spans="1:20" ht="19.5" customHeight="1" x14ac:dyDescent="0.25">
      <c r="A196" s="27" t="s">
        <v>62</v>
      </c>
      <c r="B196" s="27" t="s">
        <v>586</v>
      </c>
      <c r="C196" s="27" t="s">
        <v>582</v>
      </c>
      <c r="D196" s="27" t="s">
        <v>100</v>
      </c>
      <c r="E196" s="28"/>
      <c r="F196" s="29" t="s">
        <v>101</v>
      </c>
      <c r="G196" s="30" t="s">
        <v>88</v>
      </c>
      <c r="H196" s="30" t="s">
        <v>89</v>
      </c>
      <c r="I196" s="30" t="s">
        <v>90</v>
      </c>
      <c r="J196" s="30" t="s">
        <v>91</v>
      </c>
      <c r="K196" s="30" t="s">
        <v>532</v>
      </c>
      <c r="L196" s="30" t="s">
        <v>298</v>
      </c>
      <c r="M196" s="30" t="s">
        <v>94</v>
      </c>
      <c r="N196" s="30" t="s">
        <v>95</v>
      </c>
      <c r="O196" s="30" t="s">
        <v>95</v>
      </c>
      <c r="P196" s="30" t="s">
        <v>95</v>
      </c>
      <c r="Q196" s="30" t="s">
        <v>95</v>
      </c>
      <c r="R196" s="30" t="s">
        <v>164</v>
      </c>
      <c r="S196" s="27" t="s">
        <v>583</v>
      </c>
      <c r="T196" s="27" t="s">
        <v>584</v>
      </c>
    </row>
    <row r="197" spans="1:20" ht="19.5" customHeight="1" x14ac:dyDescent="0.25">
      <c r="A197" s="24" t="s">
        <v>62</v>
      </c>
      <c r="B197" s="24" t="s">
        <v>587</v>
      </c>
      <c r="C197" s="24" t="s">
        <v>579</v>
      </c>
      <c r="D197" s="24" t="s">
        <v>139</v>
      </c>
      <c r="E197" s="36"/>
      <c r="F197" s="37" t="s">
        <v>140</v>
      </c>
      <c r="G197" s="19" t="s">
        <v>88</v>
      </c>
      <c r="H197" s="19" t="s">
        <v>89</v>
      </c>
      <c r="I197" s="19" t="s">
        <v>90</v>
      </c>
      <c r="J197" s="19" t="s">
        <v>91</v>
      </c>
      <c r="K197" s="19" t="s">
        <v>532</v>
      </c>
      <c r="L197" s="19" t="s">
        <v>298</v>
      </c>
      <c r="M197" s="19" t="s">
        <v>94</v>
      </c>
      <c r="N197" s="19" t="s">
        <v>95</v>
      </c>
      <c r="O197" s="19" t="s">
        <v>95</v>
      </c>
      <c r="P197" s="19" t="s">
        <v>95</v>
      </c>
      <c r="Q197" s="19" t="s">
        <v>95</v>
      </c>
      <c r="R197" s="19" t="s">
        <v>96</v>
      </c>
      <c r="S197" s="24" t="s">
        <v>580</v>
      </c>
      <c r="T197" s="24" t="s">
        <v>98</v>
      </c>
    </row>
    <row r="198" spans="1:20" ht="19.5" customHeight="1" x14ac:dyDescent="0.25">
      <c r="A198" s="27" t="s">
        <v>62</v>
      </c>
      <c r="B198" s="27" t="s">
        <v>588</v>
      </c>
      <c r="C198" s="27" t="s">
        <v>582</v>
      </c>
      <c r="D198" s="27" t="s">
        <v>139</v>
      </c>
      <c r="E198" s="36"/>
      <c r="F198" s="37" t="s">
        <v>140</v>
      </c>
      <c r="G198" s="30" t="s">
        <v>88</v>
      </c>
      <c r="H198" s="30" t="s">
        <v>89</v>
      </c>
      <c r="I198" s="30" t="s">
        <v>90</v>
      </c>
      <c r="J198" s="30" t="s">
        <v>91</v>
      </c>
      <c r="K198" s="30" t="s">
        <v>532</v>
      </c>
      <c r="L198" s="30" t="s">
        <v>298</v>
      </c>
      <c r="M198" s="30" t="s">
        <v>94</v>
      </c>
      <c r="N198" s="30" t="s">
        <v>95</v>
      </c>
      <c r="O198" s="30" t="s">
        <v>95</v>
      </c>
      <c r="P198" s="30" t="s">
        <v>95</v>
      </c>
      <c r="Q198" s="30" t="s">
        <v>95</v>
      </c>
      <c r="R198" s="30" t="s">
        <v>164</v>
      </c>
      <c r="S198" s="27" t="s">
        <v>583</v>
      </c>
      <c r="T198" s="27" t="s">
        <v>584</v>
      </c>
    </row>
    <row r="199" spans="1:20" ht="19.5" customHeight="1" x14ac:dyDescent="0.25">
      <c r="A199" s="24" t="s">
        <v>62</v>
      </c>
      <c r="B199" s="24" t="s">
        <v>589</v>
      </c>
      <c r="C199" s="24" t="s">
        <v>579</v>
      </c>
      <c r="D199" s="24" t="s">
        <v>103</v>
      </c>
      <c r="E199" s="31"/>
      <c r="F199" s="32" t="s">
        <v>104</v>
      </c>
      <c r="G199" s="19" t="s">
        <v>88</v>
      </c>
      <c r="H199" s="19" t="s">
        <v>89</v>
      </c>
      <c r="I199" s="19" t="s">
        <v>90</v>
      </c>
      <c r="J199" s="19" t="s">
        <v>91</v>
      </c>
      <c r="K199" s="19" t="s">
        <v>532</v>
      </c>
      <c r="L199" s="19" t="s">
        <v>298</v>
      </c>
      <c r="M199" s="19" t="s">
        <v>94</v>
      </c>
      <c r="N199" s="19" t="s">
        <v>95</v>
      </c>
      <c r="O199" s="19" t="s">
        <v>95</v>
      </c>
      <c r="P199" s="19" t="s">
        <v>95</v>
      </c>
      <c r="Q199" s="19" t="s">
        <v>95</v>
      </c>
      <c r="R199" s="19" t="s">
        <v>96</v>
      </c>
      <c r="S199" s="24" t="s">
        <v>580</v>
      </c>
      <c r="T199" s="24" t="s">
        <v>98</v>
      </c>
    </row>
    <row r="200" spans="1:20" ht="19.5" customHeight="1" x14ac:dyDescent="0.25">
      <c r="A200" s="27" t="s">
        <v>62</v>
      </c>
      <c r="B200" s="27" t="s">
        <v>590</v>
      </c>
      <c r="C200" s="27" t="s">
        <v>579</v>
      </c>
      <c r="D200" s="27" t="s">
        <v>243</v>
      </c>
      <c r="E200" s="38"/>
      <c r="F200" s="39" t="s">
        <v>144</v>
      </c>
      <c r="G200" s="30" t="s">
        <v>88</v>
      </c>
      <c r="H200" s="30" t="s">
        <v>89</v>
      </c>
      <c r="I200" s="30" t="s">
        <v>90</v>
      </c>
      <c r="J200" s="30" t="s">
        <v>91</v>
      </c>
      <c r="K200" s="30" t="s">
        <v>532</v>
      </c>
      <c r="L200" s="30" t="s">
        <v>298</v>
      </c>
      <c r="M200" s="30" t="s">
        <v>94</v>
      </c>
      <c r="N200" s="30" t="s">
        <v>95</v>
      </c>
      <c r="O200" s="30" t="s">
        <v>95</v>
      </c>
      <c r="P200" s="30" t="s">
        <v>95</v>
      </c>
      <c r="Q200" s="30" t="s">
        <v>95</v>
      </c>
      <c r="R200" s="30" t="s">
        <v>96</v>
      </c>
      <c r="S200" s="27" t="s">
        <v>580</v>
      </c>
      <c r="T200" s="27" t="s">
        <v>314</v>
      </c>
    </row>
    <row r="201" spans="1:20" ht="19.5" customHeight="1" x14ac:dyDescent="0.25">
      <c r="A201" s="24" t="s">
        <v>62</v>
      </c>
      <c r="B201" s="24" t="s">
        <v>591</v>
      </c>
      <c r="C201" s="24" t="s">
        <v>582</v>
      </c>
      <c r="D201" s="24" t="s">
        <v>243</v>
      </c>
      <c r="E201" s="38"/>
      <c r="F201" s="39" t="s">
        <v>144</v>
      </c>
      <c r="G201" s="19" t="s">
        <v>88</v>
      </c>
      <c r="H201" s="19" t="s">
        <v>89</v>
      </c>
      <c r="I201" s="19" t="s">
        <v>90</v>
      </c>
      <c r="J201" s="19" t="s">
        <v>91</v>
      </c>
      <c r="K201" s="19" t="s">
        <v>532</v>
      </c>
      <c r="L201" s="19" t="s">
        <v>298</v>
      </c>
      <c r="M201" s="19" t="s">
        <v>94</v>
      </c>
      <c r="N201" s="19" t="s">
        <v>95</v>
      </c>
      <c r="O201" s="19" t="s">
        <v>95</v>
      </c>
      <c r="P201" s="19" t="s">
        <v>95</v>
      </c>
      <c r="Q201" s="19" t="s">
        <v>95</v>
      </c>
      <c r="R201" s="19" t="s">
        <v>164</v>
      </c>
      <c r="S201" s="24" t="s">
        <v>583</v>
      </c>
      <c r="T201" s="24" t="s">
        <v>592</v>
      </c>
    </row>
    <row r="202" spans="1:20" ht="19.5" customHeight="1" x14ac:dyDescent="0.25">
      <c r="A202" s="27" t="s">
        <v>62</v>
      </c>
      <c r="B202" s="27" t="s">
        <v>593</v>
      </c>
      <c r="C202" s="27" t="s">
        <v>579</v>
      </c>
      <c r="D202" s="27" t="s">
        <v>106</v>
      </c>
      <c r="E202" s="33"/>
      <c r="F202" s="34" t="s">
        <v>107</v>
      </c>
      <c r="G202" s="30" t="s">
        <v>88</v>
      </c>
      <c r="H202" s="30" t="s">
        <v>89</v>
      </c>
      <c r="I202" s="30" t="s">
        <v>90</v>
      </c>
      <c r="J202" s="30" t="s">
        <v>91</v>
      </c>
      <c r="K202" s="30" t="s">
        <v>532</v>
      </c>
      <c r="L202" s="30" t="s">
        <v>298</v>
      </c>
      <c r="M202" s="30" t="s">
        <v>94</v>
      </c>
      <c r="N202" s="30" t="s">
        <v>95</v>
      </c>
      <c r="O202" s="30" t="s">
        <v>95</v>
      </c>
      <c r="P202" s="30" t="s">
        <v>95</v>
      </c>
      <c r="Q202" s="30" t="s">
        <v>95</v>
      </c>
      <c r="R202" s="30" t="s">
        <v>96</v>
      </c>
      <c r="S202" s="27" t="s">
        <v>580</v>
      </c>
      <c r="T202" s="27" t="s">
        <v>98</v>
      </c>
    </row>
    <row r="203" spans="1:20" ht="19.5" customHeight="1" x14ac:dyDescent="0.25">
      <c r="A203" s="24" t="s">
        <v>62</v>
      </c>
      <c r="B203" s="24" t="s">
        <v>594</v>
      </c>
      <c r="C203" s="24" t="s">
        <v>582</v>
      </c>
      <c r="D203" s="24" t="s">
        <v>106</v>
      </c>
      <c r="E203" s="33"/>
      <c r="F203" s="34" t="s">
        <v>107</v>
      </c>
      <c r="G203" s="19" t="s">
        <v>88</v>
      </c>
      <c r="H203" s="19" t="s">
        <v>89</v>
      </c>
      <c r="I203" s="19" t="s">
        <v>90</v>
      </c>
      <c r="J203" s="19" t="s">
        <v>91</v>
      </c>
      <c r="K203" s="19" t="s">
        <v>532</v>
      </c>
      <c r="L203" s="19" t="s">
        <v>298</v>
      </c>
      <c r="M203" s="19" t="s">
        <v>94</v>
      </c>
      <c r="N203" s="19" t="s">
        <v>95</v>
      </c>
      <c r="O203" s="19" t="s">
        <v>95</v>
      </c>
      <c r="P203" s="19" t="s">
        <v>95</v>
      </c>
      <c r="Q203" s="19" t="s">
        <v>95</v>
      </c>
      <c r="R203" s="19" t="s">
        <v>164</v>
      </c>
      <c r="S203" s="24" t="s">
        <v>583</v>
      </c>
      <c r="T203" s="24" t="s">
        <v>584</v>
      </c>
    </row>
    <row r="204" spans="1:20" ht="19.5" customHeight="1" x14ac:dyDescent="0.25">
      <c r="A204" s="27" t="s">
        <v>62</v>
      </c>
      <c r="B204" s="27" t="s">
        <v>595</v>
      </c>
      <c r="C204" s="27" t="s">
        <v>579</v>
      </c>
      <c r="D204" s="27" t="s">
        <v>495</v>
      </c>
      <c r="E204" s="38"/>
      <c r="F204" s="39" t="s">
        <v>144</v>
      </c>
      <c r="G204" s="30" t="s">
        <v>88</v>
      </c>
      <c r="H204" s="30" t="s">
        <v>89</v>
      </c>
      <c r="I204" s="30" t="s">
        <v>90</v>
      </c>
      <c r="J204" s="30" t="s">
        <v>91</v>
      </c>
      <c r="K204" s="30" t="s">
        <v>532</v>
      </c>
      <c r="L204" s="30" t="s">
        <v>298</v>
      </c>
      <c r="M204" s="30" t="s">
        <v>94</v>
      </c>
      <c r="N204" s="30" t="s">
        <v>95</v>
      </c>
      <c r="O204" s="30" t="s">
        <v>95</v>
      </c>
      <c r="P204" s="30" t="s">
        <v>95</v>
      </c>
      <c r="Q204" s="30" t="s">
        <v>95</v>
      </c>
      <c r="R204" s="30" t="s">
        <v>96</v>
      </c>
      <c r="S204" s="27" t="s">
        <v>580</v>
      </c>
      <c r="T204" s="27" t="s">
        <v>314</v>
      </c>
    </row>
    <row r="205" spans="1:20" ht="19.5" customHeight="1" x14ac:dyDescent="0.25">
      <c r="A205" s="24" t="s">
        <v>62</v>
      </c>
      <c r="B205" s="24" t="s">
        <v>596</v>
      </c>
      <c r="C205" s="24" t="s">
        <v>579</v>
      </c>
      <c r="D205" s="24" t="s">
        <v>109</v>
      </c>
      <c r="E205" s="19"/>
      <c r="F205" s="35" t="s">
        <v>110</v>
      </c>
      <c r="G205" s="19" t="s">
        <v>88</v>
      </c>
      <c r="H205" s="19" t="s">
        <v>89</v>
      </c>
      <c r="I205" s="19" t="s">
        <v>90</v>
      </c>
      <c r="J205" s="19" t="s">
        <v>91</v>
      </c>
      <c r="K205" s="19" t="s">
        <v>532</v>
      </c>
      <c r="L205" s="19" t="s">
        <v>298</v>
      </c>
      <c r="M205" s="19" t="s">
        <v>94</v>
      </c>
      <c r="N205" s="19" t="s">
        <v>95</v>
      </c>
      <c r="O205" s="19" t="s">
        <v>95</v>
      </c>
      <c r="P205" s="19" t="s">
        <v>95</v>
      </c>
      <c r="Q205" s="19" t="s">
        <v>95</v>
      </c>
      <c r="R205" s="19" t="s">
        <v>96</v>
      </c>
      <c r="S205" s="24" t="s">
        <v>580</v>
      </c>
      <c r="T205" s="24" t="s">
        <v>98</v>
      </c>
    </row>
    <row r="206" spans="1:20" ht="19.5" customHeight="1" x14ac:dyDescent="0.25">
      <c r="A206" s="27" t="s">
        <v>62</v>
      </c>
      <c r="B206" s="27" t="s">
        <v>597</v>
      </c>
      <c r="C206" s="27" t="s">
        <v>582</v>
      </c>
      <c r="D206" s="27" t="s">
        <v>109</v>
      </c>
      <c r="E206" s="19"/>
      <c r="F206" s="35" t="s">
        <v>110</v>
      </c>
      <c r="G206" s="30" t="s">
        <v>88</v>
      </c>
      <c r="H206" s="30" t="s">
        <v>89</v>
      </c>
      <c r="I206" s="30" t="s">
        <v>90</v>
      </c>
      <c r="J206" s="30" t="s">
        <v>91</v>
      </c>
      <c r="K206" s="30" t="s">
        <v>532</v>
      </c>
      <c r="L206" s="30" t="s">
        <v>298</v>
      </c>
      <c r="M206" s="30" t="s">
        <v>94</v>
      </c>
      <c r="N206" s="30" t="s">
        <v>95</v>
      </c>
      <c r="O206" s="30" t="s">
        <v>95</v>
      </c>
      <c r="P206" s="30" t="s">
        <v>95</v>
      </c>
      <c r="Q206" s="30" t="s">
        <v>95</v>
      </c>
      <c r="R206" s="30" t="s">
        <v>164</v>
      </c>
      <c r="S206" s="27" t="s">
        <v>583</v>
      </c>
      <c r="T206" s="27" t="s">
        <v>584</v>
      </c>
    </row>
    <row r="207" spans="1:20" ht="19.5" customHeight="1" x14ac:dyDescent="0.25">
      <c r="A207" s="24" t="s">
        <v>63</v>
      </c>
      <c r="B207" s="24" t="s">
        <v>598</v>
      </c>
      <c r="C207" s="24" t="s">
        <v>599</v>
      </c>
      <c r="D207" s="24" t="s">
        <v>600</v>
      </c>
      <c r="E207" s="120"/>
      <c r="F207" s="121" t="s">
        <v>601</v>
      </c>
      <c r="G207" s="19" t="s">
        <v>88</v>
      </c>
      <c r="H207" s="19" t="s">
        <v>89</v>
      </c>
      <c r="I207" s="19" t="s">
        <v>90</v>
      </c>
      <c r="J207" s="19" t="s">
        <v>91</v>
      </c>
      <c r="K207" s="19" t="s">
        <v>532</v>
      </c>
      <c r="L207" s="19" t="s">
        <v>298</v>
      </c>
      <c r="M207" s="19" t="s">
        <v>94</v>
      </c>
      <c r="N207" s="19" t="s">
        <v>95</v>
      </c>
      <c r="O207" s="19" t="s">
        <v>95</v>
      </c>
      <c r="P207" s="19" t="s">
        <v>95</v>
      </c>
      <c r="Q207" s="19" t="s">
        <v>95</v>
      </c>
      <c r="R207" s="19" t="s">
        <v>96</v>
      </c>
      <c r="S207" s="24" t="s">
        <v>602</v>
      </c>
      <c r="T207" s="24" t="s">
        <v>603</v>
      </c>
    </row>
    <row r="208" spans="1:20" ht="19.5" customHeight="1" x14ac:dyDescent="0.25">
      <c r="A208" s="27" t="s">
        <v>63</v>
      </c>
      <c r="B208" s="27" t="s">
        <v>604</v>
      </c>
      <c r="C208" s="27" t="s">
        <v>599</v>
      </c>
      <c r="D208" s="27" t="s">
        <v>605</v>
      </c>
      <c r="E208" s="122"/>
      <c r="F208" s="123" t="s">
        <v>606</v>
      </c>
      <c r="G208" s="30" t="s">
        <v>88</v>
      </c>
      <c r="H208" s="30" t="s">
        <v>89</v>
      </c>
      <c r="I208" s="30" t="s">
        <v>90</v>
      </c>
      <c r="J208" s="30" t="s">
        <v>91</v>
      </c>
      <c r="K208" s="30" t="s">
        <v>532</v>
      </c>
      <c r="L208" s="30" t="s">
        <v>298</v>
      </c>
      <c r="M208" s="30" t="s">
        <v>94</v>
      </c>
      <c r="N208" s="30" t="s">
        <v>95</v>
      </c>
      <c r="O208" s="30" t="s">
        <v>95</v>
      </c>
      <c r="P208" s="30" t="s">
        <v>95</v>
      </c>
      <c r="Q208" s="30" t="s">
        <v>95</v>
      </c>
      <c r="R208" s="30" t="s">
        <v>96</v>
      </c>
      <c r="S208" s="27" t="s">
        <v>607</v>
      </c>
      <c r="T208" s="27" t="s">
        <v>608</v>
      </c>
    </row>
    <row r="209" spans="1:20" ht="19.5" customHeight="1" x14ac:dyDescent="0.25">
      <c r="A209" s="24" t="s">
        <v>63</v>
      </c>
      <c r="B209" s="24" t="s">
        <v>609</v>
      </c>
      <c r="C209" s="24" t="s">
        <v>599</v>
      </c>
      <c r="D209" s="24" t="s">
        <v>610</v>
      </c>
      <c r="E209" s="124"/>
      <c r="F209" s="45" t="s">
        <v>611</v>
      </c>
      <c r="G209" s="19" t="s">
        <v>88</v>
      </c>
      <c r="H209" s="19" t="s">
        <v>89</v>
      </c>
      <c r="I209" s="19" t="s">
        <v>90</v>
      </c>
      <c r="J209" s="19" t="s">
        <v>91</v>
      </c>
      <c r="K209" s="19" t="s">
        <v>532</v>
      </c>
      <c r="L209" s="19" t="s">
        <v>298</v>
      </c>
      <c r="M209" s="19" t="s">
        <v>94</v>
      </c>
      <c r="N209" s="19" t="s">
        <v>95</v>
      </c>
      <c r="O209" s="19" t="s">
        <v>95</v>
      </c>
      <c r="P209" s="19" t="s">
        <v>95</v>
      </c>
      <c r="Q209" s="19" t="s">
        <v>95</v>
      </c>
      <c r="R209" s="19" t="s">
        <v>96</v>
      </c>
      <c r="S209" s="24" t="s">
        <v>612</v>
      </c>
      <c r="T209" s="24" t="s">
        <v>613</v>
      </c>
    </row>
    <row r="210" spans="1:20" ht="19.5" customHeight="1" x14ac:dyDescent="0.25">
      <c r="A210" s="27" t="s">
        <v>63</v>
      </c>
      <c r="B210" s="27" t="s">
        <v>614</v>
      </c>
      <c r="C210" s="27" t="s">
        <v>599</v>
      </c>
      <c r="D210" s="27" t="s">
        <v>615</v>
      </c>
      <c r="E210" s="125"/>
      <c r="F210" s="110" t="s">
        <v>616</v>
      </c>
      <c r="G210" s="30" t="s">
        <v>88</v>
      </c>
      <c r="H210" s="30" t="s">
        <v>89</v>
      </c>
      <c r="I210" s="30" t="s">
        <v>90</v>
      </c>
      <c r="J210" s="30" t="s">
        <v>91</v>
      </c>
      <c r="K210" s="30" t="s">
        <v>532</v>
      </c>
      <c r="L210" s="30" t="s">
        <v>298</v>
      </c>
      <c r="M210" s="30" t="s">
        <v>94</v>
      </c>
      <c r="N210" s="30" t="s">
        <v>95</v>
      </c>
      <c r="O210" s="30" t="s">
        <v>95</v>
      </c>
      <c r="P210" s="30" t="s">
        <v>95</v>
      </c>
      <c r="Q210" s="30" t="s">
        <v>95</v>
      </c>
      <c r="R210" s="30" t="s">
        <v>96</v>
      </c>
      <c r="S210" s="27" t="s">
        <v>617</v>
      </c>
      <c r="T210" s="27" t="s">
        <v>618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311" xr:uid="{00000000-0002-0000-0100-000000000000}">
      <formula1>"S,A,B,C"</formula1>
      <formula2>0</formula2>
    </dataValidation>
    <dataValidation type="list" allowBlank="1" sqref="I3:I311" xr:uid="{00000000-0002-0000-0100-000001000000}">
      <formula1>"Cardboard,Plastic"</formula1>
      <formula2>0</formula2>
    </dataValidation>
    <dataValidation type="list" allowBlank="1" sqref="J3:J311" xr:uid="{00000000-0002-0000-0100-000002000000}">
      <formula1>"Yes,No"</formula1>
      <formula2>0</formula2>
    </dataValidation>
    <dataValidation type="list" allowBlank="1" sqref="G3:G311" xr:uid="{00000000-0002-0000-0100-000003000000}">
      <formula1>"1.75mm,2.85mm"</formula1>
      <formula2>0</formula2>
    </dataValidation>
    <dataValidation type="list" allowBlank="1" sqref="N3:Q311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9"/>
  <sheetViews>
    <sheetView zoomScaleNormal="100" workbookViewId="0">
      <pane ySplit="2" topLeftCell="A3" activePane="bottomLeft" state="frozen"/>
      <selection pane="bottomLeft" activeCell="A2" sqref="A2"/>
    </sheetView>
  </sheetViews>
  <sheetFormatPr defaultColWidth="8.7109375" defaultRowHeight="15" x14ac:dyDescent="0.25"/>
  <cols>
    <col min="1" max="1" width="13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38" bestFit="1" customWidth="1"/>
  </cols>
  <sheetData>
    <row r="1" spans="1:8" ht="30" customHeight="1" x14ac:dyDescent="0.25">
      <c r="A1" s="2" t="s">
        <v>619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620</v>
      </c>
      <c r="B2" s="23" t="s">
        <v>74</v>
      </c>
      <c r="C2" s="23" t="s">
        <v>75</v>
      </c>
      <c r="D2" s="23" t="s">
        <v>621</v>
      </c>
      <c r="E2" s="23" t="s">
        <v>622</v>
      </c>
      <c r="F2" s="23" t="s">
        <v>623</v>
      </c>
      <c r="G2" s="23" t="s">
        <v>76</v>
      </c>
      <c r="H2" s="23" t="s">
        <v>83</v>
      </c>
    </row>
    <row r="3" spans="1:8" ht="19.5" customHeight="1" x14ac:dyDescent="0.25">
      <c r="A3" s="24" t="s">
        <v>53</v>
      </c>
      <c r="B3" s="19" t="s">
        <v>624</v>
      </c>
      <c r="C3" s="19" t="s">
        <v>400</v>
      </c>
      <c r="D3" s="19" t="s">
        <v>91</v>
      </c>
      <c r="E3" s="19" t="s">
        <v>625</v>
      </c>
      <c r="F3" s="19" t="s">
        <v>626</v>
      </c>
      <c r="G3" s="19" t="s">
        <v>353</v>
      </c>
      <c r="H3" s="24" t="s">
        <v>627</v>
      </c>
    </row>
    <row r="4" spans="1:8" ht="19.5" customHeight="1" x14ac:dyDescent="0.25">
      <c r="A4" s="27" t="s">
        <v>35</v>
      </c>
      <c r="B4" s="30" t="s">
        <v>628</v>
      </c>
      <c r="C4" s="30" t="s">
        <v>629</v>
      </c>
      <c r="D4" s="30" t="s">
        <v>91</v>
      </c>
      <c r="E4" s="30" t="s">
        <v>625</v>
      </c>
      <c r="F4" s="30" t="s">
        <v>625</v>
      </c>
      <c r="G4" s="30" t="s">
        <v>630</v>
      </c>
      <c r="H4" s="27" t="s">
        <v>631</v>
      </c>
    </row>
    <row r="5" spans="1:8" ht="19.5" customHeight="1" x14ac:dyDescent="0.25">
      <c r="A5" s="24" t="s">
        <v>61</v>
      </c>
      <c r="B5" s="19" t="s">
        <v>624</v>
      </c>
      <c r="C5" s="19" t="s">
        <v>400</v>
      </c>
      <c r="D5" s="19" t="s">
        <v>91</v>
      </c>
      <c r="E5" s="19" t="s">
        <v>625</v>
      </c>
      <c r="F5" s="19" t="s">
        <v>626</v>
      </c>
      <c r="G5" s="19" t="s">
        <v>353</v>
      </c>
      <c r="H5" s="24" t="s">
        <v>632</v>
      </c>
    </row>
    <row r="6" spans="1:8" ht="19.5" customHeight="1" x14ac:dyDescent="0.25">
      <c r="A6" s="27" t="s">
        <v>24</v>
      </c>
      <c r="B6" s="30" t="s">
        <v>113</v>
      </c>
      <c r="C6" s="30" t="s">
        <v>633</v>
      </c>
      <c r="D6" s="30" t="s">
        <v>625</v>
      </c>
      <c r="E6" s="30" t="s">
        <v>625</v>
      </c>
      <c r="F6" s="30" t="s">
        <v>625</v>
      </c>
      <c r="G6" s="30" t="s">
        <v>292</v>
      </c>
      <c r="H6" s="27" t="s">
        <v>634</v>
      </c>
    </row>
    <row r="7" spans="1:8" ht="19.5" customHeight="1" x14ac:dyDescent="0.25">
      <c r="A7" s="24" t="s">
        <v>635</v>
      </c>
      <c r="B7" s="19" t="s">
        <v>532</v>
      </c>
      <c r="C7" s="19" t="s">
        <v>400</v>
      </c>
      <c r="D7" s="19" t="s">
        <v>91</v>
      </c>
      <c r="E7" s="19" t="s">
        <v>91</v>
      </c>
      <c r="F7" s="19" t="s">
        <v>625</v>
      </c>
      <c r="G7" s="19" t="s">
        <v>636</v>
      </c>
      <c r="H7" s="24" t="s">
        <v>637</v>
      </c>
    </row>
    <row r="8" spans="1:8" ht="19.5" customHeight="1" x14ac:dyDescent="0.25">
      <c r="A8" s="27" t="s">
        <v>39</v>
      </c>
      <c r="B8" s="30" t="s">
        <v>194</v>
      </c>
      <c r="C8" s="30" t="s">
        <v>291</v>
      </c>
      <c r="D8" s="30" t="s">
        <v>91</v>
      </c>
      <c r="E8" s="30" t="s">
        <v>625</v>
      </c>
      <c r="F8" s="30" t="s">
        <v>625</v>
      </c>
      <c r="G8" s="30" t="s">
        <v>292</v>
      </c>
      <c r="H8" s="27" t="s">
        <v>638</v>
      </c>
    </row>
    <row r="9" spans="1:8" ht="19.5" customHeight="1" x14ac:dyDescent="0.25">
      <c r="A9" s="24" t="s">
        <v>48</v>
      </c>
      <c r="B9" s="19" t="s">
        <v>624</v>
      </c>
      <c r="C9" s="19" t="s">
        <v>400</v>
      </c>
      <c r="D9" s="19" t="s">
        <v>91</v>
      </c>
      <c r="E9" s="19" t="s">
        <v>625</v>
      </c>
      <c r="F9" s="19" t="s">
        <v>626</v>
      </c>
      <c r="G9" s="19" t="s">
        <v>353</v>
      </c>
      <c r="H9" s="24" t="s">
        <v>639</v>
      </c>
    </row>
  </sheetData>
  <autoFilter ref="A2:H63" xr:uid="{00000000-0009-0000-0000-000002000000}"/>
  <mergeCells count="1">
    <mergeCell ref="A1:H1"/>
  </mergeCells>
  <conditionalFormatting sqref="D3:D20">
    <cfRule type="expression" dxfId="2" priority="2">
      <formula>$D3="Yes"</formula>
    </cfRule>
  </conditionalFormatting>
  <conditionalFormatting sqref="E3:E20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640</v>
      </c>
      <c r="B1" s="1"/>
      <c r="C1" s="1"/>
    </row>
    <row r="2" spans="1:3" ht="21.75" customHeight="1" x14ac:dyDescent="0.25">
      <c r="A2" s="20" t="s">
        <v>641</v>
      </c>
      <c r="B2" s="20" t="s">
        <v>642</v>
      </c>
      <c r="C2" s="20" t="s">
        <v>83</v>
      </c>
    </row>
    <row r="3" spans="1:3" ht="18" customHeight="1" x14ac:dyDescent="0.25">
      <c r="A3" s="126" t="s">
        <v>643</v>
      </c>
      <c r="B3" s="127" t="s">
        <v>644</v>
      </c>
      <c r="C3" s="128"/>
    </row>
    <row r="4" spans="1:3" ht="18" customHeight="1" x14ac:dyDescent="0.25">
      <c r="A4" s="126" t="s">
        <v>645</v>
      </c>
      <c r="B4" s="129" t="s">
        <v>646</v>
      </c>
      <c r="C4" s="128"/>
    </row>
    <row r="5" spans="1:3" ht="18" customHeight="1" x14ac:dyDescent="0.25">
      <c r="A5" s="126" t="s">
        <v>647</v>
      </c>
      <c r="B5" s="129" t="s">
        <v>648</v>
      </c>
      <c r="C5" s="128" t="s">
        <v>649</v>
      </c>
    </row>
    <row r="6" spans="1:3" ht="18" customHeight="1" x14ac:dyDescent="0.25">
      <c r="A6" s="126" t="s">
        <v>650</v>
      </c>
      <c r="B6" s="129" t="s">
        <v>651</v>
      </c>
      <c r="C6" s="128" t="s">
        <v>652</v>
      </c>
    </row>
    <row r="7" spans="1:3" ht="18" customHeight="1" x14ac:dyDescent="0.25">
      <c r="A7" s="126" t="s">
        <v>653</v>
      </c>
      <c r="B7" s="129" t="s">
        <v>654</v>
      </c>
      <c r="C7" s="128" t="s">
        <v>655</v>
      </c>
    </row>
    <row r="8" spans="1:3" ht="18" customHeight="1" x14ac:dyDescent="0.25">
      <c r="A8" s="126" t="s">
        <v>656</v>
      </c>
      <c r="B8" s="129" t="s">
        <v>657</v>
      </c>
      <c r="C8" s="128" t="s">
        <v>658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2026-09-17T05:58:42Z</dcterms:created>
  <dcterms:modified xsi:type="dcterms:W3CDTF">2026-09-17T06:09:24Z</dcterms:modified>
  <dc:language>en-US</dc:language>
</cp:coreProperties>
</file>