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esktop/Filament Master xlsx Files/"/>
    </mc:Choice>
  </mc:AlternateContent>
  <xr:revisionPtr revIDLastSave="48" documentId="13_ncr:1_{D4178001-825A-4472-8EAE-C4364B755FB5}" xr6:coauthVersionLast="47" xr6:coauthVersionMax="47" xr10:uidLastSave="{61DEDDC2-A954-4A72-9D95-F2AC5D2E781C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<sst xmlns="http://schemas.openxmlformats.org/spreadsheetml/2006/main" count="899" uniqueCount="186">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</sst>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6" t="s">
        <v>144</v>
      </c>
      <c r="B1" s="70"/>
      <c r="C1" s="70"/>
      <c r="D1" s="70"/>
      <c r="E1" s="70"/>
      <c r="F1" s="70"/>
    </row>
    <row r="3" spans="1:6" ht="18" customHeight="1" x14ac:dyDescent="0.25">
      <c r="A3" s="77" t="s">
        <v>145</v>
      </c>
      <c r="B3" s="70"/>
      <c r="C3" s="70"/>
      <c r="D3" s="70"/>
      <c r="E3" s="70"/>
      <c r="F3" s="70"/>
    </row>
    <row r="4" spans="1:6" ht="20.100000000000001" customHeight="1" x14ac:dyDescent="0.25">
      <c r="A4" s="1" t="s">
        <v>146</v>
      </c>
      <c r="B4" s="73">
        <f>SUM(Inventory!N3:N114)</f>
        <v>70</v>
      </c>
      <c r="C4" s="74"/>
    </row>
    <row r="5" spans="1:6" ht="20.100000000000001" customHeight="1" x14ac:dyDescent="0.25">
      <c r="A5" s="1" t="s">
        <v>147</v>
      </c>
      <c r="B5" s="75">
        <f>SUMPRODUCT(IF(Inventory!M3:M114="",0,Inventory!M3:M114)*IF(Inventory!N3:N114="",0,Inventory!N3:N114))</f>
        <v>0</v>
      </c>
      <c r="C5" s="74"/>
    </row>
    <row r="6" spans="1:6" ht="20.100000000000001" customHeight="1" x14ac:dyDescent="0.25">
      <c r="A6" s="1" t="s">
        <v>148</v>
      </c>
      <c r="B6" s="73">
        <f>COUNTIF(Inventory!O3:O114,"*REORDER*")</f>
        <v>71</v>
      </c>
      <c r="C6" s="74"/>
    </row>
    <row r="7" spans="1:6" ht="20.100000000000001" customHeight="1" x14ac:dyDescent="0.25">
      <c r="A7" s="1" t="s">
        <v>149</v>
      </c>
      <c r="B7" s="73">
        <f>Config!$B$3</f>
        <v>1</v>
      </c>
      <c r="C7" s="74"/>
    </row>
    <row r="9" spans="1:6" ht="18" customHeight="1" x14ac:dyDescent="0.25">
      <c r="A9" s="77" t="s">
        <v>150</v>
      </c>
      <c r="B9" s="70"/>
      <c r="C9" s="70"/>
      <c r="D9" s="70"/>
      <c r="E9" s="70"/>
      <c r="F9" s="70"/>
    </row>
    <row r="10" spans="1:6" ht="21.95" customHeight="1" x14ac:dyDescent="0.25">
      <c r="A10" s="3" t="s">
        <v>1</v>
      </c>
      <c r="B10" s="3" t="s">
        <v>151</v>
      </c>
      <c r="C10" s="3" t="s">
        <v>25</v>
      </c>
    </row>
    <row r="11" spans="1:6" ht="18" customHeight="1" x14ac:dyDescent="0.25">
      <c r="A11" s="4" t="s">
        <v>152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44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153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154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155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156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157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158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A44" sqref="A44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68" t="s">
        <v>0</v>
      </c>
      <c r="B1" s="69"/>
      <c r="C1" s="70"/>
      <c r="D1" s="70"/>
      <c r="E1" s="70"/>
      <c r="F1" s="70"/>
      <c r="G1" s="70"/>
      <c r="H1" s="70"/>
      <c r="I1" s="70"/>
      <c r="J1" s="71"/>
      <c r="K1" s="69"/>
      <c r="L1" s="69"/>
      <c r="M1" s="69"/>
      <c r="N1" s="69"/>
      <c r="O1" s="70"/>
      <c r="P1" s="70"/>
      <c r="Q1" s="70"/>
      <c r="R1" s="70"/>
      <c r="S1" s="70"/>
      <c r="T1" s="70"/>
      <c r="U1" s="69"/>
      <c r="V1" s="69"/>
      <c r="W1" s="70"/>
      <c r="X1" s="70"/>
      <c r="Y1" s="72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43</v>
      </c>
      <c r="Q8" s="7" t="s">
        <v>44</v>
      </c>
      <c r="R8" s="7" t="s">
        <v>35</v>
      </c>
      <c r="S8" s="4"/>
      <c r="T8" s="7" t="s">
        <v>45</v>
      </c>
      <c r="U8" s="5">
        <v>1000</v>
      </c>
      <c r="V8" s="5">
        <v>1000</v>
      </c>
      <c r="W8" s="9">
        <f t="shared" si="0"/>
        <v>1</v>
      </c>
      <c r="X8" s="4" t="s">
        <v>185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181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180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178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179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177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176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695</v>
      </c>
      <c r="W41" s="9">
        <f t="shared" si="2"/>
        <v>0.69499999999999995</v>
      </c>
      <c r="X41" s="4" t="s">
        <v>184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482</v>
      </c>
      <c r="W44" s="9">
        <f t="shared" si="2"/>
        <v>0.48199999999999998</v>
      </c>
      <c r="X44" s="46" t="s">
        <v>120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121</v>
      </c>
      <c r="C45" s="4" t="s">
        <v>78</v>
      </c>
      <c r="D45" s="4" t="s">
        <v>78</v>
      </c>
      <c r="E45" s="4" t="s">
        <v>122</v>
      </c>
      <c r="F45" s="30"/>
      <c r="G45" s="7" t="s">
        <v>123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124</v>
      </c>
      <c r="C46" s="4" t="s">
        <v>28</v>
      </c>
      <c r="D46" s="4" t="s">
        <v>29</v>
      </c>
      <c r="E46" s="4" t="s">
        <v>125</v>
      </c>
      <c r="F46" s="31"/>
      <c r="G46" s="7" t="s">
        <v>126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127</v>
      </c>
      <c r="C47" s="4" t="s">
        <v>78</v>
      </c>
      <c r="D47" s="4" t="s">
        <v>78</v>
      </c>
      <c r="E47" s="4" t="s">
        <v>75</v>
      </c>
      <c r="F47" s="32"/>
      <c r="G47" s="7" t="s">
        <v>128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129</v>
      </c>
      <c r="C61" s="4" t="s">
        <v>40</v>
      </c>
      <c r="D61" s="4" t="s">
        <v>40</v>
      </c>
      <c r="E61" s="4" t="s">
        <v>130</v>
      </c>
      <c r="F61" s="33"/>
      <c r="G61" s="7" t="s">
        <v>131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129</v>
      </c>
      <c r="C62" s="4" t="s">
        <v>40</v>
      </c>
      <c r="D62" s="4" t="s">
        <v>40</v>
      </c>
      <c r="E62" s="4" t="s">
        <v>130</v>
      </c>
      <c r="F62" s="33"/>
      <c r="G62" s="7" t="s">
        <v>131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183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132</v>
      </c>
      <c r="C63" s="4" t="s">
        <v>40</v>
      </c>
      <c r="D63" s="4" t="s">
        <v>40</v>
      </c>
      <c r="E63" s="4" t="s">
        <v>133</v>
      </c>
      <c r="F63" s="34"/>
      <c r="G63" s="7" t="s">
        <v>134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132</v>
      </c>
      <c r="C64" s="4" t="s">
        <v>40</v>
      </c>
      <c r="D64" s="4" t="s">
        <v>40</v>
      </c>
      <c r="E64" s="4" t="s">
        <v>133</v>
      </c>
      <c r="F64" s="34"/>
      <c r="G64" s="7" t="s">
        <v>134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135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129</v>
      </c>
      <c r="C66" s="47" t="s">
        <v>40</v>
      </c>
      <c r="D66" s="37" t="s">
        <v>40</v>
      </c>
      <c r="E66" s="47" t="s">
        <v>130</v>
      </c>
      <c r="F66" s="48"/>
      <c r="G66" s="52" t="s">
        <v>131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182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136</v>
      </c>
      <c r="C67" s="47" t="s">
        <v>28</v>
      </c>
      <c r="D67" s="37" t="s">
        <v>29</v>
      </c>
      <c r="E67" s="47" t="s">
        <v>137</v>
      </c>
      <c r="F67" s="57"/>
      <c r="G67" s="40" t="s">
        <v>82</v>
      </c>
      <c r="H67" s="43" t="s">
        <v>32</v>
      </c>
      <c r="I67" t="s">
        <v>138</v>
      </c>
      <c r="J67" s="39">
        <v>46251</v>
      </c>
      <c r="K67" s="40" t="s">
        <v>139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136</v>
      </c>
      <c r="C68" s="47" t="s">
        <v>28</v>
      </c>
      <c r="D68" s="37" t="s">
        <v>29</v>
      </c>
      <c r="E68" s="47" t="s">
        <v>137</v>
      </c>
      <c r="F68" s="57"/>
      <c r="G68" s="40" t="s">
        <v>82</v>
      </c>
      <c r="H68" s="43" t="s">
        <v>32</v>
      </c>
      <c r="I68" t="s">
        <v>138</v>
      </c>
      <c r="J68" s="39">
        <v>46251</v>
      </c>
      <c r="K68" s="40" t="s">
        <v>139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140</v>
      </c>
      <c r="C69" s="4" t="s">
        <v>109</v>
      </c>
      <c r="D69" s="4" t="s">
        <v>110</v>
      </c>
      <c r="E69" s="47" t="s">
        <v>60</v>
      </c>
      <c r="F69" s="58"/>
      <c r="G69" s="40" t="s">
        <v>141</v>
      </c>
      <c r="H69" s="43" t="s">
        <v>32</v>
      </c>
      <c r="I69" t="s">
        <v>142</v>
      </c>
      <c r="K69" s="40" t="s">
        <v>139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143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139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175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139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175</v>
      </c>
      <c r="Y71" s="54">
        <f t="shared" si="5"/>
        <v>22.99</v>
      </c>
    </row>
    <row r="72" spans="1:25" x14ac:dyDescent="0.25">
      <c r="A72" s="64" t="s">
        <v>38</v>
      </c>
      <c r="B72" s="63" t="s">
        <v>127</v>
      </c>
      <c r="C72" s="64" t="s">
        <v>78</v>
      </c>
      <c r="D72" s="37" t="s">
        <v>78</v>
      </c>
      <c r="E72" s="37" t="s">
        <v>75</v>
      </c>
      <c r="F72" s="66"/>
      <c r="G72" s="67" t="s">
        <v>128</v>
      </c>
      <c r="H72" s="42" t="s">
        <v>32</v>
      </c>
      <c r="J72" s="39">
        <v>46263</v>
      </c>
      <c r="K72" s="40" t="s">
        <v>139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175</v>
      </c>
      <c r="Y72" s="54">
        <f t="shared" si="5"/>
        <v>21.84</v>
      </c>
    </row>
    <row r="73" spans="1:25" x14ac:dyDescent="0.25">
      <c r="A73" s="37" t="s">
        <v>38</v>
      </c>
      <c r="B73" s="65" t="s">
        <v>127</v>
      </c>
      <c r="C73" s="37" t="s">
        <v>78</v>
      </c>
      <c r="D73" s="37" t="s">
        <v>78</v>
      </c>
      <c r="E73" s="37" t="s">
        <v>75</v>
      </c>
      <c r="F73" s="66"/>
      <c r="G73" s="40" t="s">
        <v>128</v>
      </c>
      <c r="H73" s="42" t="s">
        <v>32</v>
      </c>
      <c r="J73" s="39">
        <v>46263</v>
      </c>
      <c r="K73" s="40" t="s">
        <v>139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175</v>
      </c>
      <c r="Y73" s="54">
        <f t="shared" si="5"/>
        <v>21.84</v>
      </c>
    </row>
    <row r="74" spans="1:25" x14ac:dyDescent="0.25">
      <c r="N74" s="41"/>
      <c r="O74" s="7" t="str">
        <f>IF(OR(N74="",Config!$B$3=""),"",IF(N74&lt;=Config!$B$3,"⚠ REORDER",""))</f>
        <v/>
      </c>
      <c r="U74" s="41"/>
      <c r="V74" s="41"/>
      <c r="W74" s="9" t="str">
        <f t="shared" si="4"/>
        <v/>
      </c>
      <c r="Y74" s="54">
        <f t="shared" si="5"/>
        <v>0</v>
      </c>
    </row>
    <row r="75" spans="1:25" x14ac:dyDescent="0.25">
      <c r="N75" s="41"/>
      <c r="O75" s="7" t="str">
        <f>IF(OR(N75="",Config!$B$3=""),"",IF(N75&lt;=Config!$B$3,"⚠ REORDER",""))</f>
        <v/>
      </c>
      <c r="U75" s="41"/>
      <c r="V75" s="41"/>
      <c r="W75" s="9" t="str">
        <f t="shared" si="4"/>
        <v/>
      </c>
      <c r="Y75" s="54">
        <f t="shared" si="5"/>
        <v>0</v>
      </c>
    </row>
    <row r="76" spans="1:25" x14ac:dyDescent="0.25">
      <c r="N76" s="41"/>
      <c r="O76" s="7" t="str">
        <f>IF(OR(N76="",Config!$B$3=""),"",IF(N76&lt;=Config!$B$3,"⚠ REORDER",""))</f>
        <v/>
      </c>
      <c r="U76" s="41"/>
      <c r="V76" s="41"/>
      <c r="W76" s="9" t="str">
        <f t="shared" si="4"/>
        <v/>
      </c>
      <c r="Y76" s="54">
        <f t="shared" si="5"/>
        <v>0</v>
      </c>
    </row>
    <row r="77" spans="1:25" x14ac:dyDescent="0.25">
      <c r="N77" s="41"/>
      <c r="O77" s="7" t="str">
        <f>IF(OR(N77="",Config!$B$3=""),"",IF(N77&lt;=Config!$B$3,"⚠ REORDER",""))</f>
        <v/>
      </c>
      <c r="U77" s="41"/>
      <c r="V77" s="41"/>
      <c r="W77" s="9" t="str">
        <f t="shared" si="4"/>
        <v/>
      </c>
      <c r="Y77" s="54">
        <f t="shared" si="5"/>
        <v>0</v>
      </c>
    </row>
    <row r="78" spans="1:25" x14ac:dyDescent="0.25">
      <c r="N78" s="41"/>
      <c r="O78" s="7" t="str">
        <f>IF(OR(N78="",Config!$B$3=""),"",IF(N78&lt;=Config!$B$3,"⚠ REORDER",""))</f>
        <v/>
      </c>
      <c r="U78" s="41"/>
      <c r="V78" s="41"/>
      <c r="W78" s="9" t="str">
        <f t="shared" si="4"/>
        <v/>
      </c>
      <c r="Y78" s="54">
        <f t="shared" si="5"/>
        <v>0</v>
      </c>
    </row>
    <row r="79" spans="1:25" x14ac:dyDescent="0.25">
      <c r="N79" s="41"/>
      <c r="O79" s="7" t="str">
        <f>IF(OR(N79="",Config!$B$3=""),"",IF(N79&lt;=Config!$B$3,"⚠ REORDER",""))</f>
        <v/>
      </c>
      <c r="U79" s="41"/>
      <c r="V79" s="41"/>
      <c r="W79" s="9" t="str">
        <f t="shared" si="4"/>
        <v/>
      </c>
      <c r="Y79" s="54">
        <f t="shared" si="5"/>
        <v>0</v>
      </c>
    </row>
    <row r="80" spans="1:25" x14ac:dyDescent="0.25">
      <c r="N80" s="41"/>
      <c r="O80" s="7" t="str">
        <f>IF(OR(N80="",Config!$B$3=""),"",IF(N80&lt;=Config!$B$3,"⚠ REORDER",""))</f>
        <v/>
      </c>
      <c r="U80" s="41"/>
      <c r="V80" s="41"/>
      <c r="W80" s="9" t="str">
        <f t="shared" si="4"/>
        <v/>
      </c>
      <c r="Y80" s="54">
        <f t="shared" si="5"/>
        <v>0</v>
      </c>
    </row>
    <row r="81" spans="14:25" x14ac:dyDescent="0.25">
      <c r="N81" s="41"/>
      <c r="O81" s="7" t="str">
        <f>IF(OR(N81="",Config!$B$3=""),"",IF(N81&lt;=Config!$B$3,"⚠ REORDER",""))</f>
        <v/>
      </c>
      <c r="U81" s="41"/>
      <c r="V81" s="41"/>
      <c r="W81" s="9" t="str">
        <f t="shared" si="4"/>
        <v/>
      </c>
      <c r="Y81" s="54">
        <f t="shared" si="5"/>
        <v>0</v>
      </c>
    </row>
    <row r="82" spans="14:25" x14ac:dyDescent="0.25">
      <c r="N82" s="41"/>
      <c r="O82" s="7" t="str">
        <f>IF(OR(N82="",Config!$B$3=""),"",IF(N82&lt;=Config!$B$3,"⚠ REORDER",""))</f>
        <v/>
      </c>
      <c r="U82" s="41"/>
      <c r="V82" s="41"/>
      <c r="W82" s="9" t="str">
        <f t="shared" si="4"/>
        <v/>
      </c>
      <c r="Y82" s="54">
        <f t="shared" si="5"/>
        <v>0</v>
      </c>
    </row>
    <row r="83" spans="14:25" x14ac:dyDescent="0.25">
      <c r="N83" s="41"/>
      <c r="O83" s="7" t="str">
        <f>IF(OR(N83="",Config!$B$3=""),"",IF(N83&lt;=Config!$B$3,"⚠ REORDER",""))</f>
        <v/>
      </c>
      <c r="U83" s="41"/>
      <c r="V83" s="41"/>
      <c r="W83" s="9" t="str">
        <f t="shared" si="4"/>
        <v/>
      </c>
      <c r="Y83" s="54">
        <f t="shared" si="5"/>
        <v>0</v>
      </c>
    </row>
    <row r="84" spans="14:25" x14ac:dyDescent="0.25">
      <c r="N84" s="41"/>
      <c r="O84" s="7" t="str">
        <f>IF(OR(N84="",Config!$B$3=""),"",IF(N84&lt;=Config!$B$3,"⚠ REORDER",""))</f>
        <v/>
      </c>
      <c r="U84" s="41"/>
      <c r="V84" s="41"/>
      <c r="W84" s="9" t="str">
        <f t="shared" si="4"/>
        <v/>
      </c>
      <c r="Y84" s="54">
        <f t="shared" si="5"/>
        <v>0</v>
      </c>
    </row>
    <row r="85" spans="14:25" x14ac:dyDescent="0.25">
      <c r="N85" s="41"/>
      <c r="O85" s="7" t="str">
        <f>IF(OR(N85="",Config!$B$3=""),"",IF(N85&lt;=Config!$B$3,"⚠ REORDER",""))</f>
        <v/>
      </c>
      <c r="U85" s="41"/>
      <c r="V85" s="41"/>
      <c r="W85" s="9" t="str">
        <f t="shared" si="4"/>
        <v/>
      </c>
      <c r="Y85" s="54">
        <f t="shared" si="5"/>
        <v>0</v>
      </c>
    </row>
    <row r="86" spans="14:25" x14ac:dyDescent="0.25">
      <c r="N86" s="41"/>
      <c r="O86" s="7" t="str">
        <f>IF(OR(N86="",Config!$B$3=""),"",IF(N86&lt;=Config!$B$3,"⚠ REORDER",""))</f>
        <v/>
      </c>
      <c r="U86" s="41"/>
      <c r="V86" s="41"/>
      <c r="W86" s="9" t="str">
        <f t="shared" si="4"/>
        <v/>
      </c>
      <c r="Y86" s="54">
        <f t="shared" si="5"/>
        <v>0</v>
      </c>
    </row>
    <row r="87" spans="14:25" x14ac:dyDescent="0.25">
      <c r="N87" s="41"/>
      <c r="O87" s="7" t="str">
        <f>IF(OR(N87="",Config!$B$3=""),"",IF(N87&lt;=Config!$B$3,"⚠ REORDER",""))</f>
        <v/>
      </c>
      <c r="U87" s="41"/>
      <c r="V87" s="41"/>
      <c r="W87" s="9" t="str">
        <f t="shared" si="4"/>
        <v/>
      </c>
      <c r="Y87" s="54">
        <f t="shared" si="5"/>
        <v>0</v>
      </c>
    </row>
    <row r="88" spans="14:25" x14ac:dyDescent="0.25">
      <c r="N88" s="41"/>
      <c r="O88" s="7" t="str">
        <f>IF(OR(N88="",Config!$B$3=""),"",IF(N88&lt;=Config!$B$3,"⚠ REORDER",""))</f>
        <v/>
      </c>
      <c r="U88" s="41"/>
      <c r="V88" s="41"/>
      <c r="W88" s="9" t="str">
        <f t="shared" si="4"/>
        <v/>
      </c>
      <c r="Y88" s="54">
        <f t="shared" si="5"/>
        <v>0</v>
      </c>
    </row>
    <row r="89" spans="14:25" x14ac:dyDescent="0.25">
      <c r="N89" s="41"/>
      <c r="O89" s="7" t="str">
        <f>IF(OR(N89="",Config!$B$3=""),"",IF(N89&lt;=Config!$B$3,"⚠ REORDER",""))</f>
        <v/>
      </c>
      <c r="U89" s="41"/>
      <c r="V89" s="41"/>
      <c r="W89" s="9" t="str">
        <f t="shared" si="4"/>
        <v/>
      </c>
      <c r="Y89" s="54">
        <f t="shared" si="5"/>
        <v>0</v>
      </c>
    </row>
    <row r="90" spans="14:25" x14ac:dyDescent="0.25">
      <c r="N90" s="41"/>
      <c r="O90" s="7" t="str">
        <f>IF(OR(N90="",Config!$B$3=""),"",IF(N90&lt;=Config!$B$3,"⚠ REORDER",""))</f>
        <v/>
      </c>
      <c r="U90" s="41"/>
      <c r="V90" s="41"/>
      <c r="W90" s="9" t="str">
        <f t="shared" si="4"/>
        <v/>
      </c>
      <c r="Y90" s="54">
        <f t="shared" si="5"/>
        <v>0</v>
      </c>
    </row>
    <row r="91" spans="14:25" x14ac:dyDescent="0.25"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4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4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4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4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4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78" t="s">
        <v>161</v>
      </c>
      <c r="B1" s="70"/>
      <c r="C1" s="70"/>
    </row>
    <row r="2" spans="1:3" ht="21.95" customHeight="1" x14ac:dyDescent="0.25">
      <c r="A2" s="3" t="s">
        <v>162</v>
      </c>
      <c r="B2" s="3" t="s">
        <v>163</v>
      </c>
      <c r="C2" s="3" t="s">
        <v>24</v>
      </c>
    </row>
    <row r="3" spans="1:3" ht="18" customHeight="1" x14ac:dyDescent="0.25">
      <c r="A3" s="1" t="s">
        <v>164</v>
      </c>
      <c r="B3" s="2">
        <v>1</v>
      </c>
      <c r="C3" s="35" t="s">
        <v>165</v>
      </c>
    </row>
    <row r="4" spans="1:3" ht="18" customHeight="1" x14ac:dyDescent="0.25">
      <c r="A4" s="1" t="s">
        <v>166</v>
      </c>
      <c r="B4" s="36" t="s">
        <v>167</v>
      </c>
      <c r="C4" s="35" t="s">
        <v>168</v>
      </c>
    </row>
    <row r="5" spans="1:3" ht="18" customHeight="1" x14ac:dyDescent="0.25">
      <c r="A5" s="1" t="s">
        <v>169</v>
      </c>
      <c r="B5" s="36" t="s">
        <v>170</v>
      </c>
      <c r="C5" s="35" t="s">
        <v>171</v>
      </c>
    </row>
    <row r="6" spans="1:3" ht="18" customHeight="1" x14ac:dyDescent="0.25">
      <c r="A6" s="1" t="s">
        <v>172</v>
      </c>
      <c r="B6" s="36" t="s">
        <v>173</v>
      </c>
      <c r="C6" s="35" t="s">
        <v>174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2026-09-25T03:33:32Z</dcterms:modified>
</cp:coreProperties>
</file>