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esktop/Filament Master xlsx Files/"/>
    </mc:Choice>
  </mc:AlternateContent>
  <xr:revisionPtr revIDLastSave="17" documentId="11_EB55400729905097278232C6EF95A49D86758229" xr6:coauthVersionLast="47" xr6:coauthVersionMax="47" xr10:uidLastSave="{3E3610DD-062F-440A-821F-2167AB2C4203}"/>
  <bookViews>
    <workbookView xWindow="1020" yWindow="795" windowWidth="27510" windowHeight="14145" activeTab="1" xr2:uid="{00000000-000D-0000-FFFF-FFFF00000000}"/>
  </bookViews>
  <sheets>
    <sheet name="Dashboard" sheetId="1" r:id="rId1"/>
    <sheet name="Inventory" sheetId="2" r:id="rId2"/>
    <sheet name="Config" sheetId="3" r:id="rId3"/>
  </sheets>
  <externalReferences>
    <externalReference r:id="rId4"/>
  </externalReferences>
  <definedNames>
    <definedName name="_xlnm._FilterDatabase" localSheetId="1" hidden="1">Inventory!$A$2:$Y$114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5" i="2" l="1"/>
  <c r="W65" i="2"/>
  <c r="O65" i="2"/>
  <c r="Y114" i="2" l="1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6" i="1"/>
  <c r="B5" i="1"/>
  <c r="B4" i="1"/>
</calcChain>
</file>

<file path=xl/sharedStrings.xml><?xml version="1.0" encoding="utf-8"?>
<sst xmlns="http://schemas.openxmlformats.org/spreadsheetml/2006/main" count="803" uniqueCount="166">
  <si>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</si>
  <si>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</si>
  <si>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</si>
  <si>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</si>
  <si>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</si>
  <si>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</si>
  <si>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</si>
  <si>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Brand</t>
  </si>
  <si>
    <t>Spools in Stock</t>
  </si>
  <si>
    <t>Total Value</t>
  </si>
  <si>
    <t>AzureFilm</t>
  </si>
  <si>
    <t>Bambu Lab</t>
  </si>
  <si>
    <t>Creality Hyper</t>
  </si>
  <si>
    <t>Hatchbox</t>
  </si>
  <si>
    <t>MatterHackers</t>
  </si>
  <si>
    <t>Overture</t>
  </si>
  <si>
    <t>Polymaker</t>
  </si>
  <si>
    <t>Prusament</t>
  </si>
  <si>
    <t>SUNLU</t>
  </si>
  <si>
    <t>VoxelPLA</t>
  </si>
  <si>
    <t>eSUN</t>
  </si>
  <si>
    <t>Filament Inventory — On-Hand Spools (All Brands)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</si>
  <si>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</si>
  <si>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</si>
  <si>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</si>
  <si>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</si>
  <si>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</si>
  <si>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</si>
  <si>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</si>
  <si>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</si>
  <si>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</si>
  <si>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</si>
  <si>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</si>
  <si>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</si>
  <si>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</si>
  <si>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</si>
  <si>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</si>
  <si>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</si>
  <si>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</si>
  <si>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</si>
  <si>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</si>
  <si>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</si>
  <si>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</si>
  <si>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</si>
  <si>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</si>
  <si>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</si>
  <si>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</si>
  <si>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</si>
  <si>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</si>
  <si>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</si>
  <si>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</si>
  <si>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</si>
  <si>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</si>
  <si>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</si>
  <si>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</si>
  <si>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</si>
  <si>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</si>
  <si>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</si>
  <si>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</si>
  <si>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</si>
  <si>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</si>
  <si>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</si>
  <si>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</si>
  <si>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</si>
  <si>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</si>
  <si>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</si>
  <si>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</si>
  <si>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</si>
  <si>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</si>
  <si>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</si>
  <si>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</si>
  <si>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</si>
  <si>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</si>
  <si>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</si>
  <si>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BL-PLAB-MA</t>
  </si>
  <si>
    <t>Magenta</t>
  </si>
  <si>
    <t>#EC008C</t>
  </si>
  <si>
    <t>BL-PLAB-DG</t>
  </si>
  <si>
    <t>Dark Gray</t>
  </si>
  <si>
    <t>#545454</t>
  </si>
  <si>
    <t>Depleted 2026-08-08, refill pending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</si>
  <si>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</si>
  <si>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</si>
  <si>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</si>
  <si>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</si>
  <si>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</si>
  <si>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</si>
  <si>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</si>
  <si>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</si>
  <si>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</si>
  <si>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</si>
  <si>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</si>
  <si>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</si>
  <si>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</si>
  <si>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</si>
  <si>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</si>
  <si>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</si>
  <si>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</si>
  <si>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</si>
  <si>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SL-PETG-16</t>
  </si>
  <si>
    <t>Lavender Purple</t>
  </si>
  <si>
    <t>#999999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</si>
  <si>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</si>
  <si>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</si>
  <si>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</si>
  <si>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</si>
  <si>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</si>
  <si>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</si>
  <si>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</si>
  <si>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</si>
  <si>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</si>
  <si>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</si>
  <si>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</si>
  <si>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</si>
  <si>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</si>
  <si>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</si>
  <si>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</si>
  <si>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</si>
  <si>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</si>
  <si>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</si>
  <si>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</si>
  <si>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</si>
  <si>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</si>
  <si>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Catalog lists this color as "Oliver Green" (SL-PLA-22) — likely a brand-catalog typo for Olive Green; matched on color/hex</t>
  </si>
  <si>
    <t>SL-PLAP2-02</t>
  </si>
  <si>
    <t>PLA+ 2.0</t>
  </si>
  <si>
    <t>SUNLU PLA+ 2.0</t>
  </si>
  <si>
    <t>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</si>
  <si>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</si>
  <si>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</si>
  <si>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</si>
  <si>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</si>
  <si>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</si>
  <si>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</si>
  <si>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</si>
  <si>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</si>
  <si>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</si>
  <si>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</si>
  <si>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</si>
  <si>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</si>
  <si>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</si>
  <si>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</si>
  <si>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</si>
  <si>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2026-08-02T00:00:00</t>
  </si>
  <si>
    <t>BL-PLAB-BL</t>
  </si>
  <si>
    <t>Blue</t>
  </si>
  <si>
    <t>#0A2989</t>
  </si>
  <si>
    <t>BL-PLAB-GY</t>
  </si>
  <si>
    <t>Gray</t>
  </si>
  <si>
    <t>#8E9089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</si>
  <si>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</si>
  <si>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</si>
  <si>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</si>
  <si>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</si>
  <si>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</si>
  <si>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</si>
  <si>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</si>
  <si>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</si>
  <si>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</si>
  <si>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</si>
  <si>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</si>
  <si>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</si>
  <si>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</si>
  <si>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</si>
  <si>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BL-PLAB-BK</t>
  </si>
  <si>
    <t>Depleted 2026-08-10, refil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</si>
</sst>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</fonts>
  <fills count="3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999999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EEF3FB"/>
      </patternFill>
    </fill>
    <fill>
      <patternFill patternType="solid">
        <fgColor rgb="FFE0E0E0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5" fillId="31" borderId="1" xfId="0" applyFont="1" applyFill="1" applyBorder="1" applyAlignment="1">
      <alignment horizontal="left" vertical="center" wrapText="1"/>
    </xf>
    <xf numFmtId="3" fontId="0" fillId="0" borderId="0" xfId="0" applyNumberFormat="1"/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0" xfId="0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5" fillId="32" borderId="1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11" fillId="33" borderId="1" xfId="0" applyFont="1" applyFill="1" applyBorder="1" applyAlignment="1">
      <alignment horizontal="center" vertical="center" wrapText="1"/>
    </xf>
    <xf numFmtId="0" fontId="5" fillId="32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C5700"/>
        <name val="Arial"/>
      </font>
      <fill>
        <patternFill>
          <bgColor rgb="FFFFEB9C"/>
        </patternFill>
      </fill>
    </dxf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99ef59fae163b27/Desktop/Filament%20Master%20xlsx%20Files/Filament_Inventory_v5_1.xlsx" TargetMode="External"/><Relationship Id="rId1" Type="http://schemas.openxmlformats.org/officeDocument/2006/relationships/externalLinkPath" Target="Filament_Inventory_v5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Inventory"/>
      <sheetName val="Config"/>
    </sheetNames>
    <sheetDataSet>
      <sheetData sheetId="0" refreshError="1"/>
      <sheetData sheetId="1" refreshError="1"/>
      <sheetData sheetId="2">
        <row r="3">
          <cell r="B3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43" t="s">
        <v>0</v>
      </c>
      <c r="B1" s="41"/>
      <c r="C1" s="41"/>
      <c r="D1" s="41"/>
      <c r="E1" s="41"/>
      <c r="F1" s="41"/>
    </row>
    <row r="3" spans="1:6" ht="18" customHeight="1" x14ac:dyDescent="0.25">
      <c r="A3" s="44" t="s">
        <v>1</v>
      </c>
      <c r="B3" s="41"/>
      <c r="C3" s="41"/>
      <c r="D3" s="41"/>
      <c r="E3" s="41"/>
      <c r="F3" s="41"/>
    </row>
    <row r="4" spans="1:6" ht="20.100000000000001" customHeight="1" x14ac:dyDescent="0.25">
      <c r="A4" s="1" t="s">
        <v>2</v>
      </c>
      <c r="B4" s="40">
        <f>SUM(Inventory!N3:N114)</f>
        <v>62</v>
      </c>
      <c r="C4" s="41"/>
    </row>
    <row r="5" spans="1:6" ht="20.100000000000001" customHeight="1" x14ac:dyDescent="0.25">
      <c r="A5" s="1" t="s">
        <v>3</v>
      </c>
      <c r="B5" s="42">
        <f>SUMPRODUCT(IF(Inventory!M3:M114="",0,Inventory!M3:M114)*IF(Inventory!N3:N114="",0,Inventory!N3:N114))</f>
        <v>0</v>
      </c>
      <c r="C5" s="41"/>
    </row>
    <row r="6" spans="1:6" ht="20.100000000000001" customHeight="1" x14ac:dyDescent="0.25">
      <c r="A6" s="1" t="s">
        <v>4</v>
      </c>
      <c r="B6" s="40">
        <f>COUNTIF(Inventory!O3:O114,"*REORDER*")</f>
        <v>63</v>
      </c>
      <c r="C6" s="41"/>
    </row>
    <row r="7" spans="1:6" ht="20.100000000000001" customHeight="1" x14ac:dyDescent="0.25">
      <c r="A7" s="1" t="s">
        <v>5</v>
      </c>
      <c r="B7" s="40">
        <f>Config!$B$3</f>
        <v>1</v>
      </c>
      <c r="C7" s="41"/>
    </row>
    <row r="9" spans="1:6" ht="18" customHeight="1" x14ac:dyDescent="0.25">
      <c r="A9" s="44" t="s">
        <v>6</v>
      </c>
      <c r="B9" s="41"/>
      <c r="C9" s="41"/>
      <c r="D9" s="41"/>
      <c r="E9" s="41"/>
      <c r="F9" s="41"/>
    </row>
    <row r="10" spans="1:6" ht="21.95" customHeight="1" x14ac:dyDescent="0.25">
      <c r="A10" s="3" t="s">
        <v>7</v>
      </c>
      <c r="B10" s="3" t="s">
        <v>8</v>
      </c>
      <c r="C10" s="3" t="s">
        <v>9</v>
      </c>
    </row>
    <row r="11" spans="1:6" ht="18" customHeight="1" x14ac:dyDescent="0.25">
      <c r="A11" s="4" t="s">
        <v>10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11</v>
      </c>
      <c r="B12" s="5">
        <f>IFERROR(SUMIF(Inventory!A3:A114,A12,Inventory!N3:N114),0)</f>
        <v>38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12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13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14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16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17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18</v>
      </c>
      <c r="B19" s="5">
        <f>IFERROR(SUMIF(Inventory!A3:A114,A19,Inventory!N3:N114),0)</f>
        <v>23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20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A3" sqref="A3"/>
    </sheetView>
  </sheetViews>
  <sheetFormatPr defaultRowHeight="15" x14ac:dyDescent="0.25"/>
  <cols>
    <col min="1" max="1" width="16" customWidth="1"/>
    <col min="2" max="2" width="18" style="53" customWidth="1"/>
    <col min="3" max="3" width="14" customWidth="1"/>
    <col min="4" max="4" width="24" customWidth="1"/>
    <col min="5" max="5" width="18" customWidth="1"/>
    <col min="6" max="7" width="10" customWidth="1"/>
    <col min="8" max="8" width="9" customWidth="1"/>
    <col min="9" max="9" width="18" customWidth="1"/>
    <col min="10" max="10" width="18.5703125" bestFit="1" customWidth="1"/>
    <col min="11" max="11" width="20" style="53" customWidth="1"/>
    <col min="12" max="13" width="12" style="53" customWidth="1"/>
    <col min="14" max="14" width="16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customWidth="1"/>
    <col min="22" max="22" width="16" customWidth="1"/>
    <col min="23" max="23" width="14" customWidth="1"/>
    <col min="24" max="24" width="220.85546875" bestFit="1" customWidth="1"/>
    <col min="25" max="25" width="14" customWidth="1"/>
  </cols>
  <sheetData>
    <row r="1" spans="1:25" ht="26.1" customHeight="1" x14ac:dyDescent="0.25">
      <c r="A1" s="45" t="s">
        <v>21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</row>
    <row r="2" spans="1:25" ht="27.95" customHeight="1" x14ac:dyDescent="0.25">
      <c r="A2" s="3" t="s">
        <v>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3" t="s">
        <v>31</v>
      </c>
      <c r="L2" s="3" t="s">
        <v>32</v>
      </c>
      <c r="M2" s="3" t="s">
        <v>33</v>
      </c>
      <c r="N2" s="3" t="s">
        <v>34</v>
      </c>
      <c r="O2" s="3" t="s">
        <v>35</v>
      </c>
      <c r="P2" s="3" t="s">
        <v>36</v>
      </c>
      <c r="Q2" s="3" t="s">
        <v>37</v>
      </c>
      <c r="R2" s="3" t="s">
        <v>38</v>
      </c>
      <c r="S2" s="3" t="s">
        <v>39</v>
      </c>
      <c r="T2" s="3" t="s">
        <v>40</v>
      </c>
      <c r="U2" s="3" t="s">
        <v>41</v>
      </c>
      <c r="V2" s="3" t="s">
        <v>42</v>
      </c>
      <c r="W2" s="3" t="s">
        <v>43</v>
      </c>
      <c r="X2" s="3" t="s">
        <v>44</v>
      </c>
      <c r="Y2" s="3" t="s">
        <v>9</v>
      </c>
    </row>
    <row r="3" spans="1:25" ht="20.100000000000001" customHeight="1" x14ac:dyDescent="0.25">
      <c r="A3" s="4" t="s">
        <v>18</v>
      </c>
      <c r="B3" s="7" t="s">
        <v>45</v>
      </c>
      <c r="C3" s="4" t="s">
        <v>46</v>
      </c>
      <c r="D3" s="4" t="s">
        <v>47</v>
      </c>
      <c r="E3" s="4" t="s">
        <v>48</v>
      </c>
      <c r="F3" s="8"/>
      <c r="G3" s="4" t="s">
        <v>49</v>
      </c>
      <c r="H3" s="7" t="s">
        <v>50</v>
      </c>
      <c r="I3" s="4"/>
      <c r="J3" s="4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51</v>
      </c>
      <c r="Q3" s="7" t="s">
        <v>52</v>
      </c>
      <c r="R3" s="7" t="s">
        <v>53</v>
      </c>
      <c r="S3" s="4"/>
      <c r="T3" s="7" t="s">
        <v>54</v>
      </c>
      <c r="U3" s="5">
        <v>1000</v>
      </c>
      <c r="V3" s="5">
        <v>0</v>
      </c>
      <c r="W3" s="10">
        <f t="shared" ref="W3:W34" si="0">IF(V3="","",IF(U3="","",V3/U3))</f>
        <v>0</v>
      </c>
      <c r="X3" s="4" t="s">
        <v>80</v>
      </c>
      <c r="Y3" s="9">
        <f t="shared" ref="Y3:Y34" si="1">IF(OR(M3="",N3=""),0,M3*N3)</f>
        <v>0</v>
      </c>
    </row>
    <row r="4" spans="1:25" ht="20.100000000000001" customHeight="1" x14ac:dyDescent="0.25">
      <c r="A4" s="4" t="s">
        <v>11</v>
      </c>
      <c r="B4" s="7" t="s">
        <v>55</v>
      </c>
      <c r="C4" s="4" t="s">
        <v>56</v>
      </c>
      <c r="D4" s="4" t="s">
        <v>56</v>
      </c>
      <c r="E4" s="4" t="s">
        <v>57</v>
      </c>
      <c r="F4" s="11"/>
      <c r="G4" s="4" t="s">
        <v>58</v>
      </c>
      <c r="H4" s="7" t="s">
        <v>50</v>
      </c>
      <c r="I4" s="4"/>
      <c r="J4" s="4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51</v>
      </c>
      <c r="Q4" s="7" t="s">
        <v>52</v>
      </c>
      <c r="R4" s="7" t="s">
        <v>53</v>
      </c>
      <c r="S4" s="4"/>
      <c r="T4" s="7" t="s">
        <v>54</v>
      </c>
      <c r="U4" s="5">
        <v>1000</v>
      </c>
      <c r="V4" s="5">
        <v>954</v>
      </c>
      <c r="W4" s="10">
        <f t="shared" si="0"/>
        <v>0.95399999999999996</v>
      </c>
      <c r="X4" s="4"/>
      <c r="Y4" s="9">
        <f t="shared" si="1"/>
        <v>0</v>
      </c>
    </row>
    <row r="5" spans="1:25" ht="20.100000000000001" customHeight="1" x14ac:dyDescent="0.25">
      <c r="A5" s="4" t="s">
        <v>11</v>
      </c>
      <c r="B5" s="7" t="s">
        <v>55</v>
      </c>
      <c r="C5" s="4" t="s">
        <v>56</v>
      </c>
      <c r="D5" s="4" t="s">
        <v>56</v>
      </c>
      <c r="E5" s="4" t="s">
        <v>57</v>
      </c>
      <c r="F5" s="11"/>
      <c r="G5" s="4" t="s">
        <v>58</v>
      </c>
      <c r="H5" s="7" t="s">
        <v>50</v>
      </c>
      <c r="I5" s="4"/>
      <c r="J5" s="4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59</v>
      </c>
      <c r="Q5" s="7" t="s">
        <v>60</v>
      </c>
      <c r="R5" s="7" t="s">
        <v>53</v>
      </c>
      <c r="S5" s="4"/>
      <c r="T5" s="7" t="s">
        <v>61</v>
      </c>
      <c r="U5" s="5">
        <v>1000</v>
      </c>
      <c r="V5" s="5">
        <v>1000</v>
      </c>
      <c r="W5" s="10">
        <f t="shared" si="0"/>
        <v>1</v>
      </c>
      <c r="X5" s="4"/>
      <c r="Y5" s="9">
        <f t="shared" si="1"/>
        <v>0</v>
      </c>
    </row>
    <row r="6" spans="1:25" ht="20.100000000000001" customHeight="1" x14ac:dyDescent="0.25">
      <c r="A6" s="4" t="s">
        <v>11</v>
      </c>
      <c r="B6" s="7" t="s">
        <v>55</v>
      </c>
      <c r="C6" s="4" t="s">
        <v>56</v>
      </c>
      <c r="D6" s="4" t="s">
        <v>56</v>
      </c>
      <c r="E6" s="4" t="s">
        <v>57</v>
      </c>
      <c r="F6" s="11"/>
      <c r="G6" s="4" t="s">
        <v>58</v>
      </c>
      <c r="H6" s="7" t="s">
        <v>50</v>
      </c>
      <c r="I6" s="4"/>
      <c r="J6" s="4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59</v>
      </c>
      <c r="Q6" s="7" t="s">
        <v>60</v>
      </c>
      <c r="R6" s="7" t="s">
        <v>53</v>
      </c>
      <c r="S6" s="4"/>
      <c r="T6" s="7" t="s">
        <v>61</v>
      </c>
      <c r="U6" s="5">
        <v>1000</v>
      </c>
      <c r="V6" s="5">
        <v>1000</v>
      </c>
      <c r="W6" s="10">
        <f t="shared" si="0"/>
        <v>1</v>
      </c>
      <c r="X6" s="4"/>
      <c r="Y6" s="9">
        <f t="shared" si="1"/>
        <v>0</v>
      </c>
    </row>
    <row r="7" spans="1:25" ht="20.100000000000001" customHeight="1" x14ac:dyDescent="0.25">
      <c r="A7" s="4" t="s">
        <v>11</v>
      </c>
      <c r="B7" s="7" t="s">
        <v>62</v>
      </c>
      <c r="C7" s="4" t="s">
        <v>56</v>
      </c>
      <c r="D7" s="4" t="s">
        <v>56</v>
      </c>
      <c r="E7" s="4" t="s">
        <v>63</v>
      </c>
      <c r="F7" s="12"/>
      <c r="G7" s="4" t="s">
        <v>64</v>
      </c>
      <c r="H7" s="7" t="s">
        <v>50</v>
      </c>
      <c r="I7" s="4"/>
      <c r="J7" s="4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59</v>
      </c>
      <c r="Q7" s="7" t="s">
        <v>60</v>
      </c>
      <c r="R7" s="7" t="s">
        <v>53</v>
      </c>
      <c r="S7" s="4"/>
      <c r="T7" s="7" t="s">
        <v>61</v>
      </c>
      <c r="U7" s="5">
        <v>1000</v>
      </c>
      <c r="V7" s="5">
        <v>1000</v>
      </c>
      <c r="W7" s="10">
        <f t="shared" si="0"/>
        <v>1</v>
      </c>
      <c r="X7" s="4"/>
      <c r="Y7" s="9">
        <f t="shared" si="1"/>
        <v>0</v>
      </c>
    </row>
    <row r="8" spans="1:25" ht="20.100000000000001" customHeight="1" x14ac:dyDescent="0.25">
      <c r="A8" s="4" t="s">
        <v>11</v>
      </c>
      <c r="B8" s="7" t="s">
        <v>65</v>
      </c>
      <c r="C8" s="4" t="s">
        <v>56</v>
      </c>
      <c r="D8" s="4" t="s">
        <v>56</v>
      </c>
      <c r="E8" s="4" t="s">
        <v>66</v>
      </c>
      <c r="F8" s="13"/>
      <c r="G8" s="4" t="s">
        <v>67</v>
      </c>
      <c r="H8" s="7" t="s">
        <v>50</v>
      </c>
      <c r="I8" s="4"/>
      <c r="J8" s="4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59</v>
      </c>
      <c r="Q8" s="7" t="s">
        <v>60</v>
      </c>
      <c r="R8" s="7" t="s">
        <v>53</v>
      </c>
      <c r="S8" s="4"/>
      <c r="T8" s="7" t="s">
        <v>61</v>
      </c>
      <c r="U8" s="5">
        <v>1000</v>
      </c>
      <c r="V8" s="5">
        <v>1000</v>
      </c>
      <c r="W8" s="10">
        <f t="shared" si="0"/>
        <v>1</v>
      </c>
      <c r="X8" s="4"/>
      <c r="Y8" s="9">
        <f t="shared" si="1"/>
        <v>0</v>
      </c>
    </row>
    <row r="9" spans="1:25" ht="20.100000000000001" customHeight="1" x14ac:dyDescent="0.25">
      <c r="A9" s="4" t="s">
        <v>11</v>
      </c>
      <c r="B9" s="7" t="s">
        <v>65</v>
      </c>
      <c r="C9" s="4" t="s">
        <v>56</v>
      </c>
      <c r="D9" s="4" t="s">
        <v>56</v>
      </c>
      <c r="E9" s="4" t="s">
        <v>66</v>
      </c>
      <c r="F9" s="13"/>
      <c r="G9" s="4" t="s">
        <v>67</v>
      </c>
      <c r="H9" s="7" t="s">
        <v>50</v>
      </c>
      <c r="I9" s="4"/>
      <c r="J9" s="4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59</v>
      </c>
      <c r="Q9" s="7" t="s">
        <v>60</v>
      </c>
      <c r="R9" s="7" t="s">
        <v>53</v>
      </c>
      <c r="S9" s="4"/>
      <c r="T9" s="7" t="s">
        <v>61</v>
      </c>
      <c r="U9" s="5">
        <v>1000</v>
      </c>
      <c r="V9" s="5">
        <v>1000</v>
      </c>
      <c r="W9" s="10">
        <f t="shared" si="0"/>
        <v>1</v>
      </c>
      <c r="X9" s="4"/>
      <c r="Y9" s="9">
        <f t="shared" si="1"/>
        <v>0</v>
      </c>
    </row>
    <row r="10" spans="1:25" ht="20.100000000000001" customHeight="1" x14ac:dyDescent="0.25">
      <c r="A10" s="4" t="s">
        <v>11</v>
      </c>
      <c r="B10" s="7" t="s">
        <v>68</v>
      </c>
      <c r="C10" s="4" t="s">
        <v>56</v>
      </c>
      <c r="D10" s="4" t="s">
        <v>56</v>
      </c>
      <c r="E10" s="4" t="s">
        <v>69</v>
      </c>
      <c r="F10" s="14"/>
      <c r="G10" s="4" t="s">
        <v>70</v>
      </c>
      <c r="H10" s="7" t="s">
        <v>50</v>
      </c>
      <c r="I10" s="4"/>
      <c r="J10" s="4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51</v>
      </c>
      <c r="Q10" s="7" t="s">
        <v>52</v>
      </c>
      <c r="R10" s="7" t="s">
        <v>53</v>
      </c>
      <c r="S10" s="4"/>
      <c r="T10" s="7" t="s">
        <v>61</v>
      </c>
      <c r="U10" s="5">
        <v>1000</v>
      </c>
      <c r="V10" s="5">
        <v>939</v>
      </c>
      <c r="W10" s="10">
        <f t="shared" si="0"/>
        <v>0.93899999999999995</v>
      </c>
      <c r="X10" s="4"/>
      <c r="Y10" s="9">
        <f t="shared" si="1"/>
        <v>0</v>
      </c>
    </row>
    <row r="11" spans="1:25" ht="20.100000000000001" customHeight="1" x14ac:dyDescent="0.25">
      <c r="A11" s="4" t="s">
        <v>11</v>
      </c>
      <c r="B11" s="7" t="s">
        <v>71</v>
      </c>
      <c r="C11" s="4" t="s">
        <v>56</v>
      </c>
      <c r="D11" s="4" t="s">
        <v>56</v>
      </c>
      <c r="E11" s="4" t="s">
        <v>72</v>
      </c>
      <c r="F11" s="15"/>
      <c r="G11" s="4" t="s">
        <v>73</v>
      </c>
      <c r="H11" s="7" t="s">
        <v>50</v>
      </c>
      <c r="I11" s="4"/>
      <c r="J11" s="4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51</v>
      </c>
      <c r="Q11" s="7" t="s">
        <v>52</v>
      </c>
      <c r="R11" s="7" t="s">
        <v>53</v>
      </c>
      <c r="S11" s="4"/>
      <c r="T11" s="7" t="s">
        <v>61</v>
      </c>
      <c r="U11" s="5">
        <v>1000</v>
      </c>
      <c r="V11" s="5">
        <v>123</v>
      </c>
      <c r="W11" s="10">
        <f t="shared" si="0"/>
        <v>0.123</v>
      </c>
      <c r="X11" s="4"/>
      <c r="Y11" s="9">
        <f t="shared" si="1"/>
        <v>0</v>
      </c>
    </row>
    <row r="12" spans="1:25" ht="20.100000000000001" customHeight="1" x14ac:dyDescent="0.25">
      <c r="A12" s="4" t="s">
        <v>11</v>
      </c>
      <c r="B12" s="7" t="s">
        <v>74</v>
      </c>
      <c r="C12" s="4" t="s">
        <v>56</v>
      </c>
      <c r="D12" s="4" t="s">
        <v>56</v>
      </c>
      <c r="E12" s="4" t="s">
        <v>75</v>
      </c>
      <c r="F12" s="16"/>
      <c r="G12" s="4" t="s">
        <v>76</v>
      </c>
      <c r="H12" s="7" t="s">
        <v>50</v>
      </c>
      <c r="I12" s="4"/>
      <c r="J12" s="4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59</v>
      </c>
      <c r="Q12" s="7" t="s">
        <v>60</v>
      </c>
      <c r="R12" s="7" t="s">
        <v>53</v>
      </c>
      <c r="S12" s="4"/>
      <c r="T12" s="7" t="s">
        <v>61</v>
      </c>
      <c r="U12" s="5">
        <v>1000</v>
      </c>
      <c r="V12" s="5">
        <v>1000</v>
      </c>
      <c r="W12" s="10">
        <f t="shared" si="0"/>
        <v>1</v>
      </c>
      <c r="X12" s="4"/>
      <c r="Y12" s="9">
        <f t="shared" si="1"/>
        <v>0</v>
      </c>
    </row>
    <row r="13" spans="1:25" ht="20.100000000000001" customHeight="1" x14ac:dyDescent="0.25">
      <c r="A13" s="4" t="s">
        <v>11</v>
      </c>
      <c r="B13" s="7" t="s">
        <v>77</v>
      </c>
      <c r="C13" s="4" t="s">
        <v>56</v>
      </c>
      <c r="D13" s="4" t="s">
        <v>56</v>
      </c>
      <c r="E13" s="4" t="s">
        <v>78</v>
      </c>
      <c r="F13" s="17"/>
      <c r="G13" s="4" t="s">
        <v>79</v>
      </c>
      <c r="H13" s="7" t="s">
        <v>50</v>
      </c>
      <c r="I13" s="4"/>
      <c r="J13" s="4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51</v>
      </c>
      <c r="Q13" s="7" t="s">
        <v>52</v>
      </c>
      <c r="R13" s="7" t="s">
        <v>53</v>
      </c>
      <c r="S13" s="4"/>
      <c r="T13" s="7" t="s">
        <v>61</v>
      </c>
      <c r="U13" s="5">
        <v>1000</v>
      </c>
      <c r="V13" s="5">
        <v>0</v>
      </c>
      <c r="W13" s="10">
        <f t="shared" si="0"/>
        <v>0</v>
      </c>
      <c r="X13" s="4" t="s">
        <v>80</v>
      </c>
      <c r="Y13" s="9">
        <f t="shared" si="1"/>
        <v>0</v>
      </c>
    </row>
    <row r="14" spans="1:25" ht="20.100000000000001" customHeight="1" x14ac:dyDescent="0.25">
      <c r="A14" s="4" t="s">
        <v>11</v>
      </c>
      <c r="B14" s="7" t="s">
        <v>81</v>
      </c>
      <c r="C14" s="4" t="s">
        <v>56</v>
      </c>
      <c r="D14" s="4" t="s">
        <v>56</v>
      </c>
      <c r="E14" s="4" t="s">
        <v>82</v>
      </c>
      <c r="F14" s="18"/>
      <c r="G14" s="4" t="s">
        <v>83</v>
      </c>
      <c r="H14" s="7" t="s">
        <v>50</v>
      </c>
      <c r="I14" s="4"/>
      <c r="J14" s="4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51</v>
      </c>
      <c r="Q14" s="7" t="s">
        <v>52</v>
      </c>
      <c r="R14" s="7" t="s">
        <v>53</v>
      </c>
      <c r="S14" s="4"/>
      <c r="T14" s="7" t="s">
        <v>61</v>
      </c>
      <c r="U14" s="5">
        <v>1000</v>
      </c>
      <c r="V14" s="5">
        <v>1000</v>
      </c>
      <c r="W14" s="10">
        <f t="shared" si="0"/>
        <v>1</v>
      </c>
      <c r="X14" s="4"/>
      <c r="Y14" s="9">
        <f t="shared" si="1"/>
        <v>0</v>
      </c>
    </row>
    <row r="15" spans="1:25" ht="20.100000000000001" customHeight="1" x14ac:dyDescent="0.25">
      <c r="A15" s="4" t="s">
        <v>11</v>
      </c>
      <c r="B15" s="7" t="s">
        <v>84</v>
      </c>
      <c r="C15" s="4" t="s">
        <v>56</v>
      </c>
      <c r="D15" s="4" t="s">
        <v>56</v>
      </c>
      <c r="E15" s="4" t="s">
        <v>85</v>
      </c>
      <c r="F15" s="19"/>
      <c r="G15" s="4" t="s">
        <v>86</v>
      </c>
      <c r="H15" s="7" t="s">
        <v>50</v>
      </c>
      <c r="I15" s="4"/>
      <c r="J15" s="4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51</v>
      </c>
      <c r="Q15" s="7" t="s">
        <v>52</v>
      </c>
      <c r="R15" s="7" t="s">
        <v>53</v>
      </c>
      <c r="S15" s="4"/>
      <c r="T15" s="7" t="s">
        <v>61</v>
      </c>
      <c r="U15" s="5">
        <v>1000</v>
      </c>
      <c r="V15" s="5">
        <v>123</v>
      </c>
      <c r="W15" s="10">
        <f t="shared" si="0"/>
        <v>0.123</v>
      </c>
      <c r="X15" s="4"/>
      <c r="Y15" s="9">
        <f t="shared" si="1"/>
        <v>0</v>
      </c>
    </row>
    <row r="16" spans="1:25" ht="20.100000000000001" customHeight="1" x14ac:dyDescent="0.25">
      <c r="A16" s="4" t="s">
        <v>11</v>
      </c>
      <c r="B16" s="7" t="s">
        <v>87</v>
      </c>
      <c r="C16" s="4" t="s">
        <v>56</v>
      </c>
      <c r="D16" s="4" t="s">
        <v>56</v>
      </c>
      <c r="E16" s="4" t="s">
        <v>88</v>
      </c>
      <c r="F16" s="20"/>
      <c r="G16" s="4" t="s">
        <v>89</v>
      </c>
      <c r="H16" s="7" t="s">
        <v>50</v>
      </c>
      <c r="I16" s="4"/>
      <c r="J16" s="4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59</v>
      </c>
      <c r="Q16" s="7" t="s">
        <v>60</v>
      </c>
      <c r="R16" s="7" t="s">
        <v>53</v>
      </c>
      <c r="S16" s="4"/>
      <c r="T16" s="7" t="s">
        <v>54</v>
      </c>
      <c r="U16" s="5">
        <v>1000</v>
      </c>
      <c r="V16" s="5">
        <v>1000</v>
      </c>
      <c r="W16" s="10">
        <f t="shared" si="0"/>
        <v>1</v>
      </c>
      <c r="X16" s="4"/>
      <c r="Y16" s="9">
        <f t="shared" si="1"/>
        <v>0</v>
      </c>
    </row>
    <row r="17" spans="1:25" ht="20.100000000000001" customHeight="1" x14ac:dyDescent="0.25">
      <c r="A17" s="4" t="s">
        <v>11</v>
      </c>
      <c r="B17" s="7" t="s">
        <v>90</v>
      </c>
      <c r="C17" s="4" t="s">
        <v>56</v>
      </c>
      <c r="D17" s="4" t="s">
        <v>56</v>
      </c>
      <c r="E17" s="4" t="s">
        <v>91</v>
      </c>
      <c r="F17" s="21"/>
      <c r="G17" s="4" t="s">
        <v>92</v>
      </c>
      <c r="H17" s="7" t="s">
        <v>50</v>
      </c>
      <c r="I17" s="4"/>
      <c r="J17" s="4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51</v>
      </c>
      <c r="Q17" s="7" t="s">
        <v>52</v>
      </c>
      <c r="R17" s="7" t="s">
        <v>53</v>
      </c>
      <c r="S17" s="4"/>
      <c r="T17" s="7" t="s">
        <v>61</v>
      </c>
      <c r="U17" s="5">
        <v>1000</v>
      </c>
      <c r="V17" s="5">
        <v>854</v>
      </c>
      <c r="W17" s="10">
        <f t="shared" si="0"/>
        <v>0.85399999999999998</v>
      </c>
      <c r="X17" s="4"/>
      <c r="Y17" s="9">
        <f t="shared" si="1"/>
        <v>0</v>
      </c>
    </row>
    <row r="18" spans="1:25" ht="20.100000000000001" customHeight="1" x14ac:dyDescent="0.25">
      <c r="A18" s="4" t="s">
        <v>11</v>
      </c>
      <c r="B18" s="7" t="s">
        <v>93</v>
      </c>
      <c r="C18" s="4" t="s">
        <v>94</v>
      </c>
      <c r="D18" s="4" t="s">
        <v>94</v>
      </c>
      <c r="E18" s="4" t="s">
        <v>95</v>
      </c>
      <c r="F18" s="22"/>
      <c r="G18" s="4" t="s">
        <v>96</v>
      </c>
      <c r="H18" s="7" t="s">
        <v>50</v>
      </c>
      <c r="I18" s="4"/>
      <c r="J18" s="4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59</v>
      </c>
      <c r="Q18" s="7" t="s">
        <v>60</v>
      </c>
      <c r="R18" s="7" t="s">
        <v>53</v>
      </c>
      <c r="S18" s="4"/>
      <c r="T18" s="7" t="s">
        <v>54</v>
      </c>
      <c r="U18" s="5">
        <v>1000</v>
      </c>
      <c r="V18" s="5">
        <v>1000</v>
      </c>
      <c r="W18" s="10">
        <f t="shared" si="0"/>
        <v>1</v>
      </c>
      <c r="X18" s="4"/>
      <c r="Y18" s="9">
        <f t="shared" si="1"/>
        <v>0</v>
      </c>
    </row>
    <row r="19" spans="1:25" ht="20.100000000000001" customHeight="1" x14ac:dyDescent="0.25">
      <c r="A19" s="4" t="s">
        <v>11</v>
      </c>
      <c r="B19" s="7" t="s">
        <v>97</v>
      </c>
      <c r="C19" s="4" t="s">
        <v>94</v>
      </c>
      <c r="D19" s="4" t="s">
        <v>94</v>
      </c>
      <c r="E19" s="4" t="s">
        <v>48</v>
      </c>
      <c r="F19" s="23"/>
      <c r="G19" s="4" t="s">
        <v>98</v>
      </c>
      <c r="H19" s="7" t="s">
        <v>50</v>
      </c>
      <c r="I19" s="4"/>
      <c r="J19" s="4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59</v>
      </c>
      <c r="Q19" s="7" t="s">
        <v>60</v>
      </c>
      <c r="R19" s="7" t="s">
        <v>53</v>
      </c>
      <c r="S19" s="4"/>
      <c r="T19" s="7" t="s">
        <v>54</v>
      </c>
      <c r="U19" s="5">
        <v>1000</v>
      </c>
      <c r="V19" s="5">
        <v>1000</v>
      </c>
      <c r="W19" s="10">
        <f t="shared" si="0"/>
        <v>1</v>
      </c>
      <c r="X19" s="4"/>
      <c r="Y19" s="9">
        <f t="shared" si="1"/>
        <v>0</v>
      </c>
    </row>
    <row r="20" spans="1:25" ht="20.100000000000001" customHeight="1" x14ac:dyDescent="0.25">
      <c r="A20" s="4" t="s">
        <v>18</v>
      </c>
      <c r="B20" s="7" t="s">
        <v>99</v>
      </c>
      <c r="C20" s="4" t="s">
        <v>46</v>
      </c>
      <c r="D20" s="4" t="s">
        <v>47</v>
      </c>
      <c r="E20" s="4" t="s">
        <v>100</v>
      </c>
      <c r="F20" s="24"/>
      <c r="G20" s="4" t="s">
        <v>101</v>
      </c>
      <c r="H20" s="7" t="s">
        <v>50</v>
      </c>
      <c r="I20" s="4"/>
      <c r="J20" s="4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59</v>
      </c>
      <c r="Q20" s="7" t="s">
        <v>60</v>
      </c>
      <c r="R20" s="7" t="s">
        <v>53</v>
      </c>
      <c r="S20" s="4"/>
      <c r="T20" s="7" t="s">
        <v>54</v>
      </c>
      <c r="U20" s="5">
        <v>1000</v>
      </c>
      <c r="V20" s="5">
        <v>1000</v>
      </c>
      <c r="W20" s="10">
        <f t="shared" si="0"/>
        <v>1</v>
      </c>
      <c r="X20" s="4" t="s">
        <v>102</v>
      </c>
      <c r="Y20" s="9">
        <f t="shared" si="1"/>
        <v>0</v>
      </c>
    </row>
    <row r="21" spans="1:25" ht="20.100000000000001" customHeight="1" x14ac:dyDescent="0.25">
      <c r="A21" s="4" t="s">
        <v>18</v>
      </c>
      <c r="B21" s="7" t="s">
        <v>99</v>
      </c>
      <c r="C21" s="4" t="s">
        <v>46</v>
      </c>
      <c r="D21" s="4" t="s">
        <v>47</v>
      </c>
      <c r="E21" s="4" t="s">
        <v>100</v>
      </c>
      <c r="F21" s="24"/>
      <c r="G21" s="4" t="s">
        <v>101</v>
      </c>
      <c r="H21" s="7" t="s">
        <v>50</v>
      </c>
      <c r="I21" s="4"/>
      <c r="J21" s="4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59</v>
      </c>
      <c r="Q21" s="7" t="s">
        <v>60</v>
      </c>
      <c r="R21" s="7" t="s">
        <v>53</v>
      </c>
      <c r="S21" s="4"/>
      <c r="T21" s="7" t="s">
        <v>54</v>
      </c>
      <c r="U21" s="5">
        <v>1000</v>
      </c>
      <c r="V21" s="5">
        <v>1000</v>
      </c>
      <c r="W21" s="10">
        <f t="shared" si="0"/>
        <v>1</v>
      </c>
      <c r="X21" s="4" t="s">
        <v>102</v>
      </c>
      <c r="Y21" s="9">
        <f t="shared" si="1"/>
        <v>0</v>
      </c>
    </row>
    <row r="22" spans="1:25" ht="20.100000000000001" customHeight="1" x14ac:dyDescent="0.25">
      <c r="A22" s="4" t="s">
        <v>18</v>
      </c>
      <c r="B22" s="7" t="s">
        <v>99</v>
      </c>
      <c r="C22" s="4" t="s">
        <v>46</v>
      </c>
      <c r="D22" s="4" t="s">
        <v>47</v>
      </c>
      <c r="E22" s="4" t="s">
        <v>100</v>
      </c>
      <c r="F22" s="24"/>
      <c r="G22" s="4" t="s">
        <v>101</v>
      </c>
      <c r="H22" s="7" t="s">
        <v>50</v>
      </c>
      <c r="I22" s="4"/>
      <c r="J22" s="4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59</v>
      </c>
      <c r="Q22" s="7" t="s">
        <v>60</v>
      </c>
      <c r="R22" s="7" t="s">
        <v>53</v>
      </c>
      <c r="S22" s="4"/>
      <c r="T22" s="7" t="s">
        <v>54</v>
      </c>
      <c r="U22" s="5">
        <v>1000</v>
      </c>
      <c r="V22" s="5">
        <v>1000</v>
      </c>
      <c r="W22" s="10">
        <f t="shared" si="0"/>
        <v>1</v>
      </c>
      <c r="X22" s="4" t="s">
        <v>102</v>
      </c>
      <c r="Y22" s="9">
        <f t="shared" si="1"/>
        <v>0</v>
      </c>
    </row>
    <row r="23" spans="1:25" ht="20.100000000000001" customHeight="1" x14ac:dyDescent="0.25">
      <c r="A23" s="4" t="s">
        <v>18</v>
      </c>
      <c r="B23" s="7" t="s">
        <v>103</v>
      </c>
      <c r="C23" s="4" t="s">
        <v>46</v>
      </c>
      <c r="D23" s="4" t="s">
        <v>47</v>
      </c>
      <c r="E23" s="4" t="s">
        <v>104</v>
      </c>
      <c r="F23" s="25"/>
      <c r="G23" s="4" t="s">
        <v>105</v>
      </c>
      <c r="H23" s="7" t="s">
        <v>50</v>
      </c>
      <c r="I23" s="4"/>
      <c r="J23" s="4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59</v>
      </c>
      <c r="Q23" s="7" t="s">
        <v>60</v>
      </c>
      <c r="R23" s="7" t="s">
        <v>53</v>
      </c>
      <c r="S23" s="4"/>
      <c r="T23" s="7" t="s">
        <v>54</v>
      </c>
      <c r="U23" s="5">
        <v>1000</v>
      </c>
      <c r="V23" s="5">
        <v>1000</v>
      </c>
      <c r="W23" s="10">
        <f t="shared" si="0"/>
        <v>1</v>
      </c>
      <c r="X23" s="4"/>
      <c r="Y23" s="9">
        <f t="shared" si="1"/>
        <v>0</v>
      </c>
    </row>
    <row r="24" spans="1:25" ht="20.100000000000001" customHeight="1" x14ac:dyDescent="0.25">
      <c r="A24" s="4" t="s">
        <v>18</v>
      </c>
      <c r="B24" s="7" t="s">
        <v>103</v>
      </c>
      <c r="C24" s="4" t="s">
        <v>46</v>
      </c>
      <c r="D24" s="4" t="s">
        <v>47</v>
      </c>
      <c r="E24" s="4" t="s">
        <v>104</v>
      </c>
      <c r="F24" s="25"/>
      <c r="G24" s="4" t="s">
        <v>105</v>
      </c>
      <c r="H24" s="7" t="s">
        <v>50</v>
      </c>
      <c r="I24" s="4"/>
      <c r="J24" s="4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59</v>
      </c>
      <c r="Q24" s="7" t="s">
        <v>60</v>
      </c>
      <c r="R24" s="7" t="s">
        <v>53</v>
      </c>
      <c r="S24" s="4"/>
      <c r="T24" s="7" t="s">
        <v>54</v>
      </c>
      <c r="U24" s="5">
        <v>1000</v>
      </c>
      <c r="V24" s="5">
        <v>1000</v>
      </c>
      <c r="W24" s="10">
        <f t="shared" si="0"/>
        <v>1</v>
      </c>
      <c r="X24" s="4"/>
      <c r="Y24" s="9">
        <f t="shared" si="1"/>
        <v>0</v>
      </c>
    </row>
    <row r="25" spans="1:25" ht="20.100000000000001" customHeight="1" x14ac:dyDescent="0.25">
      <c r="A25" s="4" t="s">
        <v>18</v>
      </c>
      <c r="B25" s="7" t="s">
        <v>106</v>
      </c>
      <c r="C25" s="4" t="s">
        <v>46</v>
      </c>
      <c r="D25" s="4" t="s">
        <v>47</v>
      </c>
      <c r="E25" s="4" t="s">
        <v>107</v>
      </c>
      <c r="F25" s="26"/>
      <c r="G25" s="4" t="s">
        <v>108</v>
      </c>
      <c r="H25" s="7" t="s">
        <v>50</v>
      </c>
      <c r="I25" s="4"/>
      <c r="J25" s="4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51</v>
      </c>
      <c r="Q25" s="7" t="s">
        <v>52</v>
      </c>
      <c r="R25" s="7" t="s">
        <v>53</v>
      </c>
      <c r="S25" s="4"/>
      <c r="T25" s="7" t="s">
        <v>54</v>
      </c>
      <c r="U25" s="5">
        <v>1000</v>
      </c>
      <c r="V25" s="5">
        <v>318</v>
      </c>
      <c r="W25" s="10">
        <f t="shared" si="0"/>
        <v>0.318</v>
      </c>
      <c r="X25" s="4"/>
      <c r="Y25" s="9">
        <f t="shared" si="1"/>
        <v>0</v>
      </c>
    </row>
    <row r="26" spans="1:25" ht="20.100000000000001" customHeight="1" x14ac:dyDescent="0.25">
      <c r="A26" s="4" t="s">
        <v>18</v>
      </c>
      <c r="B26" s="7" t="s">
        <v>106</v>
      </c>
      <c r="C26" s="4" t="s">
        <v>46</v>
      </c>
      <c r="D26" s="4" t="s">
        <v>47</v>
      </c>
      <c r="E26" s="4" t="s">
        <v>107</v>
      </c>
      <c r="F26" s="26"/>
      <c r="G26" s="4" t="s">
        <v>108</v>
      </c>
      <c r="H26" s="7" t="s">
        <v>50</v>
      </c>
      <c r="I26" s="4"/>
      <c r="J26" s="4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59</v>
      </c>
      <c r="Q26" s="7" t="s">
        <v>60</v>
      </c>
      <c r="R26" s="7" t="s">
        <v>53</v>
      </c>
      <c r="S26" s="4"/>
      <c r="T26" s="7" t="s">
        <v>54</v>
      </c>
      <c r="U26" s="5">
        <v>1000</v>
      </c>
      <c r="V26" s="5">
        <v>1000</v>
      </c>
      <c r="W26" s="10">
        <f t="shared" si="0"/>
        <v>1</v>
      </c>
      <c r="X26" s="4"/>
      <c r="Y26" s="9">
        <f t="shared" si="1"/>
        <v>0</v>
      </c>
    </row>
    <row r="27" spans="1:25" ht="20.100000000000001" customHeight="1" x14ac:dyDescent="0.25">
      <c r="A27" s="4" t="s">
        <v>18</v>
      </c>
      <c r="B27" s="7" t="s">
        <v>109</v>
      </c>
      <c r="C27" s="4" t="s">
        <v>46</v>
      </c>
      <c r="D27" s="4" t="s">
        <v>47</v>
      </c>
      <c r="E27" s="4" t="s">
        <v>110</v>
      </c>
      <c r="F27" s="27"/>
      <c r="G27" s="4" t="s">
        <v>111</v>
      </c>
      <c r="H27" s="7" t="s">
        <v>50</v>
      </c>
      <c r="I27" s="4"/>
      <c r="J27" s="4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51</v>
      </c>
      <c r="Q27" s="7" t="s">
        <v>52</v>
      </c>
      <c r="R27" s="7" t="s">
        <v>53</v>
      </c>
      <c r="S27" s="4"/>
      <c r="T27" s="7" t="s">
        <v>54</v>
      </c>
      <c r="U27" s="5">
        <v>1000</v>
      </c>
      <c r="V27" s="5">
        <v>233</v>
      </c>
      <c r="W27" s="10">
        <f t="shared" si="0"/>
        <v>0.23300000000000001</v>
      </c>
      <c r="X27" s="4"/>
      <c r="Y27" s="9">
        <f t="shared" si="1"/>
        <v>0</v>
      </c>
    </row>
    <row r="28" spans="1:25" ht="20.100000000000001" customHeight="1" x14ac:dyDescent="0.25">
      <c r="A28" s="4" t="s">
        <v>18</v>
      </c>
      <c r="B28" s="7" t="s">
        <v>109</v>
      </c>
      <c r="C28" s="4" t="s">
        <v>46</v>
      </c>
      <c r="D28" s="4" t="s">
        <v>47</v>
      </c>
      <c r="E28" s="4" t="s">
        <v>110</v>
      </c>
      <c r="F28" s="27"/>
      <c r="G28" s="4" t="s">
        <v>111</v>
      </c>
      <c r="H28" s="7" t="s">
        <v>50</v>
      </c>
      <c r="I28" s="4"/>
      <c r="J28" s="4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59</v>
      </c>
      <c r="Q28" s="7" t="s">
        <v>60</v>
      </c>
      <c r="R28" s="7" t="s">
        <v>53</v>
      </c>
      <c r="S28" s="4"/>
      <c r="T28" s="7" t="s">
        <v>54</v>
      </c>
      <c r="U28" s="5">
        <v>1000</v>
      </c>
      <c r="V28" s="5">
        <v>1000</v>
      </c>
      <c r="W28" s="10">
        <f t="shared" si="0"/>
        <v>1</v>
      </c>
      <c r="X28" s="4"/>
      <c r="Y28" s="9">
        <f t="shared" si="1"/>
        <v>0</v>
      </c>
    </row>
    <row r="29" spans="1:25" ht="20.100000000000001" customHeight="1" x14ac:dyDescent="0.25">
      <c r="A29" s="4" t="s">
        <v>18</v>
      </c>
      <c r="B29" s="7" t="s">
        <v>109</v>
      </c>
      <c r="C29" s="4" t="s">
        <v>46</v>
      </c>
      <c r="D29" s="4" t="s">
        <v>47</v>
      </c>
      <c r="E29" s="4" t="s">
        <v>110</v>
      </c>
      <c r="F29" s="27"/>
      <c r="G29" s="4" t="s">
        <v>111</v>
      </c>
      <c r="H29" s="7" t="s">
        <v>50</v>
      </c>
      <c r="I29" s="4"/>
      <c r="J29" s="4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59</v>
      </c>
      <c r="Q29" s="7" t="s">
        <v>60</v>
      </c>
      <c r="R29" s="7" t="s">
        <v>53</v>
      </c>
      <c r="S29" s="4"/>
      <c r="T29" s="7" t="s">
        <v>54</v>
      </c>
      <c r="U29" s="5">
        <v>1000</v>
      </c>
      <c r="V29" s="5">
        <v>1000</v>
      </c>
      <c r="W29" s="10">
        <f t="shared" si="0"/>
        <v>1</v>
      </c>
      <c r="X29" s="4"/>
      <c r="Y29" s="9">
        <f t="shared" si="1"/>
        <v>0</v>
      </c>
    </row>
    <row r="30" spans="1:25" ht="20.100000000000001" customHeight="1" x14ac:dyDescent="0.25">
      <c r="A30" s="4" t="s">
        <v>18</v>
      </c>
      <c r="B30" s="7" t="s">
        <v>112</v>
      </c>
      <c r="C30" s="4" t="s">
        <v>46</v>
      </c>
      <c r="D30" s="4" t="s">
        <v>47</v>
      </c>
      <c r="E30" s="4" t="s">
        <v>113</v>
      </c>
      <c r="F30" s="28"/>
      <c r="G30" s="4" t="s">
        <v>114</v>
      </c>
      <c r="H30" s="7" t="s">
        <v>50</v>
      </c>
      <c r="I30" s="4"/>
      <c r="J30" s="4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59</v>
      </c>
      <c r="Q30" s="7" t="s">
        <v>60</v>
      </c>
      <c r="R30" s="7" t="s">
        <v>53</v>
      </c>
      <c r="S30" s="4"/>
      <c r="T30" s="7" t="s">
        <v>54</v>
      </c>
      <c r="U30" s="5">
        <v>1000</v>
      </c>
      <c r="V30" s="5">
        <v>1000</v>
      </c>
      <c r="W30" s="10">
        <f t="shared" si="0"/>
        <v>1</v>
      </c>
      <c r="X30" s="4"/>
      <c r="Y30" s="9">
        <f t="shared" si="1"/>
        <v>0</v>
      </c>
    </row>
    <row r="31" spans="1:25" ht="20.100000000000001" customHeight="1" x14ac:dyDescent="0.25">
      <c r="A31" s="4" t="s">
        <v>18</v>
      </c>
      <c r="B31" s="7" t="s">
        <v>112</v>
      </c>
      <c r="C31" s="4" t="s">
        <v>46</v>
      </c>
      <c r="D31" s="4" t="s">
        <v>47</v>
      </c>
      <c r="E31" s="4" t="s">
        <v>113</v>
      </c>
      <c r="F31" s="28"/>
      <c r="G31" s="4" t="s">
        <v>114</v>
      </c>
      <c r="H31" s="7" t="s">
        <v>50</v>
      </c>
      <c r="I31" s="4"/>
      <c r="J31" s="4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59</v>
      </c>
      <c r="Q31" s="7" t="s">
        <v>60</v>
      </c>
      <c r="R31" s="7" t="s">
        <v>53</v>
      </c>
      <c r="S31" s="4"/>
      <c r="T31" s="7" t="s">
        <v>54</v>
      </c>
      <c r="U31" s="5">
        <v>1000</v>
      </c>
      <c r="V31" s="5">
        <v>1000</v>
      </c>
      <c r="W31" s="10">
        <f t="shared" si="0"/>
        <v>1</v>
      </c>
      <c r="X31" s="4"/>
      <c r="Y31" s="9">
        <f t="shared" si="1"/>
        <v>0</v>
      </c>
    </row>
    <row r="32" spans="1:25" ht="20.100000000000001" customHeight="1" x14ac:dyDescent="0.25">
      <c r="A32" s="4" t="s">
        <v>18</v>
      </c>
      <c r="B32" s="7" t="s">
        <v>45</v>
      </c>
      <c r="C32" s="4" t="s">
        <v>46</v>
      </c>
      <c r="D32" s="4" t="s">
        <v>47</v>
      </c>
      <c r="E32" s="4" t="s">
        <v>48</v>
      </c>
      <c r="F32" s="23"/>
      <c r="G32" s="4" t="s">
        <v>98</v>
      </c>
      <c r="H32" s="7" t="s">
        <v>50</v>
      </c>
      <c r="I32" s="4"/>
      <c r="J32" s="4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59</v>
      </c>
      <c r="Q32" s="7" t="s">
        <v>60</v>
      </c>
      <c r="R32" s="7" t="s">
        <v>53</v>
      </c>
      <c r="S32" s="4"/>
      <c r="T32" s="7" t="s">
        <v>54</v>
      </c>
      <c r="U32" s="5">
        <v>1000</v>
      </c>
      <c r="V32" s="5">
        <v>1000</v>
      </c>
      <c r="W32" s="10">
        <f t="shared" si="0"/>
        <v>1</v>
      </c>
      <c r="X32" s="4"/>
      <c r="Y32" s="9">
        <f t="shared" si="1"/>
        <v>0</v>
      </c>
    </row>
    <row r="33" spans="1:25" ht="20.100000000000001" customHeight="1" x14ac:dyDescent="0.25">
      <c r="A33" s="4" t="s">
        <v>18</v>
      </c>
      <c r="B33" s="7" t="s">
        <v>115</v>
      </c>
      <c r="C33" s="4" t="s">
        <v>46</v>
      </c>
      <c r="D33" s="4" t="s">
        <v>47</v>
      </c>
      <c r="E33" s="4" t="s">
        <v>116</v>
      </c>
      <c r="F33" s="29"/>
      <c r="G33" s="4" t="s">
        <v>117</v>
      </c>
      <c r="H33" s="7" t="s">
        <v>50</v>
      </c>
      <c r="I33" s="4"/>
      <c r="J33" s="4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59</v>
      </c>
      <c r="Q33" s="7" t="s">
        <v>60</v>
      </c>
      <c r="R33" s="7" t="s">
        <v>53</v>
      </c>
      <c r="S33" s="4"/>
      <c r="T33" s="7" t="s">
        <v>54</v>
      </c>
      <c r="U33" s="5">
        <v>1000</v>
      </c>
      <c r="V33" s="5">
        <v>1000</v>
      </c>
      <c r="W33" s="10">
        <f t="shared" si="0"/>
        <v>1</v>
      </c>
      <c r="X33" s="4"/>
      <c r="Y33" s="9">
        <f t="shared" si="1"/>
        <v>0</v>
      </c>
    </row>
    <row r="34" spans="1:25" ht="20.100000000000001" customHeight="1" x14ac:dyDescent="0.25">
      <c r="A34" s="4" t="s">
        <v>18</v>
      </c>
      <c r="B34" s="7" t="s">
        <v>118</v>
      </c>
      <c r="C34" s="4" t="s">
        <v>119</v>
      </c>
      <c r="D34" s="4" t="s">
        <v>120</v>
      </c>
      <c r="E34" s="4" t="s">
        <v>121</v>
      </c>
      <c r="F34" s="30"/>
      <c r="G34" s="4" t="s">
        <v>122</v>
      </c>
      <c r="H34" s="7" t="s">
        <v>50</v>
      </c>
      <c r="I34" s="4"/>
      <c r="J34" s="4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59</v>
      </c>
      <c r="Q34" s="7" t="s">
        <v>60</v>
      </c>
      <c r="R34" s="7" t="s">
        <v>53</v>
      </c>
      <c r="S34" s="4"/>
      <c r="T34" s="7" t="s">
        <v>54</v>
      </c>
      <c r="U34" s="5">
        <v>1000</v>
      </c>
      <c r="V34" s="5">
        <v>1000</v>
      </c>
      <c r="W34" s="10">
        <f t="shared" si="0"/>
        <v>1</v>
      </c>
      <c r="X34" s="4" t="s">
        <v>123</v>
      </c>
      <c r="Y34" s="9">
        <f t="shared" si="1"/>
        <v>0</v>
      </c>
    </row>
    <row r="35" spans="1:25" ht="20.100000000000001" customHeight="1" x14ac:dyDescent="0.25">
      <c r="A35" s="4" t="s">
        <v>18</v>
      </c>
      <c r="B35" s="7" t="s">
        <v>124</v>
      </c>
      <c r="C35" s="4" t="s">
        <v>125</v>
      </c>
      <c r="D35" s="4" t="s">
        <v>126</v>
      </c>
      <c r="E35" s="4" t="s">
        <v>48</v>
      </c>
      <c r="F35" s="23"/>
      <c r="G35" s="4" t="s">
        <v>98</v>
      </c>
      <c r="H35" s="7" t="s">
        <v>50</v>
      </c>
      <c r="I35" s="4"/>
      <c r="J35" s="4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59</v>
      </c>
      <c r="Q35" s="7" t="s">
        <v>60</v>
      </c>
      <c r="R35" s="7" t="s">
        <v>53</v>
      </c>
      <c r="S35" s="4"/>
      <c r="T35" s="7" t="s">
        <v>54</v>
      </c>
      <c r="U35" s="5">
        <v>1000</v>
      </c>
      <c r="V35" s="5">
        <v>1000</v>
      </c>
      <c r="W35" s="10">
        <f t="shared" ref="W35:W66" si="2">IF(V35="","",IF(U35="","",V35/U35))</f>
        <v>1</v>
      </c>
      <c r="X35" s="4" t="s">
        <v>127</v>
      </c>
      <c r="Y35" s="9">
        <f t="shared" ref="Y35:Y66" si="3">IF(OR(M35="",N35=""),0,M35*N35)</f>
        <v>16.98</v>
      </c>
    </row>
    <row r="36" spans="1:25" ht="20.100000000000001" customHeight="1" x14ac:dyDescent="0.25">
      <c r="A36" s="4" t="s">
        <v>18</v>
      </c>
      <c r="B36" s="7" t="s">
        <v>124</v>
      </c>
      <c r="C36" s="4" t="s">
        <v>125</v>
      </c>
      <c r="D36" s="4" t="s">
        <v>126</v>
      </c>
      <c r="E36" s="4" t="s">
        <v>48</v>
      </c>
      <c r="F36" s="23"/>
      <c r="G36" s="4" t="s">
        <v>98</v>
      </c>
      <c r="H36" s="7" t="s">
        <v>50</v>
      </c>
      <c r="I36" s="4"/>
      <c r="J36" s="4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59</v>
      </c>
      <c r="Q36" s="7" t="s">
        <v>60</v>
      </c>
      <c r="R36" s="7" t="s">
        <v>53</v>
      </c>
      <c r="S36" s="4"/>
      <c r="T36" s="7" t="s">
        <v>54</v>
      </c>
      <c r="U36" s="5">
        <v>1000</v>
      </c>
      <c r="V36" s="5">
        <v>1000</v>
      </c>
      <c r="W36" s="10">
        <f t="shared" si="2"/>
        <v>1</v>
      </c>
      <c r="X36" s="4" t="s">
        <v>127</v>
      </c>
      <c r="Y36" s="9">
        <f t="shared" si="3"/>
        <v>16.98</v>
      </c>
    </row>
    <row r="37" spans="1:25" ht="20.100000000000001" customHeight="1" x14ac:dyDescent="0.25">
      <c r="A37" s="4" t="s">
        <v>18</v>
      </c>
      <c r="B37" s="7" t="s">
        <v>128</v>
      </c>
      <c r="C37" s="4" t="s">
        <v>125</v>
      </c>
      <c r="D37" s="4" t="s">
        <v>126</v>
      </c>
      <c r="E37" s="4" t="s">
        <v>104</v>
      </c>
      <c r="F37" s="25"/>
      <c r="G37" s="4" t="s">
        <v>105</v>
      </c>
      <c r="H37" s="7" t="s">
        <v>50</v>
      </c>
      <c r="I37" s="4"/>
      <c r="J37" s="4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51</v>
      </c>
      <c r="Q37" s="7" t="s">
        <v>52</v>
      </c>
      <c r="R37" s="7" t="s">
        <v>53</v>
      </c>
      <c r="S37" s="4"/>
      <c r="T37" s="7" t="s">
        <v>54</v>
      </c>
      <c r="U37" s="5">
        <v>1000</v>
      </c>
      <c r="V37" s="5">
        <v>387</v>
      </c>
      <c r="W37" s="10">
        <f t="shared" si="2"/>
        <v>0.38700000000000001</v>
      </c>
      <c r="X37" s="4" t="s">
        <v>129</v>
      </c>
      <c r="Y37" s="9">
        <f t="shared" si="3"/>
        <v>10.83</v>
      </c>
    </row>
    <row r="38" spans="1:25" ht="20.100000000000001" customHeight="1" x14ac:dyDescent="0.25">
      <c r="A38" s="4" t="s">
        <v>18</v>
      </c>
      <c r="B38" s="7" t="s">
        <v>128</v>
      </c>
      <c r="C38" s="4" t="s">
        <v>125</v>
      </c>
      <c r="D38" s="4" t="s">
        <v>126</v>
      </c>
      <c r="E38" s="4" t="s">
        <v>104</v>
      </c>
      <c r="F38" s="25"/>
      <c r="G38" s="4" t="s">
        <v>105</v>
      </c>
      <c r="H38" s="7" t="s">
        <v>50</v>
      </c>
      <c r="I38" s="4"/>
      <c r="J38" s="4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59</v>
      </c>
      <c r="Q38" s="7" t="s">
        <v>60</v>
      </c>
      <c r="R38" s="7" t="s">
        <v>53</v>
      </c>
      <c r="S38" s="4"/>
      <c r="T38" s="7" t="s">
        <v>54</v>
      </c>
      <c r="U38" s="5">
        <v>1000</v>
      </c>
      <c r="V38" s="5">
        <v>1000</v>
      </c>
      <c r="W38" s="10">
        <f t="shared" si="2"/>
        <v>1</v>
      </c>
      <c r="X38" s="4" t="s">
        <v>129</v>
      </c>
      <c r="Y38" s="9">
        <f t="shared" si="3"/>
        <v>10.83</v>
      </c>
    </row>
    <row r="39" spans="1:25" ht="20.100000000000001" customHeight="1" x14ac:dyDescent="0.25">
      <c r="A39" s="4" t="s">
        <v>18</v>
      </c>
      <c r="B39" s="7" t="s">
        <v>128</v>
      </c>
      <c r="C39" s="4" t="s">
        <v>125</v>
      </c>
      <c r="D39" s="4" t="s">
        <v>126</v>
      </c>
      <c r="E39" s="4" t="s">
        <v>104</v>
      </c>
      <c r="F39" s="25"/>
      <c r="G39" s="4" t="s">
        <v>105</v>
      </c>
      <c r="H39" s="7" t="s">
        <v>50</v>
      </c>
      <c r="I39" s="4"/>
      <c r="J39" s="4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59</v>
      </c>
      <c r="Q39" s="7" t="s">
        <v>60</v>
      </c>
      <c r="R39" s="7" t="s">
        <v>53</v>
      </c>
      <c r="S39" s="4"/>
      <c r="T39" s="7" t="s">
        <v>54</v>
      </c>
      <c r="U39" s="5">
        <v>1000</v>
      </c>
      <c r="V39" s="5">
        <v>1000</v>
      </c>
      <c r="W39" s="10">
        <f t="shared" si="2"/>
        <v>1</v>
      </c>
      <c r="X39" s="4" t="s">
        <v>129</v>
      </c>
      <c r="Y39" s="9">
        <f t="shared" si="3"/>
        <v>10.83</v>
      </c>
    </row>
    <row r="40" spans="1:25" ht="20.100000000000001" customHeight="1" x14ac:dyDescent="0.25">
      <c r="A40" s="4" t="s">
        <v>18</v>
      </c>
      <c r="B40" s="7" t="s">
        <v>128</v>
      </c>
      <c r="C40" s="4" t="s">
        <v>125</v>
      </c>
      <c r="D40" s="4" t="s">
        <v>126</v>
      </c>
      <c r="E40" s="4" t="s">
        <v>104</v>
      </c>
      <c r="F40" s="25"/>
      <c r="G40" s="4" t="s">
        <v>105</v>
      </c>
      <c r="H40" s="7" t="s">
        <v>50</v>
      </c>
      <c r="I40" s="4"/>
      <c r="J40" s="4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59</v>
      </c>
      <c r="Q40" s="7" t="s">
        <v>60</v>
      </c>
      <c r="R40" s="7" t="s">
        <v>53</v>
      </c>
      <c r="S40" s="4"/>
      <c r="T40" s="7" t="s">
        <v>54</v>
      </c>
      <c r="U40" s="5">
        <v>1000</v>
      </c>
      <c r="V40" s="5">
        <v>1000</v>
      </c>
      <c r="W40" s="10">
        <f t="shared" si="2"/>
        <v>1</v>
      </c>
      <c r="X40" s="4" t="s">
        <v>129</v>
      </c>
      <c r="Y40" s="9">
        <f t="shared" si="3"/>
        <v>10.83</v>
      </c>
    </row>
    <row r="41" spans="1:25" ht="20.100000000000001" customHeight="1" x14ac:dyDescent="0.25">
      <c r="A41" s="4" t="s">
        <v>11</v>
      </c>
      <c r="B41" s="7" t="s">
        <v>130</v>
      </c>
      <c r="C41" s="4" t="s">
        <v>56</v>
      </c>
      <c r="D41" s="4" t="s">
        <v>56</v>
      </c>
      <c r="E41" s="4" t="s">
        <v>131</v>
      </c>
      <c r="F41" s="31"/>
      <c r="G41" s="4" t="s">
        <v>132</v>
      </c>
      <c r="H41" s="7" t="s">
        <v>50</v>
      </c>
      <c r="I41" s="4"/>
      <c r="J41" s="4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51</v>
      </c>
      <c r="Q41" s="7" t="s">
        <v>52</v>
      </c>
      <c r="R41" s="7" t="s">
        <v>53</v>
      </c>
      <c r="S41" s="4"/>
      <c r="T41" s="7" t="s">
        <v>54</v>
      </c>
      <c r="U41" s="5">
        <v>1000</v>
      </c>
      <c r="V41" s="5">
        <v>940</v>
      </c>
      <c r="W41" s="10">
        <f t="shared" si="2"/>
        <v>0.94</v>
      </c>
      <c r="X41" s="4"/>
      <c r="Y41" s="9">
        <f t="shared" si="3"/>
        <v>0</v>
      </c>
    </row>
    <row r="42" spans="1:25" ht="20.100000000000001" customHeight="1" x14ac:dyDescent="0.25">
      <c r="A42" s="4" t="s">
        <v>11</v>
      </c>
      <c r="B42" s="7" t="s">
        <v>133</v>
      </c>
      <c r="C42" s="4" t="s">
        <v>56</v>
      </c>
      <c r="D42" s="4" t="s">
        <v>56</v>
      </c>
      <c r="E42" s="4" t="s">
        <v>134</v>
      </c>
      <c r="F42" s="23"/>
      <c r="G42" s="4" t="s">
        <v>98</v>
      </c>
      <c r="H42" s="7" t="s">
        <v>50</v>
      </c>
      <c r="I42" s="4"/>
      <c r="J42" s="4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51</v>
      </c>
      <c r="Q42" s="7" t="s">
        <v>52</v>
      </c>
      <c r="R42" s="7" t="s">
        <v>53</v>
      </c>
      <c r="S42" s="4"/>
      <c r="T42" s="7" t="s">
        <v>54</v>
      </c>
      <c r="U42" s="5">
        <v>1000</v>
      </c>
      <c r="V42" s="5">
        <v>304</v>
      </c>
      <c r="W42" s="10">
        <f t="shared" si="2"/>
        <v>0.30399999999999999</v>
      </c>
      <c r="X42" s="4"/>
      <c r="Y42" s="9">
        <f t="shared" si="3"/>
        <v>0</v>
      </c>
    </row>
    <row r="43" spans="1:25" ht="20.100000000000001" customHeight="1" x14ac:dyDescent="0.25">
      <c r="A43" s="4" t="s">
        <v>11</v>
      </c>
      <c r="B43" s="7" t="s">
        <v>77</v>
      </c>
      <c r="C43" s="4" t="s">
        <v>56</v>
      </c>
      <c r="D43" s="4" t="s">
        <v>56</v>
      </c>
      <c r="E43" s="4" t="s">
        <v>78</v>
      </c>
      <c r="F43" s="17"/>
      <c r="G43" s="4" t="s">
        <v>79</v>
      </c>
      <c r="H43" s="7" t="s">
        <v>50</v>
      </c>
      <c r="I43" s="4"/>
      <c r="J43" s="4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59</v>
      </c>
      <c r="Q43" s="7" t="s">
        <v>60</v>
      </c>
      <c r="R43" s="7" t="s">
        <v>53</v>
      </c>
      <c r="S43" s="4"/>
      <c r="T43" s="7" t="s">
        <v>61</v>
      </c>
      <c r="U43" s="5">
        <v>1000</v>
      </c>
      <c r="V43" s="5">
        <v>1000</v>
      </c>
      <c r="W43" s="10">
        <f t="shared" si="2"/>
        <v>1</v>
      </c>
      <c r="X43" s="4"/>
      <c r="Y43" s="9">
        <f t="shared" si="3"/>
        <v>0</v>
      </c>
    </row>
    <row r="44" spans="1:25" ht="20.100000000000001" customHeight="1" x14ac:dyDescent="0.25">
      <c r="A44" s="4" t="s">
        <v>11</v>
      </c>
      <c r="B44" s="7" t="s">
        <v>71</v>
      </c>
      <c r="C44" s="4" t="s">
        <v>56</v>
      </c>
      <c r="D44" s="4" t="s">
        <v>56</v>
      </c>
      <c r="E44" s="4" t="s">
        <v>72</v>
      </c>
      <c r="F44" s="15"/>
      <c r="G44" s="4" t="s">
        <v>73</v>
      </c>
      <c r="H44" s="7" t="s">
        <v>50</v>
      </c>
      <c r="I44" s="4"/>
      <c r="J44" s="4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59</v>
      </c>
      <c r="Q44" s="7" t="s">
        <v>60</v>
      </c>
      <c r="R44" s="7" t="s">
        <v>53</v>
      </c>
      <c r="S44" s="4"/>
      <c r="T44" s="7" t="s">
        <v>61</v>
      </c>
      <c r="U44" s="5">
        <v>1000</v>
      </c>
      <c r="V44" s="5">
        <v>1000</v>
      </c>
      <c r="W44" s="10">
        <f t="shared" si="2"/>
        <v>1</v>
      </c>
      <c r="X44" s="4"/>
      <c r="Y44" s="9">
        <f t="shared" si="3"/>
        <v>0</v>
      </c>
    </row>
    <row r="45" spans="1:25" ht="20.100000000000001" customHeight="1" x14ac:dyDescent="0.25">
      <c r="A45" s="4" t="s">
        <v>11</v>
      </c>
      <c r="B45" s="7" t="s">
        <v>135</v>
      </c>
      <c r="C45" s="4" t="s">
        <v>94</v>
      </c>
      <c r="D45" s="4" t="s">
        <v>94</v>
      </c>
      <c r="E45" s="4" t="s">
        <v>136</v>
      </c>
      <c r="F45" s="32"/>
      <c r="G45" s="4" t="s">
        <v>137</v>
      </c>
      <c r="H45" s="7" t="s">
        <v>50</v>
      </c>
      <c r="I45" s="4"/>
      <c r="J45" s="4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51</v>
      </c>
      <c r="Q45" s="7" t="s">
        <v>52</v>
      </c>
      <c r="R45" s="7" t="s">
        <v>53</v>
      </c>
      <c r="S45" s="4"/>
      <c r="T45" s="7" t="s">
        <v>54</v>
      </c>
      <c r="U45" s="5">
        <v>1000</v>
      </c>
      <c r="V45" s="5">
        <v>532</v>
      </c>
      <c r="W45" s="10">
        <f t="shared" si="2"/>
        <v>0.53200000000000003</v>
      </c>
      <c r="X45" s="4"/>
      <c r="Y45" s="9">
        <f t="shared" si="3"/>
        <v>0</v>
      </c>
    </row>
    <row r="46" spans="1:25" ht="20.100000000000001" customHeight="1" x14ac:dyDescent="0.25">
      <c r="A46" s="4" t="s">
        <v>18</v>
      </c>
      <c r="B46" s="7" t="s">
        <v>138</v>
      </c>
      <c r="C46" s="4" t="s">
        <v>46</v>
      </c>
      <c r="D46" s="4" t="s">
        <v>47</v>
      </c>
      <c r="E46" s="4" t="s">
        <v>139</v>
      </c>
      <c r="F46" s="33"/>
      <c r="G46" s="4" t="s">
        <v>140</v>
      </c>
      <c r="H46" s="7" t="s">
        <v>50</v>
      </c>
      <c r="I46" s="4"/>
      <c r="J46" s="4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51</v>
      </c>
      <c r="Q46" s="7" t="s">
        <v>52</v>
      </c>
      <c r="R46" s="7" t="s">
        <v>53</v>
      </c>
      <c r="S46" s="4"/>
      <c r="T46" s="7" t="s">
        <v>54</v>
      </c>
      <c r="U46" s="5">
        <v>1000</v>
      </c>
      <c r="V46" s="5">
        <v>583</v>
      </c>
      <c r="W46" s="10">
        <f t="shared" si="2"/>
        <v>0.58299999999999996</v>
      </c>
      <c r="X46" s="4"/>
      <c r="Y46" s="9">
        <f t="shared" si="3"/>
        <v>0</v>
      </c>
    </row>
    <row r="47" spans="1:25" ht="20.100000000000001" customHeight="1" x14ac:dyDescent="0.25">
      <c r="A47" s="4" t="s">
        <v>11</v>
      </c>
      <c r="B47" s="7" t="s">
        <v>141</v>
      </c>
      <c r="C47" s="4" t="s">
        <v>94</v>
      </c>
      <c r="D47" s="4" t="s">
        <v>94</v>
      </c>
      <c r="E47" s="4" t="s">
        <v>91</v>
      </c>
      <c r="F47" s="34"/>
      <c r="G47" s="4" t="s">
        <v>142</v>
      </c>
      <c r="H47" s="7" t="s">
        <v>50</v>
      </c>
      <c r="I47" s="4"/>
      <c r="J47" s="4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51</v>
      </c>
      <c r="Q47" s="7" t="s">
        <v>52</v>
      </c>
      <c r="R47" s="7" t="s">
        <v>53</v>
      </c>
      <c r="S47" s="4"/>
      <c r="T47" s="7" t="s">
        <v>54</v>
      </c>
      <c r="U47" s="5">
        <v>1000</v>
      </c>
      <c r="V47" s="5">
        <v>364</v>
      </c>
      <c r="W47" s="10">
        <f t="shared" si="2"/>
        <v>0.36399999999999999</v>
      </c>
      <c r="X47" s="4"/>
      <c r="Y47" s="9">
        <f t="shared" si="3"/>
        <v>0</v>
      </c>
    </row>
    <row r="48" spans="1:25" ht="20.100000000000001" customHeight="1" x14ac:dyDescent="0.25">
      <c r="A48" s="4" t="s">
        <v>11</v>
      </c>
      <c r="B48" s="7" t="s">
        <v>84</v>
      </c>
      <c r="C48" s="4" t="s">
        <v>56</v>
      </c>
      <c r="D48" s="4" t="s">
        <v>56</v>
      </c>
      <c r="E48" s="4" t="s">
        <v>85</v>
      </c>
      <c r="F48" s="19"/>
      <c r="G48" s="4" t="s">
        <v>86</v>
      </c>
      <c r="H48" s="7" t="s">
        <v>50</v>
      </c>
      <c r="I48" s="4"/>
      <c r="J48" s="4" t="s">
        <v>143</v>
      </c>
      <c r="K48" s="7" t="s">
        <v>11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59</v>
      </c>
      <c r="Q48" s="7" t="s">
        <v>60</v>
      </c>
      <c r="R48" s="7" t="s">
        <v>53</v>
      </c>
      <c r="S48" s="4"/>
      <c r="T48" s="7" t="s">
        <v>61</v>
      </c>
      <c r="U48" s="5">
        <v>1000</v>
      </c>
      <c r="V48" s="5">
        <v>1000</v>
      </c>
      <c r="W48" s="10">
        <f t="shared" si="2"/>
        <v>1</v>
      </c>
      <c r="X48" s="4"/>
      <c r="Y48" s="9">
        <f t="shared" si="3"/>
        <v>12.99</v>
      </c>
    </row>
    <row r="49" spans="1:25" ht="20.100000000000001" customHeight="1" x14ac:dyDescent="0.25">
      <c r="A49" s="4" t="s">
        <v>11</v>
      </c>
      <c r="B49" s="7" t="s">
        <v>77</v>
      </c>
      <c r="C49" s="4" t="s">
        <v>56</v>
      </c>
      <c r="D49" s="4" t="s">
        <v>56</v>
      </c>
      <c r="E49" s="4" t="s">
        <v>78</v>
      </c>
      <c r="F49" s="17"/>
      <c r="G49" s="4" t="s">
        <v>79</v>
      </c>
      <c r="H49" s="7" t="s">
        <v>50</v>
      </c>
      <c r="I49" s="4"/>
      <c r="J49" s="4" t="s">
        <v>143</v>
      </c>
      <c r="K49" s="7" t="s">
        <v>11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59</v>
      </c>
      <c r="Q49" s="7" t="s">
        <v>60</v>
      </c>
      <c r="R49" s="7" t="s">
        <v>53</v>
      </c>
      <c r="S49" s="4"/>
      <c r="T49" s="7" t="s">
        <v>61</v>
      </c>
      <c r="U49" s="5">
        <v>1000</v>
      </c>
      <c r="V49" s="5">
        <v>1000</v>
      </c>
      <c r="W49" s="10">
        <f t="shared" si="2"/>
        <v>1</v>
      </c>
      <c r="X49" s="4"/>
      <c r="Y49" s="9">
        <f t="shared" si="3"/>
        <v>12.99</v>
      </c>
    </row>
    <row r="50" spans="1:25" ht="20.100000000000001" customHeight="1" x14ac:dyDescent="0.25">
      <c r="A50" s="4" t="s">
        <v>11</v>
      </c>
      <c r="B50" s="7" t="s">
        <v>130</v>
      </c>
      <c r="C50" s="4" t="s">
        <v>56</v>
      </c>
      <c r="D50" s="4" t="s">
        <v>56</v>
      </c>
      <c r="E50" s="4" t="s">
        <v>131</v>
      </c>
      <c r="F50" s="31"/>
      <c r="G50" s="4" t="s">
        <v>132</v>
      </c>
      <c r="H50" s="7" t="s">
        <v>50</v>
      </c>
      <c r="I50" s="4"/>
      <c r="J50" s="4" t="s">
        <v>143</v>
      </c>
      <c r="K50" s="7" t="s">
        <v>11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59</v>
      </c>
      <c r="Q50" s="7" t="s">
        <v>60</v>
      </c>
      <c r="R50" s="7" t="s">
        <v>53</v>
      </c>
      <c r="S50" s="4"/>
      <c r="T50" s="7" t="s">
        <v>61</v>
      </c>
      <c r="U50" s="5">
        <v>1000</v>
      </c>
      <c r="V50" s="5">
        <v>1000</v>
      </c>
      <c r="W50" s="10">
        <f t="shared" si="2"/>
        <v>1</v>
      </c>
      <c r="X50" s="4"/>
      <c r="Y50" s="9">
        <f t="shared" si="3"/>
        <v>12.99</v>
      </c>
    </row>
    <row r="51" spans="1:25" ht="20.100000000000001" customHeight="1" x14ac:dyDescent="0.25">
      <c r="A51" s="4" t="s">
        <v>11</v>
      </c>
      <c r="B51" s="7" t="s">
        <v>130</v>
      </c>
      <c r="C51" s="4" t="s">
        <v>56</v>
      </c>
      <c r="D51" s="4" t="s">
        <v>56</v>
      </c>
      <c r="E51" s="4" t="s">
        <v>131</v>
      </c>
      <c r="F51" s="31"/>
      <c r="G51" s="4" t="s">
        <v>132</v>
      </c>
      <c r="H51" s="7" t="s">
        <v>50</v>
      </c>
      <c r="I51" s="4"/>
      <c r="J51" s="4" t="s">
        <v>143</v>
      </c>
      <c r="K51" s="7" t="s">
        <v>11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59</v>
      </c>
      <c r="Q51" s="7" t="s">
        <v>60</v>
      </c>
      <c r="R51" s="7" t="s">
        <v>53</v>
      </c>
      <c r="S51" s="4"/>
      <c r="T51" s="7" t="s">
        <v>61</v>
      </c>
      <c r="U51" s="5">
        <v>1000</v>
      </c>
      <c r="V51" s="5">
        <v>1000</v>
      </c>
      <c r="W51" s="10">
        <f t="shared" si="2"/>
        <v>1</v>
      </c>
      <c r="X51" s="4"/>
      <c r="Y51" s="9">
        <f t="shared" si="3"/>
        <v>12.99</v>
      </c>
    </row>
    <row r="52" spans="1:25" ht="20.100000000000001" customHeight="1" x14ac:dyDescent="0.25">
      <c r="A52" s="4" t="s">
        <v>11</v>
      </c>
      <c r="B52" s="7" t="s">
        <v>133</v>
      </c>
      <c r="C52" s="4" t="s">
        <v>56</v>
      </c>
      <c r="D52" s="4" t="s">
        <v>56</v>
      </c>
      <c r="E52" s="4" t="s">
        <v>134</v>
      </c>
      <c r="F52" s="23"/>
      <c r="G52" s="4" t="s">
        <v>98</v>
      </c>
      <c r="H52" s="7" t="s">
        <v>50</v>
      </c>
      <c r="I52" s="4"/>
      <c r="J52" s="4" t="s">
        <v>143</v>
      </c>
      <c r="K52" s="7" t="s">
        <v>11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59</v>
      </c>
      <c r="Q52" s="7" t="s">
        <v>60</v>
      </c>
      <c r="R52" s="7" t="s">
        <v>53</v>
      </c>
      <c r="S52" s="4"/>
      <c r="T52" s="7" t="s">
        <v>61</v>
      </c>
      <c r="U52" s="5">
        <v>1000</v>
      </c>
      <c r="V52" s="5">
        <v>1000</v>
      </c>
      <c r="W52" s="10">
        <f t="shared" si="2"/>
        <v>1</v>
      </c>
      <c r="X52" s="4"/>
      <c r="Y52" s="9">
        <f t="shared" si="3"/>
        <v>12.99</v>
      </c>
    </row>
    <row r="53" spans="1:25" ht="20.100000000000001" customHeight="1" x14ac:dyDescent="0.25">
      <c r="A53" s="4" t="s">
        <v>11</v>
      </c>
      <c r="B53" s="7" t="s">
        <v>133</v>
      </c>
      <c r="C53" s="4" t="s">
        <v>56</v>
      </c>
      <c r="D53" s="4" t="s">
        <v>56</v>
      </c>
      <c r="E53" s="4" t="s">
        <v>134</v>
      </c>
      <c r="F53" s="23"/>
      <c r="G53" s="4" t="s">
        <v>98</v>
      </c>
      <c r="H53" s="7" t="s">
        <v>50</v>
      </c>
      <c r="I53" s="4"/>
      <c r="J53" s="4" t="s">
        <v>143</v>
      </c>
      <c r="K53" s="7" t="s">
        <v>11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59</v>
      </c>
      <c r="Q53" s="7" t="s">
        <v>60</v>
      </c>
      <c r="R53" s="7" t="s">
        <v>53</v>
      </c>
      <c r="S53" s="4"/>
      <c r="T53" s="7" t="s">
        <v>61</v>
      </c>
      <c r="U53" s="5">
        <v>1000</v>
      </c>
      <c r="V53" s="5">
        <v>1000</v>
      </c>
      <c r="W53" s="10">
        <f t="shared" si="2"/>
        <v>1</v>
      </c>
      <c r="X53" s="4"/>
      <c r="Y53" s="9">
        <f t="shared" si="3"/>
        <v>12.99</v>
      </c>
    </row>
    <row r="54" spans="1:25" ht="20.100000000000001" customHeight="1" x14ac:dyDescent="0.25">
      <c r="A54" s="4" t="s">
        <v>11</v>
      </c>
      <c r="B54" s="7" t="s">
        <v>81</v>
      </c>
      <c r="C54" s="4" t="s">
        <v>56</v>
      </c>
      <c r="D54" s="4" t="s">
        <v>56</v>
      </c>
      <c r="E54" s="4" t="s">
        <v>82</v>
      </c>
      <c r="F54" s="18"/>
      <c r="G54" s="4" t="s">
        <v>83</v>
      </c>
      <c r="H54" s="7" t="s">
        <v>50</v>
      </c>
      <c r="I54" s="4"/>
      <c r="J54" s="4" t="s">
        <v>143</v>
      </c>
      <c r="K54" s="7" t="s">
        <v>11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59</v>
      </c>
      <c r="Q54" s="7" t="s">
        <v>60</v>
      </c>
      <c r="R54" s="7" t="s">
        <v>53</v>
      </c>
      <c r="S54" s="4"/>
      <c r="T54" s="7" t="s">
        <v>61</v>
      </c>
      <c r="U54" s="5">
        <v>1000</v>
      </c>
      <c r="V54" s="5">
        <v>1000</v>
      </c>
      <c r="W54" s="10">
        <f t="shared" si="2"/>
        <v>1</v>
      </c>
      <c r="X54" s="4"/>
      <c r="Y54" s="9">
        <f t="shared" si="3"/>
        <v>12.99</v>
      </c>
    </row>
    <row r="55" spans="1:25" ht="20.100000000000001" customHeight="1" x14ac:dyDescent="0.25">
      <c r="A55" s="4" t="s">
        <v>11</v>
      </c>
      <c r="B55" s="7" t="s">
        <v>74</v>
      </c>
      <c r="C55" s="4" t="s">
        <v>56</v>
      </c>
      <c r="D55" s="4" t="s">
        <v>56</v>
      </c>
      <c r="E55" s="4" t="s">
        <v>75</v>
      </c>
      <c r="F55" s="16"/>
      <c r="G55" s="4" t="s">
        <v>76</v>
      </c>
      <c r="H55" s="7" t="s">
        <v>50</v>
      </c>
      <c r="I55" s="4"/>
      <c r="J55" s="4" t="s">
        <v>143</v>
      </c>
      <c r="K55" s="7" t="s">
        <v>11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59</v>
      </c>
      <c r="Q55" s="7" t="s">
        <v>60</v>
      </c>
      <c r="R55" s="7" t="s">
        <v>53</v>
      </c>
      <c r="S55" s="4"/>
      <c r="T55" s="7" t="s">
        <v>61</v>
      </c>
      <c r="U55" s="5">
        <v>1000</v>
      </c>
      <c r="V55" s="5">
        <v>1000</v>
      </c>
      <c r="W55" s="10">
        <f t="shared" si="2"/>
        <v>1</v>
      </c>
      <c r="X55" s="4"/>
      <c r="Y55" s="9">
        <f t="shared" si="3"/>
        <v>12.99</v>
      </c>
    </row>
    <row r="56" spans="1:25" ht="20.100000000000001" customHeight="1" x14ac:dyDescent="0.25">
      <c r="A56" s="4" t="s">
        <v>11</v>
      </c>
      <c r="B56" s="7" t="s">
        <v>90</v>
      </c>
      <c r="C56" s="4" t="s">
        <v>56</v>
      </c>
      <c r="D56" s="4" t="s">
        <v>56</v>
      </c>
      <c r="E56" s="4" t="s">
        <v>91</v>
      </c>
      <c r="F56" s="21"/>
      <c r="G56" s="4" t="s">
        <v>92</v>
      </c>
      <c r="H56" s="7" t="s">
        <v>50</v>
      </c>
      <c r="I56" s="4"/>
      <c r="J56" s="4" t="s">
        <v>143</v>
      </c>
      <c r="K56" s="7" t="s">
        <v>11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59</v>
      </c>
      <c r="Q56" s="7" t="s">
        <v>60</v>
      </c>
      <c r="R56" s="7" t="s">
        <v>53</v>
      </c>
      <c r="S56" s="4"/>
      <c r="T56" s="7" t="s">
        <v>61</v>
      </c>
      <c r="U56" s="5">
        <v>1000</v>
      </c>
      <c r="V56" s="5">
        <v>1000</v>
      </c>
      <c r="W56" s="10">
        <f t="shared" si="2"/>
        <v>1</v>
      </c>
      <c r="X56" s="4"/>
      <c r="Y56" s="9">
        <f t="shared" si="3"/>
        <v>12.99</v>
      </c>
    </row>
    <row r="57" spans="1:25" ht="20.100000000000001" customHeight="1" x14ac:dyDescent="0.25">
      <c r="A57" s="4" t="s">
        <v>11</v>
      </c>
      <c r="B57" s="7" t="s">
        <v>71</v>
      </c>
      <c r="C57" s="4" t="s">
        <v>56</v>
      </c>
      <c r="D57" s="4" t="s">
        <v>56</v>
      </c>
      <c r="E57" s="4" t="s">
        <v>72</v>
      </c>
      <c r="F57" s="15"/>
      <c r="G57" s="4" t="s">
        <v>73</v>
      </c>
      <c r="H57" s="7" t="s">
        <v>50</v>
      </c>
      <c r="I57" s="4"/>
      <c r="J57" s="4" t="s">
        <v>143</v>
      </c>
      <c r="K57" s="7" t="s">
        <v>11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59</v>
      </c>
      <c r="Q57" s="7" t="s">
        <v>60</v>
      </c>
      <c r="R57" s="7" t="s">
        <v>53</v>
      </c>
      <c r="S57" s="4"/>
      <c r="T57" s="7" t="s">
        <v>61</v>
      </c>
      <c r="U57" s="5">
        <v>1000</v>
      </c>
      <c r="V57" s="5">
        <v>1000</v>
      </c>
      <c r="W57" s="10">
        <f t="shared" si="2"/>
        <v>1</v>
      </c>
      <c r="X57" s="4"/>
      <c r="Y57" s="9">
        <f t="shared" si="3"/>
        <v>12.99</v>
      </c>
    </row>
    <row r="58" spans="1:25" ht="20.100000000000001" customHeight="1" x14ac:dyDescent="0.25">
      <c r="A58" s="4" t="s">
        <v>11</v>
      </c>
      <c r="B58" s="7" t="s">
        <v>71</v>
      </c>
      <c r="C58" s="4" t="s">
        <v>56</v>
      </c>
      <c r="D58" s="4" t="s">
        <v>56</v>
      </c>
      <c r="E58" s="4" t="s">
        <v>72</v>
      </c>
      <c r="F58" s="15"/>
      <c r="G58" s="4" t="s">
        <v>73</v>
      </c>
      <c r="H58" s="7" t="s">
        <v>50</v>
      </c>
      <c r="I58" s="4"/>
      <c r="J58" s="4" t="s">
        <v>143</v>
      </c>
      <c r="K58" s="7" t="s">
        <v>11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59</v>
      </c>
      <c r="Q58" s="7" t="s">
        <v>60</v>
      </c>
      <c r="R58" s="7" t="s">
        <v>53</v>
      </c>
      <c r="S58" s="4"/>
      <c r="T58" s="7" t="s">
        <v>61</v>
      </c>
      <c r="U58" s="5">
        <v>1000</v>
      </c>
      <c r="V58" s="5">
        <v>1000</v>
      </c>
      <c r="W58" s="10">
        <f t="shared" si="2"/>
        <v>1</v>
      </c>
      <c r="X58" s="4"/>
      <c r="Y58" s="9">
        <f t="shared" si="3"/>
        <v>12.99</v>
      </c>
    </row>
    <row r="59" spans="1:25" ht="20.100000000000001" customHeight="1" x14ac:dyDescent="0.25">
      <c r="A59" s="4" t="s">
        <v>11</v>
      </c>
      <c r="B59" s="7" t="s">
        <v>68</v>
      </c>
      <c r="C59" s="4" t="s">
        <v>56</v>
      </c>
      <c r="D59" s="4" t="s">
        <v>56</v>
      </c>
      <c r="E59" s="4" t="s">
        <v>69</v>
      </c>
      <c r="F59" s="14"/>
      <c r="G59" s="4" t="s">
        <v>70</v>
      </c>
      <c r="H59" s="7" t="s">
        <v>50</v>
      </c>
      <c r="I59" s="4"/>
      <c r="J59" s="4" t="s">
        <v>143</v>
      </c>
      <c r="K59" s="7" t="s">
        <v>11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59</v>
      </c>
      <c r="Q59" s="7" t="s">
        <v>60</v>
      </c>
      <c r="R59" s="7" t="s">
        <v>53</v>
      </c>
      <c r="S59" s="4"/>
      <c r="T59" s="7" t="s">
        <v>61</v>
      </c>
      <c r="U59" s="5">
        <v>1000</v>
      </c>
      <c r="V59" s="5">
        <v>1000</v>
      </c>
      <c r="W59" s="10">
        <f t="shared" si="2"/>
        <v>1</v>
      </c>
      <c r="X59" s="4"/>
      <c r="Y59" s="9">
        <f t="shared" si="3"/>
        <v>12.99</v>
      </c>
    </row>
    <row r="60" spans="1:25" ht="20.100000000000001" customHeight="1" x14ac:dyDescent="0.25">
      <c r="A60" s="4" t="s">
        <v>11</v>
      </c>
      <c r="B60" s="7" t="s">
        <v>68</v>
      </c>
      <c r="C60" s="4" t="s">
        <v>56</v>
      </c>
      <c r="D60" s="4" t="s">
        <v>56</v>
      </c>
      <c r="E60" s="4" t="s">
        <v>69</v>
      </c>
      <c r="F60" s="14"/>
      <c r="G60" s="4" t="s">
        <v>70</v>
      </c>
      <c r="H60" s="7" t="s">
        <v>50</v>
      </c>
      <c r="I60" s="4"/>
      <c r="J60" s="4" t="s">
        <v>143</v>
      </c>
      <c r="K60" s="7" t="s">
        <v>11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59</v>
      </c>
      <c r="Q60" s="7" t="s">
        <v>60</v>
      </c>
      <c r="R60" s="7" t="s">
        <v>53</v>
      </c>
      <c r="S60" s="4"/>
      <c r="T60" s="7" t="s">
        <v>61</v>
      </c>
      <c r="U60" s="5">
        <v>1000</v>
      </c>
      <c r="V60" s="5">
        <v>1000</v>
      </c>
      <c r="W60" s="10">
        <f t="shared" si="2"/>
        <v>1</v>
      </c>
      <c r="X60" s="4"/>
      <c r="Y60" s="9">
        <f t="shared" si="3"/>
        <v>12.99</v>
      </c>
    </row>
    <row r="61" spans="1:25" ht="20.100000000000001" customHeight="1" x14ac:dyDescent="0.25">
      <c r="A61" s="4" t="s">
        <v>11</v>
      </c>
      <c r="B61" s="7" t="s">
        <v>144</v>
      </c>
      <c r="C61" s="4" t="s">
        <v>56</v>
      </c>
      <c r="D61" s="4" t="s">
        <v>56</v>
      </c>
      <c r="E61" s="4" t="s">
        <v>145</v>
      </c>
      <c r="F61" s="35"/>
      <c r="G61" s="4" t="s">
        <v>146</v>
      </c>
      <c r="H61" s="7" t="s">
        <v>50</v>
      </c>
      <c r="I61" s="4"/>
      <c r="J61" s="4" t="s">
        <v>143</v>
      </c>
      <c r="K61" s="7" t="s">
        <v>11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59</v>
      </c>
      <c r="Q61" s="7" t="s">
        <v>60</v>
      </c>
      <c r="R61" s="7" t="s">
        <v>53</v>
      </c>
      <c r="S61" s="4"/>
      <c r="T61" s="7" t="s">
        <v>61</v>
      </c>
      <c r="U61" s="5">
        <v>1000</v>
      </c>
      <c r="V61" s="5">
        <v>1000</v>
      </c>
      <c r="W61" s="10">
        <f t="shared" si="2"/>
        <v>1</v>
      </c>
      <c r="X61" s="4"/>
      <c r="Y61" s="9">
        <f t="shared" si="3"/>
        <v>12.99</v>
      </c>
    </row>
    <row r="62" spans="1:25" ht="20.100000000000001" customHeight="1" x14ac:dyDescent="0.25">
      <c r="A62" s="4" t="s">
        <v>11</v>
      </c>
      <c r="B62" s="7" t="s">
        <v>144</v>
      </c>
      <c r="C62" s="4" t="s">
        <v>56</v>
      </c>
      <c r="D62" s="4" t="s">
        <v>56</v>
      </c>
      <c r="E62" s="4" t="s">
        <v>145</v>
      </c>
      <c r="F62" s="35"/>
      <c r="G62" s="4" t="s">
        <v>146</v>
      </c>
      <c r="H62" s="7" t="s">
        <v>50</v>
      </c>
      <c r="I62" s="4"/>
      <c r="J62" s="4" t="s">
        <v>143</v>
      </c>
      <c r="K62" s="7" t="s">
        <v>11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59</v>
      </c>
      <c r="Q62" s="7" t="s">
        <v>60</v>
      </c>
      <c r="R62" s="7" t="s">
        <v>53</v>
      </c>
      <c r="S62" s="4"/>
      <c r="T62" s="7" t="s">
        <v>61</v>
      </c>
      <c r="U62" s="5">
        <v>1000</v>
      </c>
      <c r="V62" s="5">
        <v>1000</v>
      </c>
      <c r="W62" s="10">
        <f t="shared" si="2"/>
        <v>1</v>
      </c>
      <c r="X62" s="4"/>
      <c r="Y62" s="9">
        <f t="shared" si="3"/>
        <v>12.99</v>
      </c>
    </row>
    <row r="63" spans="1:25" ht="20.100000000000001" customHeight="1" x14ac:dyDescent="0.25">
      <c r="A63" s="4" t="s">
        <v>11</v>
      </c>
      <c r="B63" s="7" t="s">
        <v>147</v>
      </c>
      <c r="C63" s="4" t="s">
        <v>56</v>
      </c>
      <c r="D63" s="4" t="s">
        <v>56</v>
      </c>
      <c r="E63" s="4" t="s">
        <v>148</v>
      </c>
      <c r="F63" s="36"/>
      <c r="G63" s="4" t="s">
        <v>149</v>
      </c>
      <c r="H63" s="7" t="s">
        <v>50</v>
      </c>
      <c r="I63" s="4"/>
      <c r="J63" s="4" t="s">
        <v>143</v>
      </c>
      <c r="K63" s="7" t="s">
        <v>11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59</v>
      </c>
      <c r="Q63" s="7" t="s">
        <v>60</v>
      </c>
      <c r="R63" s="7" t="s">
        <v>53</v>
      </c>
      <c r="S63" s="4"/>
      <c r="T63" s="7" t="s">
        <v>61</v>
      </c>
      <c r="U63" s="5">
        <v>1000</v>
      </c>
      <c r="V63" s="5">
        <v>1000</v>
      </c>
      <c r="W63" s="10">
        <f t="shared" si="2"/>
        <v>1</v>
      </c>
      <c r="X63" s="4"/>
      <c r="Y63" s="9">
        <f t="shared" si="3"/>
        <v>12.99</v>
      </c>
    </row>
    <row r="64" spans="1:25" ht="20.100000000000001" customHeight="1" x14ac:dyDescent="0.25">
      <c r="A64" s="4" t="s">
        <v>11</v>
      </c>
      <c r="B64" s="7" t="s">
        <v>147</v>
      </c>
      <c r="C64" s="4" t="s">
        <v>56</v>
      </c>
      <c r="D64" s="4" t="s">
        <v>56</v>
      </c>
      <c r="E64" s="4" t="s">
        <v>148</v>
      </c>
      <c r="F64" s="36"/>
      <c r="G64" s="4" t="s">
        <v>149</v>
      </c>
      <c r="H64" s="7" t="s">
        <v>50</v>
      </c>
      <c r="I64" s="4"/>
      <c r="J64" s="4" t="s">
        <v>143</v>
      </c>
      <c r="K64" s="7" t="s">
        <v>11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59</v>
      </c>
      <c r="Q64" s="7" t="s">
        <v>60</v>
      </c>
      <c r="R64" s="7" t="s">
        <v>53</v>
      </c>
      <c r="S64" s="4"/>
      <c r="T64" s="7" t="s">
        <v>61</v>
      </c>
      <c r="U64" s="5">
        <v>1000</v>
      </c>
      <c r="V64" s="5">
        <v>1000</v>
      </c>
      <c r="W64" s="10">
        <f t="shared" si="2"/>
        <v>1</v>
      </c>
      <c r="X64" s="4"/>
      <c r="Y64" s="9">
        <f t="shared" si="3"/>
        <v>12.99</v>
      </c>
    </row>
    <row r="65" spans="1:25" x14ac:dyDescent="0.25">
      <c r="A65" s="47" t="s">
        <v>56</v>
      </c>
      <c r="B65" s="51" t="s">
        <v>164</v>
      </c>
      <c r="C65" s="47" t="s">
        <v>56</v>
      </c>
      <c r="D65" s="48" t="s">
        <v>56</v>
      </c>
      <c r="E65" s="47" t="s">
        <v>104</v>
      </c>
      <c r="F65" s="49"/>
      <c r="G65" s="50" t="s">
        <v>105</v>
      </c>
      <c r="H65" s="51" t="s">
        <v>50</v>
      </c>
      <c r="J65" s="52"/>
      <c r="K65" s="53" t="s">
        <v>11</v>
      </c>
      <c r="N65" s="54">
        <v>1</v>
      </c>
      <c r="O65" s="7" t="str">
        <f>IF(OR(N65="",[1]Config!$B$3=""),"",IF(N65&lt;=[1]Config!$B$3,"⚠ REORDER",""))</f>
        <v>⚠ REORDER</v>
      </c>
      <c r="P65" s="55" t="s">
        <v>51</v>
      </c>
      <c r="Q65" s="56" t="s">
        <v>52</v>
      </c>
      <c r="R65" s="55" t="s">
        <v>53</v>
      </c>
      <c r="T65" s="55" t="s">
        <v>54</v>
      </c>
      <c r="U65" s="54">
        <v>1000</v>
      </c>
      <c r="V65" s="54">
        <v>0</v>
      </c>
      <c r="W65" s="10">
        <f t="shared" si="2"/>
        <v>0</v>
      </c>
      <c r="X65" s="4" t="s">
        <v>165</v>
      </c>
      <c r="Y65" s="6">
        <f t="shared" si="3"/>
        <v>0</v>
      </c>
    </row>
    <row r="66" spans="1:25" x14ac:dyDescent="0.25">
      <c r="N66" s="37"/>
      <c r="O66" s="7" t="str">
        <f>IF(OR(N66="",Config!$B$3=""),"",IF(N66&lt;=Config!$B$3,"⚠ REORDER",""))</f>
        <v/>
      </c>
      <c r="U66" s="37"/>
      <c r="V66" s="37"/>
      <c r="W66" s="10" t="str">
        <f t="shared" si="2"/>
        <v/>
      </c>
      <c r="Y66" s="6">
        <f t="shared" si="3"/>
        <v>0</v>
      </c>
    </row>
    <row r="67" spans="1:25" x14ac:dyDescent="0.25">
      <c r="N67" s="37"/>
      <c r="O67" s="7" t="str">
        <f>IF(OR(N67="",Config!$B$3=""),"",IF(N67&lt;=Config!$B$3,"⚠ REORDER",""))</f>
        <v/>
      </c>
      <c r="U67" s="37"/>
      <c r="V67" s="37"/>
      <c r="W67" s="10" t="str">
        <f t="shared" ref="W67:W98" si="4">IF(V67="","",IF(U67="","",V67/U67))</f>
        <v/>
      </c>
      <c r="Y67" s="6">
        <f t="shared" ref="Y67:Y98" si="5">IF(OR(M67="",N67=""),0,M67*N67)</f>
        <v>0</v>
      </c>
    </row>
    <row r="68" spans="1:25" x14ac:dyDescent="0.25">
      <c r="N68" s="37"/>
      <c r="O68" s="7" t="str">
        <f>IF(OR(N68="",Config!$B$3=""),"",IF(N68&lt;=Config!$B$3,"⚠ REORDER",""))</f>
        <v/>
      </c>
      <c r="U68" s="37"/>
      <c r="V68" s="37"/>
      <c r="W68" s="10" t="str">
        <f t="shared" si="4"/>
        <v/>
      </c>
      <c r="Y68" s="6">
        <f t="shared" si="5"/>
        <v>0</v>
      </c>
    </row>
    <row r="69" spans="1:25" x14ac:dyDescent="0.25">
      <c r="N69" s="37"/>
      <c r="O69" s="7" t="str">
        <f>IF(OR(N69="",Config!$B$3=""),"",IF(N69&lt;=Config!$B$3,"⚠ REORDER",""))</f>
        <v/>
      </c>
      <c r="U69" s="37"/>
      <c r="V69" s="37"/>
      <c r="W69" s="10" t="str">
        <f t="shared" si="4"/>
        <v/>
      </c>
      <c r="Y69" s="6">
        <f t="shared" si="5"/>
        <v>0</v>
      </c>
    </row>
    <row r="70" spans="1:25" x14ac:dyDescent="0.25">
      <c r="N70" s="37"/>
      <c r="O70" s="7" t="str">
        <f>IF(OR(N70="",Config!$B$3=""),"",IF(N70&lt;=Config!$B$3,"⚠ REORDER",""))</f>
        <v/>
      </c>
      <c r="U70" s="37"/>
      <c r="V70" s="37"/>
      <c r="W70" s="10" t="str">
        <f t="shared" si="4"/>
        <v/>
      </c>
      <c r="Y70" s="6">
        <f t="shared" si="5"/>
        <v>0</v>
      </c>
    </row>
    <row r="71" spans="1:25" x14ac:dyDescent="0.25">
      <c r="N71" s="37"/>
      <c r="O71" s="7" t="str">
        <f>IF(OR(N71="",Config!$B$3=""),"",IF(N71&lt;=Config!$B$3,"⚠ REORDER",""))</f>
        <v/>
      </c>
      <c r="U71" s="37"/>
      <c r="V71" s="37"/>
      <c r="W71" s="10" t="str">
        <f t="shared" si="4"/>
        <v/>
      </c>
      <c r="Y71" s="6">
        <f t="shared" si="5"/>
        <v>0</v>
      </c>
    </row>
    <row r="72" spans="1:25" x14ac:dyDescent="0.25">
      <c r="N72" s="37"/>
      <c r="O72" s="7" t="str">
        <f>IF(OR(N72="",Config!$B$3=""),"",IF(N72&lt;=Config!$B$3,"⚠ REORDER",""))</f>
        <v/>
      </c>
      <c r="U72" s="37"/>
      <c r="V72" s="37"/>
      <c r="W72" s="10" t="str">
        <f t="shared" si="4"/>
        <v/>
      </c>
      <c r="Y72" s="6">
        <f t="shared" si="5"/>
        <v>0</v>
      </c>
    </row>
    <row r="73" spans="1:25" x14ac:dyDescent="0.25">
      <c r="N73" s="37"/>
      <c r="O73" s="7" t="str">
        <f>IF(OR(N73="",Config!$B$3=""),"",IF(N73&lt;=Config!$B$3,"⚠ REORDER",""))</f>
        <v/>
      </c>
      <c r="U73" s="37"/>
      <c r="V73" s="37"/>
      <c r="W73" s="10" t="str">
        <f t="shared" si="4"/>
        <v/>
      </c>
      <c r="Y73" s="6">
        <f t="shared" si="5"/>
        <v>0</v>
      </c>
    </row>
    <row r="74" spans="1:25" x14ac:dyDescent="0.25">
      <c r="N74" s="37"/>
      <c r="O74" s="7" t="str">
        <f>IF(OR(N74="",Config!$B$3=""),"",IF(N74&lt;=Config!$B$3,"⚠ REORDER",""))</f>
        <v/>
      </c>
      <c r="U74" s="37"/>
      <c r="V74" s="37"/>
      <c r="W74" s="10" t="str">
        <f t="shared" si="4"/>
        <v/>
      </c>
      <c r="Y74" s="6">
        <f t="shared" si="5"/>
        <v>0</v>
      </c>
    </row>
    <row r="75" spans="1:25" x14ac:dyDescent="0.25">
      <c r="N75" s="37"/>
      <c r="O75" s="7" t="str">
        <f>IF(OR(N75="",Config!$B$3=""),"",IF(N75&lt;=Config!$B$3,"⚠ REORDER",""))</f>
        <v/>
      </c>
      <c r="U75" s="37"/>
      <c r="V75" s="37"/>
      <c r="W75" s="10" t="str">
        <f t="shared" si="4"/>
        <v/>
      </c>
      <c r="Y75" s="6">
        <f t="shared" si="5"/>
        <v>0</v>
      </c>
    </row>
    <row r="76" spans="1:25" x14ac:dyDescent="0.25">
      <c r="N76" s="37"/>
      <c r="O76" s="7" t="str">
        <f>IF(OR(N76="",Config!$B$3=""),"",IF(N76&lt;=Config!$B$3,"⚠ REORDER",""))</f>
        <v/>
      </c>
      <c r="U76" s="37"/>
      <c r="V76" s="37"/>
      <c r="W76" s="10" t="str">
        <f t="shared" si="4"/>
        <v/>
      </c>
      <c r="Y76" s="6">
        <f t="shared" si="5"/>
        <v>0</v>
      </c>
    </row>
    <row r="77" spans="1:25" x14ac:dyDescent="0.25">
      <c r="N77" s="37"/>
      <c r="O77" s="7" t="str">
        <f>IF(OR(N77="",Config!$B$3=""),"",IF(N77&lt;=Config!$B$3,"⚠ REORDER",""))</f>
        <v/>
      </c>
      <c r="U77" s="37"/>
      <c r="V77" s="37"/>
      <c r="W77" s="10" t="str">
        <f t="shared" si="4"/>
        <v/>
      </c>
      <c r="Y77" s="6">
        <f t="shared" si="5"/>
        <v>0</v>
      </c>
    </row>
    <row r="78" spans="1:25" x14ac:dyDescent="0.25">
      <c r="N78" s="37"/>
      <c r="O78" s="7" t="str">
        <f>IF(OR(N78="",Config!$B$3=""),"",IF(N78&lt;=Config!$B$3,"⚠ REORDER",""))</f>
        <v/>
      </c>
      <c r="U78" s="37"/>
      <c r="V78" s="37"/>
      <c r="W78" s="10" t="str">
        <f t="shared" si="4"/>
        <v/>
      </c>
      <c r="Y78" s="6">
        <f t="shared" si="5"/>
        <v>0</v>
      </c>
    </row>
    <row r="79" spans="1:25" x14ac:dyDescent="0.25">
      <c r="N79" s="37"/>
      <c r="O79" s="7" t="str">
        <f>IF(OR(N79="",Config!$B$3=""),"",IF(N79&lt;=Config!$B$3,"⚠ REORDER",""))</f>
        <v/>
      </c>
      <c r="U79" s="37"/>
      <c r="V79" s="37"/>
      <c r="W79" s="10" t="str">
        <f t="shared" si="4"/>
        <v/>
      </c>
      <c r="Y79" s="6">
        <f t="shared" si="5"/>
        <v>0</v>
      </c>
    </row>
    <row r="80" spans="1:25" x14ac:dyDescent="0.25">
      <c r="N80" s="37"/>
      <c r="O80" s="7" t="str">
        <f>IF(OR(N80="",Config!$B$3=""),"",IF(N80&lt;=Config!$B$3,"⚠ REORDER",""))</f>
        <v/>
      </c>
      <c r="U80" s="37"/>
      <c r="V80" s="37"/>
      <c r="W80" s="10" t="str">
        <f t="shared" si="4"/>
        <v/>
      </c>
      <c r="Y80" s="6">
        <f t="shared" si="5"/>
        <v>0</v>
      </c>
    </row>
    <row r="81" spans="14:25" x14ac:dyDescent="0.25">
      <c r="N81" s="37"/>
      <c r="O81" s="7" t="str">
        <f>IF(OR(N81="",Config!$B$3=""),"",IF(N81&lt;=Config!$B$3,"⚠ REORDER",""))</f>
        <v/>
      </c>
      <c r="U81" s="37"/>
      <c r="V81" s="37"/>
      <c r="W81" s="10" t="str">
        <f t="shared" si="4"/>
        <v/>
      </c>
      <c r="Y81" s="6">
        <f t="shared" si="5"/>
        <v>0</v>
      </c>
    </row>
    <row r="82" spans="14:25" x14ac:dyDescent="0.25">
      <c r="N82" s="37"/>
      <c r="O82" s="7" t="str">
        <f>IF(OR(N82="",Config!$B$3=""),"",IF(N82&lt;=Config!$B$3,"⚠ REORDER",""))</f>
        <v/>
      </c>
      <c r="U82" s="37"/>
      <c r="V82" s="37"/>
      <c r="W82" s="10" t="str">
        <f t="shared" si="4"/>
        <v/>
      </c>
      <c r="Y82" s="6">
        <f t="shared" si="5"/>
        <v>0</v>
      </c>
    </row>
    <row r="83" spans="14:25" x14ac:dyDescent="0.25">
      <c r="N83" s="37"/>
      <c r="O83" s="7" t="str">
        <f>IF(OR(N83="",Config!$B$3=""),"",IF(N83&lt;=Config!$B$3,"⚠ REORDER",""))</f>
        <v/>
      </c>
      <c r="U83" s="37"/>
      <c r="V83" s="37"/>
      <c r="W83" s="10" t="str">
        <f t="shared" si="4"/>
        <v/>
      </c>
      <c r="Y83" s="6">
        <f t="shared" si="5"/>
        <v>0</v>
      </c>
    </row>
    <row r="84" spans="14:25" x14ac:dyDescent="0.25">
      <c r="N84" s="37"/>
      <c r="O84" s="7" t="str">
        <f>IF(OR(N84="",Config!$B$3=""),"",IF(N84&lt;=Config!$B$3,"⚠ REORDER",""))</f>
        <v/>
      </c>
      <c r="U84" s="37"/>
      <c r="V84" s="37"/>
      <c r="W84" s="10" t="str">
        <f t="shared" si="4"/>
        <v/>
      </c>
      <c r="Y84" s="6">
        <f t="shared" si="5"/>
        <v>0</v>
      </c>
    </row>
    <row r="85" spans="14:25" x14ac:dyDescent="0.25">
      <c r="N85" s="37"/>
      <c r="O85" s="7" t="str">
        <f>IF(OR(N85="",Config!$B$3=""),"",IF(N85&lt;=Config!$B$3,"⚠ REORDER",""))</f>
        <v/>
      </c>
      <c r="U85" s="37"/>
      <c r="V85" s="37"/>
      <c r="W85" s="10" t="str">
        <f t="shared" si="4"/>
        <v/>
      </c>
      <c r="Y85" s="6">
        <f t="shared" si="5"/>
        <v>0</v>
      </c>
    </row>
    <row r="86" spans="14:25" x14ac:dyDescent="0.25">
      <c r="N86" s="37"/>
      <c r="O86" s="7" t="str">
        <f>IF(OR(N86="",Config!$B$3=""),"",IF(N86&lt;=Config!$B$3,"⚠ REORDER",""))</f>
        <v/>
      </c>
      <c r="U86" s="37"/>
      <c r="V86" s="37"/>
      <c r="W86" s="10" t="str">
        <f t="shared" si="4"/>
        <v/>
      </c>
      <c r="Y86" s="6">
        <f t="shared" si="5"/>
        <v>0</v>
      </c>
    </row>
    <row r="87" spans="14:25" x14ac:dyDescent="0.25">
      <c r="N87" s="37"/>
      <c r="O87" s="7" t="str">
        <f>IF(OR(N87="",Config!$B$3=""),"",IF(N87&lt;=Config!$B$3,"⚠ REORDER",""))</f>
        <v/>
      </c>
      <c r="U87" s="37"/>
      <c r="V87" s="37"/>
      <c r="W87" s="10" t="str">
        <f t="shared" si="4"/>
        <v/>
      </c>
      <c r="Y87" s="6">
        <f t="shared" si="5"/>
        <v>0</v>
      </c>
    </row>
    <row r="88" spans="14:25" x14ac:dyDescent="0.25">
      <c r="N88" s="37"/>
      <c r="O88" s="7" t="str">
        <f>IF(OR(N88="",Config!$B$3=""),"",IF(N88&lt;=Config!$B$3,"⚠ REORDER",""))</f>
        <v/>
      </c>
      <c r="U88" s="37"/>
      <c r="V88" s="37"/>
      <c r="W88" s="10" t="str">
        <f t="shared" si="4"/>
        <v/>
      </c>
      <c r="Y88" s="6">
        <f t="shared" si="5"/>
        <v>0</v>
      </c>
    </row>
    <row r="89" spans="14:25" x14ac:dyDescent="0.25">
      <c r="N89" s="37"/>
      <c r="O89" s="7" t="str">
        <f>IF(OR(N89="",Config!$B$3=""),"",IF(N89&lt;=Config!$B$3,"⚠ REORDER",""))</f>
        <v/>
      </c>
      <c r="U89" s="37"/>
      <c r="V89" s="37"/>
      <c r="W89" s="10" t="str">
        <f t="shared" si="4"/>
        <v/>
      </c>
      <c r="Y89" s="6">
        <f t="shared" si="5"/>
        <v>0</v>
      </c>
    </row>
    <row r="90" spans="14:25" x14ac:dyDescent="0.25">
      <c r="N90" s="37"/>
      <c r="O90" s="7" t="str">
        <f>IF(OR(N90="",Config!$B$3=""),"",IF(N90&lt;=Config!$B$3,"⚠ REORDER",""))</f>
        <v/>
      </c>
      <c r="U90" s="37"/>
      <c r="V90" s="37"/>
      <c r="W90" s="10" t="str">
        <f t="shared" si="4"/>
        <v/>
      </c>
      <c r="Y90" s="6">
        <f t="shared" si="5"/>
        <v>0</v>
      </c>
    </row>
    <row r="91" spans="14:25" x14ac:dyDescent="0.25">
      <c r="N91" s="37"/>
      <c r="O91" s="7" t="str">
        <f>IF(OR(N91="",Config!$B$3=""),"",IF(N91&lt;=Config!$B$3,"⚠ REORDER",""))</f>
        <v/>
      </c>
      <c r="U91" s="37"/>
      <c r="V91" s="37"/>
      <c r="W91" s="10" t="str">
        <f t="shared" si="4"/>
        <v/>
      </c>
      <c r="Y91" s="6">
        <f t="shared" si="5"/>
        <v>0</v>
      </c>
    </row>
    <row r="92" spans="14:25" x14ac:dyDescent="0.25">
      <c r="N92" s="37"/>
      <c r="O92" s="7" t="str">
        <f>IF(OR(N92="",Config!$B$3=""),"",IF(N92&lt;=Config!$B$3,"⚠ REORDER",""))</f>
        <v/>
      </c>
      <c r="U92" s="37"/>
      <c r="V92" s="37"/>
      <c r="W92" s="10" t="str">
        <f t="shared" si="4"/>
        <v/>
      </c>
      <c r="Y92" s="6">
        <f t="shared" si="5"/>
        <v>0</v>
      </c>
    </row>
    <row r="93" spans="14:25" x14ac:dyDescent="0.25">
      <c r="N93" s="37"/>
      <c r="O93" s="7" t="str">
        <f>IF(OR(N93="",Config!$B$3=""),"",IF(N93&lt;=Config!$B$3,"⚠ REORDER",""))</f>
        <v/>
      </c>
      <c r="U93" s="37"/>
      <c r="V93" s="37"/>
      <c r="W93" s="10" t="str">
        <f t="shared" si="4"/>
        <v/>
      </c>
      <c r="Y93" s="6">
        <f t="shared" si="5"/>
        <v>0</v>
      </c>
    </row>
    <row r="94" spans="14:25" x14ac:dyDescent="0.25">
      <c r="N94" s="37"/>
      <c r="O94" s="7" t="str">
        <f>IF(OR(N94="",Config!$B$3=""),"",IF(N94&lt;=Config!$B$3,"⚠ REORDER",""))</f>
        <v/>
      </c>
      <c r="U94" s="37"/>
      <c r="V94" s="37"/>
      <c r="W94" s="10" t="str">
        <f t="shared" si="4"/>
        <v/>
      </c>
      <c r="Y94" s="6">
        <f t="shared" si="5"/>
        <v>0</v>
      </c>
    </row>
    <row r="95" spans="14:25" x14ac:dyDescent="0.25">
      <c r="N95" s="37"/>
      <c r="O95" s="7" t="str">
        <f>IF(OR(N95="",Config!$B$3=""),"",IF(N95&lt;=Config!$B$3,"⚠ REORDER",""))</f>
        <v/>
      </c>
      <c r="U95" s="37"/>
      <c r="V95" s="37"/>
      <c r="W95" s="10" t="str">
        <f t="shared" si="4"/>
        <v/>
      </c>
      <c r="Y95" s="6">
        <f t="shared" si="5"/>
        <v>0</v>
      </c>
    </row>
    <row r="96" spans="14:25" x14ac:dyDescent="0.25">
      <c r="N96" s="37"/>
      <c r="O96" s="7" t="str">
        <f>IF(OR(N96="",Config!$B$3=""),"",IF(N96&lt;=Config!$B$3,"⚠ REORDER",""))</f>
        <v/>
      </c>
      <c r="U96" s="37"/>
      <c r="V96" s="37"/>
      <c r="W96" s="10" t="str">
        <f t="shared" si="4"/>
        <v/>
      </c>
      <c r="Y96" s="6">
        <f t="shared" si="5"/>
        <v>0</v>
      </c>
    </row>
    <row r="97" spans="14:25" x14ac:dyDescent="0.25">
      <c r="N97" s="37"/>
      <c r="O97" s="7" t="str">
        <f>IF(OR(N97="",Config!$B$3=""),"",IF(N97&lt;=Config!$B$3,"⚠ REORDER",""))</f>
        <v/>
      </c>
      <c r="U97" s="37"/>
      <c r="V97" s="37"/>
      <c r="W97" s="10" t="str">
        <f t="shared" si="4"/>
        <v/>
      </c>
      <c r="Y97" s="6">
        <f t="shared" si="5"/>
        <v>0</v>
      </c>
    </row>
    <row r="98" spans="14:25" x14ac:dyDescent="0.25">
      <c r="N98" s="37"/>
      <c r="O98" s="7" t="str">
        <f>IF(OR(N98="",Config!$B$3=""),"",IF(N98&lt;=Config!$B$3,"⚠ REORDER",""))</f>
        <v/>
      </c>
      <c r="U98" s="37"/>
      <c r="V98" s="37"/>
      <c r="W98" s="10" t="str">
        <f t="shared" si="4"/>
        <v/>
      </c>
      <c r="Y98" s="6">
        <f t="shared" si="5"/>
        <v>0</v>
      </c>
    </row>
    <row r="99" spans="14:25" x14ac:dyDescent="0.25">
      <c r="N99" s="37"/>
      <c r="O99" s="7" t="str">
        <f>IF(OR(N99="",Config!$B$3=""),"",IF(N99&lt;=Config!$B$3,"⚠ REORDER",""))</f>
        <v/>
      </c>
      <c r="U99" s="37"/>
      <c r="V99" s="37"/>
      <c r="W99" s="10" t="str">
        <f t="shared" ref="W99:W130" si="6">IF(V99="","",IF(U99="","",V99/U99))</f>
        <v/>
      </c>
      <c r="Y99" s="6">
        <f t="shared" ref="Y99:Y114" si="7">IF(OR(M99="",N99=""),0,M99*N99)</f>
        <v>0</v>
      </c>
    </row>
    <row r="100" spans="14:25" x14ac:dyDescent="0.25">
      <c r="N100" s="37"/>
      <c r="O100" s="7" t="str">
        <f>IF(OR(N100="",Config!$B$3=""),"",IF(N100&lt;=Config!$B$3,"⚠ REORDER",""))</f>
        <v/>
      </c>
      <c r="U100" s="37"/>
      <c r="V100" s="37"/>
      <c r="W100" s="10" t="str">
        <f t="shared" si="6"/>
        <v/>
      </c>
      <c r="Y100" s="6">
        <f t="shared" si="7"/>
        <v>0</v>
      </c>
    </row>
    <row r="101" spans="14:25" x14ac:dyDescent="0.25">
      <c r="N101" s="37"/>
      <c r="O101" s="7" t="str">
        <f>IF(OR(N101="",Config!$B$3=""),"",IF(N101&lt;=Config!$B$3,"⚠ REORDER",""))</f>
        <v/>
      </c>
      <c r="U101" s="37"/>
      <c r="V101" s="37"/>
      <c r="W101" s="10" t="str">
        <f t="shared" si="6"/>
        <v/>
      </c>
      <c r="Y101" s="6">
        <f t="shared" si="7"/>
        <v>0</v>
      </c>
    </row>
    <row r="102" spans="14:25" x14ac:dyDescent="0.25">
      <c r="N102" s="37"/>
      <c r="O102" s="7" t="str">
        <f>IF(OR(N102="",Config!$B$3=""),"",IF(N102&lt;=Config!$B$3,"⚠ REORDER",""))</f>
        <v/>
      </c>
      <c r="U102" s="37"/>
      <c r="V102" s="37"/>
      <c r="W102" s="10" t="str">
        <f t="shared" si="6"/>
        <v/>
      </c>
      <c r="Y102" s="6">
        <f t="shared" si="7"/>
        <v>0</v>
      </c>
    </row>
    <row r="103" spans="14:25" x14ac:dyDescent="0.25">
      <c r="N103" s="37"/>
      <c r="O103" s="7" t="str">
        <f>IF(OR(N103="",Config!$B$3=""),"",IF(N103&lt;=Config!$B$3,"⚠ REORDER",""))</f>
        <v/>
      </c>
      <c r="U103" s="37"/>
      <c r="V103" s="37"/>
      <c r="W103" s="10" t="str">
        <f t="shared" si="6"/>
        <v/>
      </c>
      <c r="Y103" s="6">
        <f t="shared" si="7"/>
        <v>0</v>
      </c>
    </row>
    <row r="104" spans="14:25" x14ac:dyDescent="0.25">
      <c r="N104" s="37"/>
      <c r="O104" s="7" t="str">
        <f>IF(OR(N104="",Config!$B$3=""),"",IF(N104&lt;=Config!$B$3,"⚠ REORDER",""))</f>
        <v/>
      </c>
      <c r="U104" s="37"/>
      <c r="V104" s="37"/>
      <c r="W104" s="10" t="str">
        <f t="shared" si="6"/>
        <v/>
      </c>
      <c r="Y104" s="6">
        <f t="shared" si="7"/>
        <v>0</v>
      </c>
    </row>
    <row r="105" spans="14:25" x14ac:dyDescent="0.25">
      <c r="N105" s="37"/>
      <c r="O105" s="7" t="str">
        <f>IF(OR(N105="",Config!$B$3=""),"",IF(N105&lt;=Config!$B$3,"⚠ REORDER",""))</f>
        <v/>
      </c>
      <c r="U105" s="37"/>
      <c r="V105" s="37"/>
      <c r="W105" s="10" t="str">
        <f t="shared" si="6"/>
        <v/>
      </c>
      <c r="Y105" s="6">
        <f t="shared" si="7"/>
        <v>0</v>
      </c>
    </row>
    <row r="106" spans="14:25" x14ac:dyDescent="0.25">
      <c r="N106" s="37"/>
      <c r="O106" s="7" t="str">
        <f>IF(OR(N106="",Config!$B$3=""),"",IF(N106&lt;=Config!$B$3,"⚠ REORDER",""))</f>
        <v/>
      </c>
      <c r="U106" s="37"/>
      <c r="V106" s="37"/>
      <c r="W106" s="10" t="str">
        <f t="shared" si="6"/>
        <v/>
      </c>
      <c r="Y106" s="6">
        <f t="shared" si="7"/>
        <v>0</v>
      </c>
    </row>
    <row r="107" spans="14:25" x14ac:dyDescent="0.25">
      <c r="N107" s="37"/>
      <c r="O107" s="7" t="str">
        <f>IF(OR(N107="",Config!$B$3=""),"",IF(N107&lt;=Config!$B$3,"⚠ REORDER",""))</f>
        <v/>
      </c>
      <c r="U107" s="37"/>
      <c r="V107" s="37"/>
      <c r="W107" s="10" t="str">
        <f t="shared" si="6"/>
        <v/>
      </c>
      <c r="Y107" s="6">
        <f t="shared" si="7"/>
        <v>0</v>
      </c>
    </row>
    <row r="108" spans="14:25" x14ac:dyDescent="0.25">
      <c r="N108" s="37"/>
      <c r="O108" s="7" t="str">
        <f>IF(OR(N108="",Config!$B$3=""),"",IF(N108&lt;=Config!$B$3,"⚠ REORDER",""))</f>
        <v/>
      </c>
      <c r="U108" s="37"/>
      <c r="V108" s="37"/>
      <c r="W108" s="10" t="str">
        <f t="shared" si="6"/>
        <v/>
      </c>
      <c r="Y108" s="6">
        <f t="shared" si="7"/>
        <v>0</v>
      </c>
    </row>
    <row r="109" spans="14:25" x14ac:dyDescent="0.25">
      <c r="N109" s="37"/>
      <c r="O109" s="7" t="str">
        <f>IF(OR(N109="",Config!$B$3=""),"",IF(N109&lt;=Config!$B$3,"⚠ REORDER",""))</f>
        <v/>
      </c>
      <c r="U109" s="37"/>
      <c r="V109" s="37"/>
      <c r="W109" s="10" t="str">
        <f t="shared" si="6"/>
        <v/>
      </c>
      <c r="Y109" s="6">
        <f t="shared" si="7"/>
        <v>0</v>
      </c>
    </row>
    <row r="110" spans="14:25" x14ac:dyDescent="0.25">
      <c r="N110" s="37"/>
      <c r="O110" s="7" t="str">
        <f>IF(OR(N110="",Config!$B$3=""),"",IF(N110&lt;=Config!$B$3,"⚠ REORDER",""))</f>
        <v/>
      </c>
      <c r="U110" s="37"/>
      <c r="V110" s="37"/>
      <c r="W110" s="10" t="str">
        <f t="shared" si="6"/>
        <v/>
      </c>
      <c r="Y110" s="6">
        <f t="shared" si="7"/>
        <v>0</v>
      </c>
    </row>
    <row r="111" spans="14:25" x14ac:dyDescent="0.25">
      <c r="N111" s="37"/>
      <c r="O111" s="7" t="str">
        <f>IF(OR(N111="",Config!$B$3=""),"",IF(N111&lt;=Config!$B$3,"⚠ REORDER",""))</f>
        <v/>
      </c>
      <c r="U111" s="37"/>
      <c r="V111" s="37"/>
      <c r="W111" s="10" t="str">
        <f t="shared" si="6"/>
        <v/>
      </c>
      <c r="Y111" s="6">
        <f t="shared" si="7"/>
        <v>0</v>
      </c>
    </row>
    <row r="112" spans="14:25" x14ac:dyDescent="0.25">
      <c r="N112" s="37"/>
      <c r="O112" s="7" t="str">
        <f>IF(OR(N112="",Config!$B$3=""),"",IF(N112&lt;=Config!$B$3,"⚠ REORDER",""))</f>
        <v/>
      </c>
      <c r="U112" s="37"/>
      <c r="V112" s="37"/>
      <c r="W112" s="10" t="str">
        <f t="shared" si="6"/>
        <v/>
      </c>
      <c r="Y112" s="6">
        <f t="shared" si="7"/>
        <v>0</v>
      </c>
    </row>
    <row r="113" spans="14:25" x14ac:dyDescent="0.25">
      <c r="N113" s="37"/>
      <c r="O113" s="7" t="str">
        <f>IF(OR(N113="",Config!$B$3=""),"",IF(N113&lt;=Config!$B$3,"⚠ REORDER",""))</f>
        <v/>
      </c>
      <c r="U113" s="37"/>
      <c r="V113" s="37"/>
      <c r="W113" s="10" t="str">
        <f t="shared" si="6"/>
        <v/>
      </c>
      <c r="Y113" s="6">
        <f t="shared" si="7"/>
        <v>0</v>
      </c>
    </row>
    <row r="114" spans="14:25" x14ac:dyDescent="0.25">
      <c r="N114" s="37"/>
      <c r="O114" s="7" t="str">
        <f>IF(OR(N114="",Config!$B$3=""),"",IF(N114&lt;=Config!$B$3,"⚠ REORDER",""))</f>
        <v/>
      </c>
      <c r="U114" s="37"/>
      <c r="V114" s="37"/>
      <c r="W114" s="10" t="str">
        <f t="shared" si="6"/>
        <v/>
      </c>
      <c r="Y114" s="6">
        <f t="shared" si="7"/>
        <v>0</v>
      </c>
    </row>
  </sheetData>
  <autoFilter ref="A2:Y114" xr:uid="{00000000-0009-0000-0000-000001000000}"/>
  <mergeCells count="1">
    <mergeCell ref="A1:Y1"/>
  </mergeCells>
  <conditionalFormatting sqref="O3:O64 O66:O114">
    <cfRule type="containsText" dxfId="1" priority="2" operator="containsText" text="REORDER">
      <formula>NOT(ISERROR(SEARCH("REORDER",O3)))</formula>
    </cfRule>
  </conditionalFormatting>
  <conditionalFormatting sqref="O65">
    <cfRule type="containsText" dxfId="0" priority="1" operator="containsText" text="REORDER">
      <formula>NOT(ISERROR(SEARCH("REORDER",O65)))</formula>
    </cfRule>
  </conditionalFormatting>
  <dataValidations count="6">
    <dataValidation type="list" allowBlank="1" sqref="A3:A64 A66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46" t="s">
        <v>150</v>
      </c>
      <c r="B1" s="41"/>
      <c r="C1" s="41"/>
    </row>
    <row r="2" spans="1:3" ht="21.95" customHeight="1" x14ac:dyDescent="0.25">
      <c r="A2" s="3" t="s">
        <v>151</v>
      </c>
      <c r="B2" s="3" t="s">
        <v>152</v>
      </c>
      <c r="C2" s="3" t="s">
        <v>44</v>
      </c>
    </row>
    <row r="3" spans="1:3" ht="18" customHeight="1" x14ac:dyDescent="0.25">
      <c r="A3" s="1" t="s">
        <v>153</v>
      </c>
      <c r="B3" s="2">
        <v>1</v>
      </c>
      <c r="C3" s="38" t="s">
        <v>154</v>
      </c>
    </row>
    <row r="4" spans="1:3" ht="18" customHeight="1" x14ac:dyDescent="0.25">
      <c r="A4" s="1" t="s">
        <v>155</v>
      </c>
      <c r="B4" s="39" t="s">
        <v>156</v>
      </c>
      <c r="C4" s="38" t="s">
        <v>157</v>
      </c>
    </row>
    <row r="5" spans="1:3" ht="18" customHeight="1" x14ac:dyDescent="0.25">
      <c r="A5" s="1" t="s">
        <v>158</v>
      </c>
      <c r="B5" s="39" t="s">
        <v>159</v>
      </c>
      <c r="C5" s="38" t="s">
        <v>160</v>
      </c>
    </row>
    <row r="6" spans="1:3" ht="18" customHeight="1" x14ac:dyDescent="0.25">
      <c r="A6" s="1" t="s">
        <v>161</v>
      </c>
      <c r="B6" s="39" t="s">
        <v>162</v>
      </c>
      <c r="C6" s="38" t="s">
        <v>163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2026-08-10T21:44:59Z</dcterms:modified>
</cp:coreProperties>
</file>