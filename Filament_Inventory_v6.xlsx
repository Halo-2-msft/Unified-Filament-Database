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Inventory" sheetId="2" state="visible" r:id="rId4"/>
    <sheet name="Config" sheetId="3" state="visible" r:id="rId5"/>
  </sheets>
  <definedNames>
    <definedName function="false" hidden="true" localSheetId="1" name="_xlnm._FilterDatabase" vbProcedure="false">Inventory!$A$2:$Y$115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<sst xmlns="http://schemas.openxmlformats.org/spreadsheetml/2006/main" count="1132" uniqueCount="204">
  <si>
    <t xml:space="preserve">Filament Inventory — Dashboard</t>
  </si>
  <si>
    <t xml:space="preserve">  SUMMARY</t>
  </si>
  <si>
    <t xml:space="preserve">Total Spools in Stock</t>
  </si>
  <si>
    <t xml:space="preserve">Total Inventory Value</t>
  </si>
  <si>
    <t xml:space="preserve">Items at Reorder Point</t>
  </si>
  <si>
    <t xml:space="preserve">Reorder Threshold (from Config)</t>
  </si>
  <si>
    <t xml:space="preserve">  BY BRAND</t>
  </si>
  <si>
    <t xml:space="preserve">Brand</t>
  </si>
  <si>
    <t xml:space="preserve">Spools in Stock</t>
  </si>
  <si>
    <t xml:space="preserve">Total Value</t>
  </si>
  <si>
    <t xml:space="preserve">AzureFilm</t>
  </si>
  <si>
    <t xml:space="preserve">Bambu Lab</t>
  </si>
  <si>
    <t xml:space="preserve">Creality Hyper</t>
  </si>
  <si>
    <t xml:space="preserve">Hatchbox</t>
  </si>
  <si>
    <t xml:space="preserve">MatterHackers</t>
  </si>
  <si>
    <t xml:space="preserve">Overture</t>
  </si>
  <si>
    <t xml:space="preserve">Polymaker</t>
  </si>
  <si>
    <t xml:space="preserve">Prusament</t>
  </si>
  <si>
    <t xml:space="preserve">SUNLU</t>
  </si>
  <si>
    <t xml:space="preserve">VoxelPLA</t>
  </si>
  <si>
    <t xml:space="preserve">eSUN</t>
  </si>
  <si>
    <t xml:space="preserve">Filament Inventory — On-Hand Spools (All Brands)</t>
  </si>
  <si>
    <t xml:space="preserve">SKU</t>
  </si>
  <si>
    <t xml:space="preserve">Material Type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</si>
  <si>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</si>
  <si>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</si>
  <si>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</si>
  <si>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</si>
  <si>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</si>
  <si>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Lot / Batch Code</t>
  </si>
  <si>
    <t xml:space="preserve">Date Purchased</t>
  </si>
  <si>
    <t xml:space="preserve">Where Purchased</t>
  </si>
  <si>
    <t xml:space="preserve">List Price</t>
  </si>
  <si>
    <t xml:space="preserve">Price Paid</t>
  </si>
  <si>
    <t xml:space="preserve">Quantity in Stock</t>
  </si>
  <si>
    <t xml:space="preserve">Reorder Flag</t>
  </si>
  <si>
    <t xml:space="preserve">Opened / Sealed</t>
  </si>
  <si>
    <t xml:space="preserve">Condition</t>
  </si>
  <si>
    <t xml:space="preserve">Moisture Rating</t>
  </si>
  <si>
    <t xml:space="preserve">Last Dried Date</t>
  </si>
  <si>
    <t xml:space="preserve">Package Type</t>
  </si>
  <si>
    <t xml:space="preserve">Net Weight (g)</t>
  </si>
  <si>
    <t xml:space="preserve">Est. Remaining (g)</t>
  </si>
  <si>
    <t xml:space="preserve">Est. Remaining %</t>
  </si>
  <si>
    <t xml:space="preserve">Notes</t>
  </si>
  <si>
    <t xml:space="preserve">SL-PETG-01</t>
  </si>
  <si>
    <t xml:space="preserve">PETG</t>
  </si>
  <si>
    <t xml:space="preserve">SUNLU PETG</t>
  </si>
  <si>
    <t xml:space="preserve">White</t>
  </si>
  <si>
    <t xml:space="preserve">#F5F5F5</t>
  </si>
  <si>
    <t xml:space="preserve">1.75mm</t>
  </si>
  <si>
    <t xml:space="preserve">Opened</t>
  </si>
  <si>
    <t xml:space="preserve">Good</t>
  </si>
  <si>
    <t xml:space="preserve">Dry</t>
  </si>
  <si>
    <t xml:space="preserve">Spool</t>
  </si>
  <si>
    <t xml:space="preserve">Depleted 2026-08-08, refill pending</t>
  </si>
  <si>
    <t xml:space="preserve">BL-PLAB-LG</t>
  </si>
  <si>
    <t xml:space="preserve">PLA Basic</t>
  </si>
  <si>
    <t xml:space="preserve">Light Gray</t>
  </si>
  <si>
    <t xml:space="preserve">#D1D3D5</t>
  </si>
  <si>
    <t xml:space="preserve">Sealed</t>
  </si>
  <si>
    <t xml:space="preserve">New</t>
  </si>
  <si>
    <t xml:space="preserve">Refill</t>
  </si>
  <si>
    <t xml:space="preserve">BL-PLAB-BZ</t>
  </si>
  <si>
    <t xml:space="preserve">Bronze</t>
  </si>
  <si>
    <t xml:space="preserve">#847D48</t>
  </si>
  <si>
    <t xml:space="preserve">BL-PLAB-TQ</t>
  </si>
  <si>
    <t xml:space="preserve">Turquoise</t>
  </si>
  <si>
    <t xml:space="preserve">#00B1B7</t>
  </si>
  <si>
    <t xml:space="preserve">Mounted 9/24/2026</t>
  </si>
  <si>
    <t xml:space="preserve">BL-PLAB-PO</t>
  </si>
  <si>
    <t xml:space="preserve">Pumpkin Orange</t>
  </si>
  <si>
    <t xml:space="preserve">#FF9016</t>
  </si>
  <si>
    <t xml:space="preserve">BL-PLAB-CB</t>
  </si>
  <si>
    <t xml:space="preserve">Cocoa Brown</t>
  </si>
  <si>
    <t xml:space="preserve">#6F5034</t>
  </si>
  <si>
    <t xml:space="preserve">Depleted 2026-08-010, refill pending</t>
  </si>
  <si>
    <t xml:space="preserve">BL-PLAB-MA</t>
  </si>
  <si>
    <t xml:space="preserve">Magenta</t>
  </si>
  <si>
    <t xml:space="preserve">#EC008C</t>
  </si>
  <si>
    <t xml:space="preserve">BL-PLAB-DG</t>
  </si>
  <si>
    <t xml:space="preserve">Dark Gray</t>
  </si>
  <si>
    <t xml:space="preserve">#545454</t>
  </si>
  <si>
    <t xml:space="preserve">BL-PLAB-SY</t>
  </si>
  <si>
    <t xml:space="preserve">Sunflower Yellow</t>
  </si>
  <si>
    <t xml:space="preserve">#FEC600</t>
  </si>
  <si>
    <t xml:space="preserve">BL-PLAB-GN</t>
  </si>
  <si>
    <t xml:space="preserve">Bambu Green</t>
  </si>
  <si>
    <t xml:space="preserve">#00AE42</t>
  </si>
  <si>
    <t xml:space="preserve">BL-PLAB-MG</t>
  </si>
  <si>
    <t xml:space="preserve">Mistletoe Green</t>
  </si>
  <si>
    <t xml:space="preserve">#3F8E43</t>
  </si>
  <si>
    <t xml:space="preserve">Mounted 9/14/26</t>
  </si>
  <si>
    <t xml:space="preserve">BL-PLAB-RD</t>
  </si>
  <si>
    <t xml:space="preserve">Red</t>
  </si>
  <si>
    <t xml:space="preserve">#C12E1F</t>
  </si>
  <si>
    <t xml:space="preserve">BL-PETG-RFB</t>
  </si>
  <si>
    <t xml:space="preserve">PETG Basic</t>
  </si>
  <si>
    <t xml:space="preserve">Reflex Blue</t>
  </si>
  <si>
    <t xml:space="preserve">#001489</t>
  </si>
  <si>
    <t xml:space="preserve">BL-PETG-WH</t>
  </si>
  <si>
    <t xml:space="preserve">#FFFFFF</t>
  </si>
  <si>
    <t xml:space="preserve">Opened 2026-08-17</t>
  </si>
  <si>
    <t xml:space="preserve">SL-PETG-16</t>
  </si>
  <si>
    <t xml:space="preserve">Lavender Purple(Purple)</t>
  </si>
  <si>
    <t xml:space="preserve">#685BC7</t>
  </si>
  <si>
    <t xml:space="preserve">Hex is catalog placeholder (#999999 = unconfirmed), not a real swatch color</t>
  </si>
  <si>
    <t xml:space="preserve">SL-PETG-02</t>
  </si>
  <si>
    <t xml:space="preserve">Black</t>
  </si>
  <si>
    <t xml:space="preserve">#000000</t>
  </si>
  <si>
    <t xml:space="preserve">SL-PETG-19</t>
  </si>
  <si>
    <t xml:space="preserve">Oak</t>
  </si>
  <si>
    <t xml:space="preserve">#C2B29A</t>
  </si>
  <si>
    <t xml:space="preserve">SL-PETG-13</t>
  </si>
  <si>
    <t xml:space="preserve">Coffee Brown</t>
  </si>
  <si>
    <t xml:space="preserve">#362111</t>
  </si>
  <si>
    <t xml:space="preserve">SL-PETG-05</t>
  </si>
  <si>
    <t xml:space="preserve">Klein Blue</t>
  </si>
  <si>
    <t xml:space="preserve">#1729AB</t>
  </si>
  <si>
    <t xml:space="preserve">SL-PETG-10</t>
  </si>
  <si>
    <t xml:space="preserve">Bone White</t>
  </si>
  <si>
    <t xml:space="preserve">#EEE7D4</t>
  </si>
  <si>
    <t xml:space="preserve">SL-PLA-22</t>
  </si>
  <si>
    <t xml:space="preserve">PLA</t>
  </si>
  <si>
    <t xml:space="preserve">SUNLU PLA</t>
  </si>
  <si>
    <t xml:space="preserve">Olive Green</t>
  </si>
  <si>
    <t xml:space="preserve">#5A6D3D</t>
  </si>
  <si>
    <t xml:space="preserve">Mounted 9/24/2026 Catalog lists this color as "Oliver Green" (SL-PLA-22) — likely a brand-catalog typo for Olive Green; matched on color/hex</t>
  </si>
  <si>
    <t xml:space="preserve">SL-PLAP2-02</t>
  </si>
  <si>
    <t xml:space="preserve">PLA+ 2.0</t>
  </si>
  <si>
    <t xml:space="preserve">SUNLU PLA+ 2.0</t>
  </si>
  <si>
    <t xml:space="preserve">Depleted 9/19/2026 Physical spool + box label confirm "PLA+2.0" — corrects the prior 2026-08-02 fix, which had wrongly reassigned this to the plain "PLA+" line (SL-PLAP-02) based on the ambiguous user-entered SKU. Verified via IMG_0209.JPG / IMG_0210.JPG, 2026-08-04.</t>
  </si>
  <si>
    <t xml:space="preserve">Mounted 9/19/26Physical spool + box label confirm "PLA+2.0" — corrects the prior 2026-08-02 fix, which had wrongly reassigned this to the plain "PLA+" line (SL-PLAP-02) based on the ambiguous user-entered SKU. Verified via IMG_0209.JPG / IMG_0210.JPG, 2026-08-04.</t>
  </si>
  <si>
    <t xml:space="preserve">SL-PLAP2-01</t>
  </si>
  <si>
    <t xml:space="preserve">Depleted 8/19/26 refill pending. Material Type corrected from "PLA 2+" — SL-PLAP2-01 belongs to the separate "PLA+ 2.0" line</t>
  </si>
  <si>
    <t xml:space="preserve">Depleted 8/23/2026. Material Type corrected from "PLA 2+" — SL-PLAP2-01 belongs to the separate "PLA+ 2.0" line</t>
  </si>
  <si>
    <t xml:space="preserve">Depleted 9/12/2026. Material Type corrected from "PLA 2+" — SL-PLAP2-01 belongs to the separate "PLA+ 2.0" line</t>
  </si>
  <si>
    <t xml:space="preserve">Mounted 9/12/2026. Material Type corrected from "PLA 2+" — SL-PLAP2-01 belongs to the separate "PLA+ 2.0" line</t>
  </si>
  <si>
    <t xml:space="preserve">BL-PLAB-IP</t>
  </si>
  <si>
    <t xml:space="preserve">Indigo Purple</t>
  </si>
  <si>
    <t xml:space="preserve">#482960</t>
  </si>
  <si>
    <t xml:space="preserve">Mounted 9/20/26</t>
  </si>
  <si>
    <t xml:space="preserve">BL-PLAB-WH</t>
  </si>
  <si>
    <t xml:space="preserve">Jade White</t>
  </si>
  <si>
    <t xml:space="preserve">Mounted 2026-08-21</t>
  </si>
  <si>
    <t xml:space="preserve">Mounted 2026-08-10</t>
  </si>
  <si>
    <t xml:space="preserve">BL-PETG-YL</t>
  </si>
  <si>
    <t xml:space="preserve">Yellow</t>
  </si>
  <si>
    <t xml:space="preserve">#FCE300</t>
  </si>
  <si>
    <t xml:space="preserve">SL-PETG-15</t>
  </si>
  <si>
    <t xml:space="preserve">Cyan</t>
  </si>
  <si>
    <t xml:space="preserve">#00A3E0</t>
  </si>
  <si>
    <t xml:space="preserve">BL-PETG-RD</t>
  </si>
  <si>
    <t xml:space="preserve">#D6001C</t>
  </si>
  <si>
    <t xml:space="preserve">BL-PLAB-BL</t>
  </si>
  <si>
    <t xml:space="preserve">Blue</t>
  </si>
  <si>
    <t xml:space="preserve">#0A2989</t>
  </si>
  <si>
    <t xml:space="preserve">Mounted 9/19/26</t>
  </si>
  <si>
    <t xml:space="preserve">BL-PLAB-GY</t>
  </si>
  <si>
    <t xml:space="preserve">Gray</t>
  </si>
  <si>
    <t xml:space="preserve">#8E9089</t>
  </si>
  <si>
    <t xml:space="preserve">BL-PLAB-BK</t>
  </si>
  <si>
    <t xml:space="preserve">Depleted 9/19/26</t>
  </si>
  <si>
    <t xml:space="preserve">SL-PETG-07</t>
  </si>
  <si>
    <t xml:space="preserve">Transparent</t>
  </si>
  <si>
    <t xml:space="preserve">05060514E</t>
  </si>
  <si>
    <t xml:space="preserve">Amazon</t>
  </si>
  <si>
    <t xml:space="preserve">SL-PLAP2-11</t>
  </si>
  <si>
    <t xml:space="preserve">#F653B2</t>
  </si>
  <si>
    <t xml:space="preserve">00660601E2</t>
  </si>
  <si>
    <t xml:space="preserve">Mounted 8/21/2026</t>
  </si>
  <si>
    <t xml:space="preserve">Delivered 8/29/2026</t>
  </si>
  <si>
    <t xml:space="preserve">Mounted 10/8/2026</t>
  </si>
  <si>
    <t xml:space="preserve">BL-PETGM-AVG</t>
  </si>
  <si>
    <t xml:space="preserve">PETG Matte</t>
  </si>
  <si>
    <t xml:space="preserve">Avocado Green</t>
  </si>
  <si>
    <t xml:space="preserve">#999999</t>
  </si>
  <si>
    <t xml:space="preserve">Purchased 10/3/2026</t>
  </si>
  <si>
    <t xml:space="preserve">BL-PETGM-BBL</t>
  </si>
  <si>
    <t xml:space="preserve">Baby Blue</t>
  </si>
  <si>
    <t xml:space="preserve">BL-PETGM-BK</t>
  </si>
  <si>
    <t xml:space="preserve">BL-PETGM-GY</t>
  </si>
  <si>
    <t xml:space="preserve">Grey</t>
  </si>
  <si>
    <t xml:space="preserve">BL-PETGM-LM</t>
  </si>
  <si>
    <t xml:space="preserve">Lime</t>
  </si>
  <si>
    <t xml:space="preserve">BL-PETGM-PK</t>
  </si>
  <si>
    <t xml:space="preserve">Pink</t>
  </si>
  <si>
    <t xml:space="preserve">BL-PETGM-VI</t>
  </si>
  <si>
    <t xml:space="preserve">Violet</t>
  </si>
  <si>
    <t xml:space="preserve">BL-PETGM-WH</t>
  </si>
  <si>
    <t xml:space="preserve">⚙  Configuration</t>
  </si>
  <si>
    <t xml:space="preserve">Setting</t>
  </si>
  <si>
    <t xml:space="preserve">Value</t>
  </si>
  <si>
    <t xml:space="preserve">Reorder Threshold</t>
  </si>
  <si>
    <t xml:space="preserve">Reorder Flag fires when Qty in Stock &lt;= this value</t>
  </si>
  <si>
    <t xml:space="preserve">File Version</t>
  </si>
  <si>
    <t xml:space="preserve">v2</t>
  </si>
  <si>
    <t xml:space="preserve">v2 = 2026-08-02 schema extension (Package Type / Net Weight (g) / Est. Remaining (g) / Est. Remaining % added)</t>
  </si>
  <si>
    <t xml:space="preserve">Generated</t>
  </si>
  <si>
    <t xml:space="preserve">2026-08-08</t>
  </si>
  <si>
    <t xml:space="preserve">Date this file was last generated by build_inventory.py</t>
  </si>
  <si>
    <t xml:space="preserve">Scope Note</t>
  </si>
  <si>
    <t xml:space="preserve">Covers on-hand spool inventory only, across all 11 brand catalogs. Catalog reference data (colors, hex, SKUs, tiers) lives in the per-brand workbooks.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</si>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</sst>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\$#,##0.00"/>
    <numFmt numFmtId="167" formatCode="#,##0"/>
    <numFmt numFmtId="168" formatCode="m/d/yyyy"/>
    <numFmt numFmtId="169" formatCode="#,##0.00"/>
    <numFmt numFmtId="170" formatCode="0.0%"/>
    <numFmt numFmtId="171" formatCode="yyyy\-mm\-dd\ h:mm:ss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444444"/>
      <name val="Arial"/>
      <family val="0"/>
      <charset val="1"/>
    </font>
    <font>
      <sz val="10"/>
      <color rgb="FF444444"/>
      <name val="Arial"/>
      <family val="2"/>
      <charset val="1"/>
    </font>
    <font>
      <sz val="9"/>
      <color rgb="FF444444"/>
      <name val="Arial"/>
      <family val="2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0A2989"/>
      </patternFill>
    </fill>
    <fill>
      <patternFill patternType="solid">
        <fgColor rgb="FF2F5496"/>
        <bgColor rgb="FF1F3864"/>
      </patternFill>
    </fill>
    <fill>
      <patternFill patternType="solid">
        <fgColor rgb="FFFFF2CC"/>
        <bgColor rgb="FFEEE7D4"/>
      </patternFill>
    </fill>
    <fill>
      <patternFill patternType="solid">
        <fgColor rgb="FFF5F5F5"/>
        <bgColor rgb="FFEEF4FB"/>
      </patternFill>
    </fill>
    <fill>
      <patternFill patternType="solid">
        <fgColor rgb="FFD1D3D5"/>
        <bgColor rgb="FFB8CCE4"/>
      </patternFill>
    </fill>
    <fill>
      <patternFill patternType="solid">
        <fgColor rgb="FF847D48"/>
        <bgColor rgb="FF7F7F7F"/>
      </patternFill>
    </fill>
    <fill>
      <patternFill patternType="solid">
        <fgColor rgb="FF00B1B7"/>
        <bgColor rgb="FF00A3E0"/>
      </patternFill>
    </fill>
    <fill>
      <patternFill patternType="solid">
        <fgColor rgb="FFFF9016"/>
        <bgColor rgb="FFFEC600"/>
      </patternFill>
    </fill>
    <fill>
      <patternFill patternType="solid">
        <fgColor rgb="FF6F5034"/>
        <bgColor rgb="FF545454"/>
      </patternFill>
    </fill>
    <fill>
      <patternFill patternType="solid">
        <fgColor rgb="FFEC008C"/>
        <bgColor rgb="FFD6001C"/>
      </patternFill>
    </fill>
    <fill>
      <patternFill patternType="solid">
        <fgColor rgb="FF545454"/>
        <bgColor rgb="FF444444"/>
      </patternFill>
    </fill>
    <fill>
      <patternFill patternType="solid">
        <fgColor rgb="FFFEC600"/>
        <bgColor rgb="FFFCE300"/>
      </patternFill>
    </fill>
    <fill>
      <patternFill patternType="solid">
        <fgColor rgb="FF00AE42"/>
        <bgColor rgb="FF00B1B7"/>
      </patternFill>
    </fill>
    <fill>
      <patternFill patternType="solid">
        <fgColor rgb="FF3F8E43"/>
        <bgColor rgb="FF5A6D3D"/>
      </patternFill>
    </fill>
    <fill>
      <patternFill patternType="solid">
        <fgColor rgb="FFC12E1F"/>
        <bgColor rgb="FFD6001C"/>
      </patternFill>
    </fill>
    <fill>
      <patternFill patternType="solid">
        <fgColor rgb="FF001489"/>
        <bgColor rgb="FF000080"/>
      </patternFill>
    </fill>
    <fill>
      <patternFill patternType="solid">
        <fgColor rgb="FFFFFFFF"/>
        <bgColor rgb="FFF5F5F5"/>
      </patternFill>
    </fill>
    <fill>
      <patternFill patternType="solid">
        <fgColor rgb="FF685BC7"/>
        <bgColor rgb="FF2F5496"/>
      </patternFill>
    </fill>
    <fill>
      <patternFill patternType="solid">
        <fgColor rgb="FF000000"/>
        <bgColor rgb="FF362111"/>
      </patternFill>
    </fill>
    <fill>
      <patternFill patternType="solid">
        <fgColor rgb="FFC2B29A"/>
        <bgColor rgb="FFB8CCE4"/>
      </patternFill>
    </fill>
    <fill>
      <patternFill patternType="solid">
        <fgColor rgb="FF362111"/>
        <bgColor rgb="FF482960"/>
      </patternFill>
    </fill>
    <fill>
      <patternFill patternType="solid">
        <fgColor rgb="FF1729AB"/>
        <bgColor rgb="FF0A2989"/>
      </patternFill>
    </fill>
    <fill>
      <patternFill patternType="solid">
        <fgColor rgb="FFEEE7D4"/>
        <bgColor rgb="FFFAE0E3"/>
      </patternFill>
    </fill>
    <fill>
      <patternFill patternType="solid">
        <fgColor rgb="FF5A6D3D"/>
        <bgColor rgb="FF545454"/>
      </patternFill>
    </fill>
    <fill>
      <patternFill patternType="solid">
        <fgColor rgb="FF482960"/>
        <bgColor rgb="FF444444"/>
      </patternFill>
    </fill>
    <fill>
      <patternFill patternType="solid">
        <fgColor rgb="FFFCE300"/>
        <bgColor rgb="FFFFFF00"/>
      </patternFill>
    </fill>
    <fill>
      <patternFill patternType="solid">
        <fgColor rgb="FF00A3E0"/>
        <bgColor rgb="FF00B1B7"/>
      </patternFill>
    </fill>
    <fill>
      <patternFill patternType="solid">
        <fgColor rgb="FFD6001C"/>
        <bgColor rgb="FFC12E1F"/>
      </patternFill>
    </fill>
    <fill>
      <patternFill patternType="solid">
        <fgColor rgb="FF0A2989"/>
        <bgColor rgb="FF1729AB"/>
      </patternFill>
    </fill>
    <fill>
      <patternFill patternType="solid">
        <fgColor rgb="FF8E9089"/>
        <bgColor rgb="FF7F7F7F"/>
      </patternFill>
    </fill>
    <fill>
      <patternFill patternType="solid">
        <fgColor rgb="FFF653B2"/>
        <bgColor rgb="FFFF99CC"/>
      </patternFill>
    </fill>
    <fill>
      <patternFill patternType="solid">
        <fgColor rgb="FFFAE0E3"/>
        <bgColor rgb="FFEEE7D4"/>
      </patternFill>
    </fill>
    <fill>
      <patternFill patternType="solid">
        <fgColor rgb="FFEEF4FB"/>
        <bgColor rgb="FFF5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/>
      <bottom/>
      <diagonal/>
    </border>
    <border diagonalUp="false" diagonalDown="false">
      <left/>
      <right style="thin">
        <color rgb="FFB8CCE4"/>
      </right>
      <top/>
      <bottom/>
      <diagonal/>
    </border>
    <border diagonalUp="false" diagonalDown="false">
      <left style="thin">
        <color rgb="FFB8CCE4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">
    <dxf>
      <fill>
        <patternFill patternType="solid">
          <fgColor rgb="FF2F5496"/>
          <bgColor rgb="FF000000"/>
        </patternFill>
      </fill>
    </dxf>
    <dxf>
      <fill>
        <patternFill patternType="solid">
          <fgColor rgb="FFEEF4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1489"/>
          <bgColor rgb="FF000000"/>
        </patternFill>
      </fill>
    </dxf>
    <dxf>
      <fill>
        <patternFill patternType="solid">
          <fgColor rgb="FF00A3E0"/>
          <bgColor rgb="FF000000"/>
        </patternFill>
      </fill>
    </dxf>
    <dxf>
      <fill>
        <patternFill patternType="solid">
          <fgColor rgb="FF00AE42"/>
          <bgColor rgb="FF000000"/>
        </patternFill>
      </fill>
    </dxf>
    <dxf>
      <fill>
        <patternFill patternType="solid">
          <fgColor rgb="FF00B1B7"/>
          <bgColor rgb="FF000000"/>
        </patternFill>
      </fill>
    </dxf>
    <dxf>
      <fill>
        <patternFill patternType="solid">
          <fgColor rgb="FF0A2989"/>
          <bgColor rgb="FF000000"/>
        </patternFill>
      </fill>
    </dxf>
    <dxf>
      <fill>
        <patternFill patternType="solid">
          <fgColor rgb="FF1729AB"/>
          <bgColor rgb="FF000000"/>
        </patternFill>
      </fill>
    </dxf>
    <dxf>
      <fill>
        <patternFill patternType="solid">
          <fgColor rgb="FF362111"/>
          <bgColor rgb="FF000000"/>
        </patternFill>
      </fill>
    </dxf>
    <dxf>
      <fill>
        <patternFill patternType="solid">
          <fgColor rgb="FF3F8E43"/>
          <bgColor rgb="FF000000"/>
        </patternFill>
      </fill>
    </dxf>
    <dxf>
      <fill>
        <patternFill patternType="solid">
          <fgColor rgb="FF482960"/>
          <bgColor rgb="FF000000"/>
        </patternFill>
      </fill>
    </dxf>
    <dxf>
      <fill>
        <patternFill patternType="solid">
          <fgColor rgb="FF545454"/>
          <bgColor rgb="FF000000"/>
        </patternFill>
      </fill>
    </dxf>
    <dxf>
      <fill>
        <patternFill patternType="solid">
          <fgColor rgb="FF5A6D3D"/>
          <bgColor rgb="FF000000"/>
        </patternFill>
      </fill>
    </dxf>
    <dxf>
      <fill>
        <patternFill patternType="solid">
          <fgColor rgb="FF685BC7"/>
          <bgColor rgb="FF000000"/>
        </patternFill>
      </fill>
    </dxf>
    <dxf>
      <fill>
        <patternFill patternType="solid">
          <fgColor rgb="FF6F5034"/>
          <bgColor rgb="FF000000"/>
        </patternFill>
      </fill>
    </dxf>
    <dxf>
      <fill>
        <patternFill patternType="solid">
          <fgColor rgb="FF847D48"/>
          <bgColor rgb="FF000000"/>
        </patternFill>
      </fill>
    </dxf>
    <dxf>
      <fill>
        <patternFill patternType="solid">
          <fgColor rgb="FF8E9089"/>
          <bgColor rgb="FF000000"/>
        </patternFill>
      </fill>
    </dxf>
    <dxf>
      <fill>
        <patternFill patternType="solid">
          <fgColor rgb="FFC12E1F"/>
          <bgColor rgb="FF000000"/>
        </patternFill>
      </fill>
    </dxf>
    <dxf>
      <fill>
        <patternFill patternType="solid">
          <fgColor rgb="FFC2B29A"/>
          <bgColor rgb="FF000000"/>
        </patternFill>
      </fill>
    </dxf>
    <dxf>
      <fill>
        <patternFill patternType="solid">
          <fgColor rgb="FFD1D3D5"/>
          <bgColor rgb="FF000000"/>
        </patternFill>
      </fill>
    </dxf>
    <dxf>
      <fill>
        <patternFill patternType="solid">
          <fgColor rgb="FFD6001C"/>
          <bgColor rgb="FF000000"/>
        </patternFill>
      </fill>
    </dxf>
    <dxf>
      <fill>
        <patternFill patternType="solid">
          <fgColor rgb="FFEC008C"/>
          <bgColor rgb="FF000000"/>
        </patternFill>
      </fill>
    </dxf>
    <dxf>
      <fill>
        <patternFill patternType="solid">
          <fgColor rgb="FFEEE7D4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653B2"/>
          <bgColor rgb="FF000000"/>
        </patternFill>
      </fill>
    </dxf>
    <dxf>
      <fill>
        <patternFill patternType="solid">
          <fgColor rgb="FFFCE300"/>
          <bgColor rgb="FF000000"/>
        </patternFill>
      </fill>
    </dxf>
    <dxf>
      <fill>
        <patternFill patternType="solid">
          <fgColor rgb="FFFEC600"/>
          <bgColor rgb="FF000000"/>
        </patternFill>
      </fill>
    </dxf>
    <dxf>
      <fill>
        <patternFill patternType="solid">
          <fgColor rgb="FFFF9016"/>
          <bgColor rgb="FF000000"/>
        </patternFill>
      </fill>
    </dxf>
    <dxf>
      <fill>
        <patternFill patternType="solid">
          <fgColor rgb="FFFAE0E3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D6001C"/>
      <rgbColor rgb="FF00FF00"/>
      <rgbColor rgb="FF0000FF"/>
      <rgbColor rgb="FFFCE300"/>
      <rgbColor rgb="FFEC008C"/>
      <rgbColor rgb="FF00FFFF"/>
      <rgbColor rgb="FF800000"/>
      <rgbColor rgb="FF375623"/>
      <rgbColor rgb="FF001489"/>
      <rgbColor rgb="FF847D48"/>
      <rgbColor rgb="FF800080"/>
      <rgbColor rgb="FF00AE42"/>
      <rgbColor rgb="FFC2B29A"/>
      <rgbColor rgb="FF7F7F7F"/>
      <rgbColor rgb="FF5A6D3D"/>
      <rgbColor rgb="FF6F5034"/>
      <rgbColor rgb="FFFFF2CC"/>
      <rgbColor rgb="FFEEF4FB"/>
      <rgbColor rgb="FF482960"/>
      <rgbColor rgb="FFF653B2"/>
      <rgbColor rgb="FF2F5496"/>
      <rgbColor rgb="FFB8CCE4"/>
      <rgbColor rgb="FF000080"/>
      <rgbColor rgb="FFFF00FF"/>
      <rgbColor rgb="FFFFFF00"/>
      <rgbColor rgb="FF00FFFF"/>
      <rgbColor rgb="FF800080"/>
      <rgbColor rgb="FF800000"/>
      <rgbColor rgb="FF00A3E0"/>
      <rgbColor rgb="FF0000FF"/>
      <rgbColor rgb="FF00B1B7"/>
      <rgbColor rgb="FFF5F5F5"/>
      <rgbColor rgb="FFEEE7D4"/>
      <rgbColor rgb="FFFFEB9C"/>
      <rgbColor rgb="FFD1D3D5"/>
      <rgbColor rgb="FFFF99CC"/>
      <rgbColor rgb="FFCC99FF"/>
      <rgbColor rgb="FFFAE0E3"/>
      <rgbColor rgb="FF545454"/>
      <rgbColor rgb="FF33CCCC"/>
      <rgbColor rgb="FF99CC00"/>
      <rgbColor rgb="FFFEC600"/>
      <rgbColor rgb="FFFF9016"/>
      <rgbColor rgb="FF7F6000"/>
      <rgbColor rgb="FF685BC7"/>
      <rgbColor rgb="FF8E9089"/>
      <rgbColor rgb="FF0A2989"/>
      <rgbColor rgb="FF3F8E43"/>
      <rgbColor rgb="FF1F3864"/>
      <rgbColor rgb="FF362111"/>
      <rgbColor rgb="FFC12E1F"/>
      <rgbColor rgb="FF9C5700"/>
      <rgbColor rgb="FF1729AB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4" t="s">
        <v>2</v>
      </c>
      <c r="B4" s="5" t="n">
        <f aca="false">SUM(Inventory!N3:N114)</f>
        <v>88</v>
      </c>
      <c r="C4" s="5"/>
    </row>
    <row r="5" customFormat="false" ht="19.5" hidden="false" customHeight="true" outlineLevel="0" collapsed="false">
      <c r="A5" s="4" t="s">
        <v>3</v>
      </c>
      <c r="B5" s="6" t="n">
        <f aca="false">SUMPRODUCT(IF(Inventory!M3:M114="",0,Inventory!M3:M114)*IF(Inventory!N3:N114="",0,Inventory!N3:N114))</f>
        <v>628.77</v>
      </c>
      <c r="C5" s="6"/>
    </row>
    <row r="6" customFormat="false" ht="19.5" hidden="false" customHeight="true" outlineLevel="0" collapsed="false">
      <c r="A6" s="4" t="s">
        <v>4</v>
      </c>
      <c r="B6" s="5" t="n">
        <f aca="false">COUNTIF(Inventory!O3:O114,"*REORDER*")</f>
        <v>89</v>
      </c>
      <c r="C6" s="5"/>
    </row>
    <row r="7" customFormat="false" ht="19.5" hidden="false" customHeight="true" outlineLevel="0" collapsed="false">
      <c r="A7" s="4" t="s">
        <v>5</v>
      </c>
      <c r="B7" s="5" t="n">
        <f aca="false">Config!$B$3</f>
        <v>1</v>
      </c>
      <c r="C7" s="5"/>
    </row>
    <row r="9" customFormat="false" ht="18" hidden="false" customHeight="true" outlineLevel="0" collapsed="false">
      <c r="A9" s="3" t="s">
        <v>6</v>
      </c>
      <c r="B9" s="3"/>
      <c r="C9" s="3"/>
      <c r="D9" s="3"/>
      <c r="E9" s="3"/>
      <c r="F9" s="3"/>
    </row>
    <row r="10" customFormat="false" ht="21.75" hidden="false" customHeight="true" outlineLevel="0" collapsed="false">
      <c r="A10" s="7" t="s">
        <v>7</v>
      </c>
      <c r="B10" s="7" t="s">
        <v>8</v>
      </c>
      <c r="C10" s="7" t="s">
        <v>9</v>
      </c>
    </row>
    <row r="11" customFormat="false" ht="18" hidden="false" customHeight="true" outlineLevel="0" collapsed="false">
      <c r="A11" s="8" t="s">
        <v>10</v>
      </c>
      <c r="B11" s="9" t="n">
        <f aca="false">IFERROR(SUMIF(Inventory!A3:A114,A11,Inventory!N3:N114),0)</f>
        <v>0</v>
      </c>
      <c r="C11" s="10" t="n">
        <f aca="false">IFERROR(SUMPRODUCT((Inventory!A3:A114=A11)*IF(Inventory!M3:M114="",0,Inventory!M3:M114)*IF(Inventory!N3:N114="",0,Inventory!N3:N114)),0)</f>
        <v>0</v>
      </c>
    </row>
    <row r="12" customFormat="false" ht="18" hidden="false" customHeight="true" outlineLevel="0" collapsed="false">
      <c r="A12" s="8" t="s">
        <v>11</v>
      </c>
      <c r="B12" s="9" t="n">
        <f aca="false">IFERROR(SUMIF(Inventory!A3:A114,A12,Inventory!N3:N114),0)</f>
        <v>62</v>
      </c>
      <c r="C12" s="10" t="n">
        <f aca="false">IFERROR(SUMPRODUCT((Inventory!A3:A114=A12)*IF(Inventory!M3:M114="",0,Inventory!M3:M114)*IF(Inventory!N3:N114="",0,Inventory!N3:N114)),0)</f>
        <v>521.51</v>
      </c>
    </row>
    <row r="13" customFormat="false" ht="18" hidden="false" customHeight="true" outlineLevel="0" collapsed="false">
      <c r="A13" s="8" t="s">
        <v>12</v>
      </c>
      <c r="B13" s="9" t="n">
        <f aca="false">IFERROR(SUMIF(Inventory!A3:A114,A13,Inventory!N3:N114),0)</f>
        <v>0</v>
      </c>
      <c r="C13" s="10" t="n">
        <f aca="false">IFERROR(SUMPRODUCT((Inventory!A3:A114=A13)*IF(Inventory!M3:M114="",0,Inventory!M3:M114)*IF(Inventory!N3:N114="",0,Inventory!N3:N114)),0)</f>
        <v>0</v>
      </c>
    </row>
    <row r="14" customFormat="false" ht="18" hidden="false" customHeight="true" outlineLevel="0" collapsed="false">
      <c r="A14" s="8" t="s">
        <v>13</v>
      </c>
      <c r="B14" s="9" t="n">
        <f aca="false">IFERROR(SUMIF(Inventory!A3:A114,A14,Inventory!N3:N114),0)</f>
        <v>0</v>
      </c>
      <c r="C14" s="10" t="n">
        <f aca="false">IFERROR(SUMPRODUCT((Inventory!A3:A114=A14)*IF(Inventory!M3:M114="",0,Inventory!M3:M114)*IF(Inventory!N3:N114="",0,Inventory!N3:N114)),0)</f>
        <v>0</v>
      </c>
    </row>
    <row r="15" customFormat="false" ht="18" hidden="false" customHeight="true" outlineLevel="0" collapsed="false">
      <c r="A15" s="8" t="s">
        <v>14</v>
      </c>
      <c r="B15" s="9" t="n">
        <f aca="false">IFERROR(SUMIF(Inventory!A3:A114,A15,Inventory!N3:N114),0)</f>
        <v>0</v>
      </c>
      <c r="C15" s="10" t="n">
        <f aca="false">IFERROR(SUMPRODUCT((Inventory!A3:A114=A15)*IF(Inventory!M3:M114="",0,Inventory!M3:M114)*IF(Inventory!N3:N114="",0,Inventory!N3:N114)),0)</f>
        <v>0</v>
      </c>
    </row>
    <row r="16" customFormat="false" ht="18" hidden="false" customHeight="true" outlineLevel="0" collapsed="false">
      <c r="A16" s="8" t="s">
        <v>15</v>
      </c>
      <c r="B16" s="9" t="n">
        <f aca="false">IFERROR(SUMIF(Inventory!A3:A114,A16,Inventory!N3:N114),0)</f>
        <v>0</v>
      </c>
      <c r="C16" s="10" t="n">
        <f aca="false">IFERROR(SUMPRODUCT((Inventory!A3:A114=A16)*IF(Inventory!M3:M114="",0,Inventory!M3:M114)*IF(Inventory!N3:N114="",0,Inventory!N3:N114)),0)</f>
        <v>0</v>
      </c>
    </row>
    <row r="17" customFormat="false" ht="18" hidden="false" customHeight="true" outlineLevel="0" collapsed="false">
      <c r="A17" s="8" t="s">
        <v>16</v>
      </c>
      <c r="B17" s="9" t="n">
        <f aca="false">IFERROR(SUMIF(Inventory!A3:A114,A17,Inventory!N3:N114),0)</f>
        <v>0</v>
      </c>
      <c r="C17" s="10" t="n">
        <f aca="false">IFERROR(SUMPRODUCT((Inventory!A3:A114=A17)*IF(Inventory!M3:M114="",0,Inventory!M3:M114)*IF(Inventory!N3:N114="",0,Inventory!N3:N114)),0)</f>
        <v>0</v>
      </c>
    </row>
    <row r="18" customFormat="false" ht="18" hidden="false" customHeight="true" outlineLevel="0" collapsed="false">
      <c r="A18" s="8" t="s">
        <v>17</v>
      </c>
      <c r="B18" s="9" t="n">
        <f aca="false">IFERROR(SUMIF(Inventory!A3:A114,A18,Inventory!N3:N114),0)</f>
        <v>0</v>
      </c>
      <c r="C18" s="10" t="n">
        <f aca="false">IFERROR(SUMPRODUCT((Inventory!A3:A114=A18)*IF(Inventory!M3:M114="",0,Inventory!M3:M114)*IF(Inventory!N3:N114="",0,Inventory!N3:N114)),0)</f>
        <v>0</v>
      </c>
    </row>
    <row r="19" customFormat="false" ht="18" hidden="false" customHeight="true" outlineLevel="0" collapsed="false">
      <c r="A19" s="8" t="s">
        <v>18</v>
      </c>
      <c r="B19" s="9" t="n">
        <f aca="false">IFERROR(SUMIF(Inventory!A3:A114,A19,Inventory!N3:N114),0)</f>
        <v>26</v>
      </c>
      <c r="C19" s="10" t="n">
        <f aca="false">IFERROR(SUMPRODUCT((Inventory!A3:A114=A19)*IF(Inventory!M3:M114="",0,Inventory!M3:M114)*IF(Inventory!N3:N114="",0,Inventory!N3:N114)),0)</f>
        <v>107.26</v>
      </c>
    </row>
    <row r="20" customFormat="false" ht="18" hidden="false" customHeight="true" outlineLevel="0" collapsed="false">
      <c r="A20" s="8" t="s">
        <v>19</v>
      </c>
      <c r="B20" s="9" t="n">
        <f aca="false">IFERROR(SUMIF(Inventory!A3:A114,A20,Inventory!N3:N114),0)</f>
        <v>0</v>
      </c>
      <c r="C20" s="10" t="n">
        <f aca="false">IFERROR(SUMPRODUCT((Inventory!A3:A114=A20)*IF(Inventory!M3:M114="",0,Inventory!M3:M114)*IF(Inventory!N3:N114="",0,Inventory!N3:N114)),0)</f>
        <v>0</v>
      </c>
    </row>
    <row r="21" customFormat="false" ht="18" hidden="false" customHeight="true" outlineLevel="0" collapsed="false">
      <c r="A21" s="8" t="s">
        <v>20</v>
      </c>
      <c r="B21" s="9" t="n">
        <f aca="false">IFERROR(SUMIF(Inventory!A3:A114,A21,Inventory!N3:N114),0)</f>
        <v>0</v>
      </c>
      <c r="C21" s="10" t="n">
        <f aca="false">IFERROR(SUMPRODUCT((Inventory!A3:A114=A21)*IF(Inventory!M3:M114="",0,Inventory!M3:M114)*IF(Inventory!N3:N114="",0,Inventory!N3:N114)),0)</f>
        <v>0</v>
      </c>
    </row>
  </sheetData>
  <mergeCells count="7">
    <mergeCell ref="A1:F1"/>
    <mergeCell ref="A3:F3"/>
    <mergeCell ref="B4:C4"/>
    <mergeCell ref="B5:C5"/>
    <mergeCell ref="B6:C6"/>
    <mergeCell ref="B7:C7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Y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A19" activeCellId="0" sqref="A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1" width="18"/>
    <col collapsed="false" customWidth="true" hidden="false" outlineLevel="0" max="3" min="3" style="1" width="14"/>
    <col collapsed="false" customWidth="true" hidden="false" outlineLevel="0" max="4" min="4" style="1" width="18.57"/>
    <col collapsed="false" customWidth="true" hidden="false" outlineLevel="0" max="5" min="5" style="1" width="20.85"/>
    <col collapsed="false" customWidth="true" hidden="false" outlineLevel="0" max="6" min="6" style="1" width="10"/>
    <col collapsed="false" customWidth="true" hidden="false" outlineLevel="0" max="7" min="7" style="12" width="10"/>
    <col collapsed="false" customWidth="true" hidden="false" outlineLevel="0" max="8" min="8" style="1" width="9"/>
    <col collapsed="false" customWidth="true" hidden="false" outlineLevel="0" max="9" min="9" style="1" width="18"/>
    <col collapsed="false" customWidth="true" hidden="false" outlineLevel="0" max="10" min="10" style="13" width="18.57"/>
    <col collapsed="false" customWidth="true" hidden="false" outlineLevel="0" max="11" min="11" style="12" width="20"/>
    <col collapsed="false" customWidth="true" hidden="false" outlineLevel="0" max="13" min="12" style="12" width="12"/>
    <col collapsed="false" customWidth="true" hidden="false" outlineLevel="0" max="14" min="14" style="12" width="16"/>
    <col collapsed="false" customWidth="true" hidden="false" outlineLevel="0" max="16" min="15" style="1" width="14"/>
    <col collapsed="false" customWidth="true" hidden="false" outlineLevel="0" max="17" min="17" style="1" width="12"/>
    <col collapsed="false" customWidth="true" hidden="false" outlineLevel="0" max="19" min="18" style="1" width="14"/>
    <col collapsed="false" customWidth="true" hidden="false" outlineLevel="0" max="20" min="20" style="1" width="12"/>
    <col collapsed="false" customWidth="true" hidden="false" outlineLevel="0" max="21" min="21" style="12" width="14"/>
    <col collapsed="false" customWidth="true" hidden="false" outlineLevel="0" max="22" min="22" style="12" width="16"/>
    <col collapsed="false" customWidth="true" hidden="false" outlineLevel="0" max="23" min="23" style="1" width="14"/>
    <col collapsed="false" customWidth="true" hidden="false" outlineLevel="0" max="24" min="24" style="1" width="237.84"/>
    <col collapsed="false" customWidth="true" hidden="false" outlineLevel="0" max="25" min="25" style="14" width="14"/>
  </cols>
  <sheetData>
    <row r="1" customFormat="false" ht="25.5" hidden="false" customHeight="true" outlineLevel="0" collapsed="false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customFormat="false" ht="27.75" hidden="false" customHeight="true" outlineLevel="0" collapsed="false">
      <c r="A2" s="7" t="s">
        <v>7</v>
      </c>
      <c r="B2" s="16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17" t="s">
        <v>30</v>
      </c>
      <c r="K2" s="7" t="s">
        <v>31</v>
      </c>
      <c r="L2" s="7" t="s">
        <v>32</v>
      </c>
      <c r="M2" s="7" t="s">
        <v>33</v>
      </c>
      <c r="N2" s="7" t="s">
        <v>34</v>
      </c>
      <c r="O2" s="7" t="s">
        <v>35</v>
      </c>
      <c r="P2" s="7" t="s">
        <v>36</v>
      </c>
      <c r="Q2" s="7" t="s">
        <v>37</v>
      </c>
      <c r="R2" s="7" t="s">
        <v>38</v>
      </c>
      <c r="S2" s="7" t="s">
        <v>39</v>
      </c>
      <c r="T2" s="7" t="s">
        <v>40</v>
      </c>
      <c r="U2" s="7" t="s">
        <v>41</v>
      </c>
      <c r="V2" s="7" t="s">
        <v>42</v>
      </c>
      <c r="W2" s="7" t="s">
        <v>43</v>
      </c>
      <c r="X2" s="7" t="s">
        <v>44</v>
      </c>
      <c r="Y2" s="18" t="s">
        <v>9</v>
      </c>
    </row>
    <row r="3" customFormat="false" ht="19.5" hidden="false" customHeight="true" outlineLevel="0" collapsed="false">
      <c r="A3" s="8" t="s">
        <v>18</v>
      </c>
      <c r="B3" s="19" t="s">
        <v>45</v>
      </c>
      <c r="C3" s="8" t="s">
        <v>46</v>
      </c>
      <c r="D3" s="8" t="s">
        <v>47</v>
      </c>
      <c r="E3" s="8" t="s">
        <v>48</v>
      </c>
      <c r="F3" s="20"/>
      <c r="G3" s="21" t="s">
        <v>49</v>
      </c>
      <c r="H3" s="21" t="s">
        <v>50</v>
      </c>
      <c r="I3" s="8"/>
      <c r="J3" s="22"/>
      <c r="K3" s="21"/>
      <c r="L3" s="10"/>
      <c r="M3" s="10"/>
      <c r="N3" s="9" t="n">
        <v>1</v>
      </c>
      <c r="O3" s="21" t="str">
        <f aca="false">IF(OR(N3="",Config!$B$3=""),"",IF(N3&lt;=Config!$B$3,"⚠ REORDER",""))</f>
        <v>⚠ REORDER</v>
      </c>
      <c r="P3" s="21" t="s">
        <v>51</v>
      </c>
      <c r="Q3" s="21" t="s">
        <v>52</v>
      </c>
      <c r="R3" s="21" t="s">
        <v>53</v>
      </c>
      <c r="S3" s="8"/>
      <c r="T3" s="21" t="s">
        <v>54</v>
      </c>
      <c r="U3" s="9" t="n">
        <v>1000</v>
      </c>
      <c r="V3" s="9" t="n">
        <v>0</v>
      </c>
      <c r="W3" s="23" t="n">
        <f aca="false">IF(V3="","",IF(U3="","",V3/U3))</f>
        <v>0</v>
      </c>
      <c r="X3" s="8" t="s">
        <v>55</v>
      </c>
      <c r="Y3" s="24" t="n">
        <f aca="false">IF(OR(M3="",N3=""),0,M3*N3)</f>
        <v>0</v>
      </c>
    </row>
    <row r="4" customFormat="false" ht="19.5" hidden="false" customHeight="true" outlineLevel="0" collapsed="false">
      <c r="A4" s="8" t="s">
        <v>11</v>
      </c>
      <c r="B4" s="19" t="s">
        <v>56</v>
      </c>
      <c r="C4" s="8" t="s">
        <v>57</v>
      </c>
      <c r="D4" s="8" t="s">
        <v>57</v>
      </c>
      <c r="E4" s="8" t="s">
        <v>58</v>
      </c>
      <c r="F4" s="25"/>
      <c r="G4" s="21" t="s">
        <v>59</v>
      </c>
      <c r="H4" s="21" t="s">
        <v>50</v>
      </c>
      <c r="I4" s="8"/>
      <c r="J4" s="22"/>
      <c r="K4" s="21"/>
      <c r="L4" s="10"/>
      <c r="M4" s="10"/>
      <c r="N4" s="9" t="n">
        <v>1</v>
      </c>
      <c r="O4" s="21" t="str">
        <f aca="false">IF(OR(N4="",Config!$B$3=""),"",IF(N4&lt;=Config!$B$3,"⚠ REORDER",""))</f>
        <v>⚠ REORDER</v>
      </c>
      <c r="P4" s="21" t="s">
        <v>51</v>
      </c>
      <c r="Q4" s="21" t="s">
        <v>52</v>
      </c>
      <c r="R4" s="21" t="s">
        <v>53</v>
      </c>
      <c r="S4" s="8"/>
      <c r="T4" s="21" t="s">
        <v>54</v>
      </c>
      <c r="U4" s="9" t="n">
        <v>1000</v>
      </c>
      <c r="V4" s="9" t="n">
        <v>114</v>
      </c>
      <c r="W4" s="23" t="n">
        <f aca="false">IF(V4="","",IF(U4="","",V4/U4))</f>
        <v>0.114</v>
      </c>
      <c r="X4" s="8"/>
      <c r="Y4" s="24" t="n">
        <f aca="false">IF(OR(M4="",N4=""),0,M4*N4)</f>
        <v>0</v>
      </c>
    </row>
    <row r="5" customFormat="false" ht="19.5" hidden="false" customHeight="true" outlineLevel="0" collapsed="false">
      <c r="A5" s="8" t="s">
        <v>11</v>
      </c>
      <c r="B5" s="19" t="s">
        <v>56</v>
      </c>
      <c r="C5" s="8" t="s">
        <v>57</v>
      </c>
      <c r="D5" s="8" t="s">
        <v>57</v>
      </c>
      <c r="E5" s="8" t="s">
        <v>58</v>
      </c>
      <c r="F5" s="25"/>
      <c r="G5" s="21" t="s">
        <v>59</v>
      </c>
      <c r="H5" s="21" t="s">
        <v>50</v>
      </c>
      <c r="I5" s="8"/>
      <c r="J5" s="22"/>
      <c r="K5" s="21"/>
      <c r="L5" s="10"/>
      <c r="M5" s="10"/>
      <c r="N5" s="9" t="n">
        <v>1</v>
      </c>
      <c r="O5" s="21" t="str">
        <f aca="false">IF(OR(N5="",Config!$B$3=""),"",IF(N5&lt;=Config!$B$3,"⚠ REORDER",""))</f>
        <v>⚠ REORDER</v>
      </c>
      <c r="P5" s="21" t="s">
        <v>60</v>
      </c>
      <c r="Q5" s="21" t="s">
        <v>61</v>
      </c>
      <c r="R5" s="21" t="s">
        <v>53</v>
      </c>
      <c r="S5" s="8"/>
      <c r="T5" s="21" t="s">
        <v>62</v>
      </c>
      <c r="U5" s="9" t="n">
        <v>1000</v>
      </c>
      <c r="V5" s="9" t="n">
        <v>1000</v>
      </c>
      <c r="W5" s="23" t="n">
        <f aca="false">IF(V5="","",IF(U5="","",V5/U5))</f>
        <v>1</v>
      </c>
      <c r="X5" s="8"/>
      <c r="Y5" s="24" t="n">
        <f aca="false">IF(OR(M5="",N5=""),0,M5*N5)</f>
        <v>0</v>
      </c>
    </row>
    <row r="6" customFormat="false" ht="19.5" hidden="false" customHeight="true" outlineLevel="0" collapsed="false">
      <c r="A6" s="8" t="s">
        <v>11</v>
      </c>
      <c r="B6" s="19" t="s">
        <v>56</v>
      </c>
      <c r="C6" s="8" t="s">
        <v>57</v>
      </c>
      <c r="D6" s="8" t="s">
        <v>57</v>
      </c>
      <c r="E6" s="8" t="s">
        <v>58</v>
      </c>
      <c r="F6" s="25"/>
      <c r="G6" s="21" t="s">
        <v>59</v>
      </c>
      <c r="H6" s="21" t="s">
        <v>50</v>
      </c>
      <c r="I6" s="8"/>
      <c r="J6" s="22"/>
      <c r="K6" s="21"/>
      <c r="L6" s="10"/>
      <c r="M6" s="10"/>
      <c r="N6" s="9" t="n">
        <v>1</v>
      </c>
      <c r="O6" s="21" t="str">
        <f aca="false">IF(OR(N6="",Config!$B$3=""),"",IF(N6&lt;=Config!$B$3,"⚠ REORDER",""))</f>
        <v>⚠ REORDER</v>
      </c>
      <c r="P6" s="21" t="s">
        <v>60</v>
      </c>
      <c r="Q6" s="21" t="s">
        <v>61</v>
      </c>
      <c r="R6" s="21" t="s">
        <v>53</v>
      </c>
      <c r="S6" s="8"/>
      <c r="T6" s="21" t="s">
        <v>62</v>
      </c>
      <c r="U6" s="9" t="n">
        <v>1000</v>
      </c>
      <c r="V6" s="9" t="n">
        <v>1000</v>
      </c>
      <c r="W6" s="23" t="n">
        <f aca="false">IF(V6="","",IF(U6="","",V6/U6))</f>
        <v>1</v>
      </c>
      <c r="X6" s="8"/>
      <c r="Y6" s="24" t="n">
        <f aca="false">IF(OR(M6="",N6=""),0,M6*N6)</f>
        <v>0</v>
      </c>
    </row>
    <row r="7" customFormat="false" ht="19.5" hidden="false" customHeight="true" outlineLevel="0" collapsed="false">
      <c r="A7" s="8" t="s">
        <v>11</v>
      </c>
      <c r="B7" s="19" t="s">
        <v>63</v>
      </c>
      <c r="C7" s="8" t="s">
        <v>57</v>
      </c>
      <c r="D7" s="8" t="s">
        <v>57</v>
      </c>
      <c r="E7" s="8" t="s">
        <v>64</v>
      </c>
      <c r="F7" s="26"/>
      <c r="G7" s="21" t="s">
        <v>65</v>
      </c>
      <c r="H7" s="21" t="s">
        <v>50</v>
      </c>
      <c r="I7" s="8"/>
      <c r="J7" s="22"/>
      <c r="K7" s="21"/>
      <c r="L7" s="10"/>
      <c r="M7" s="10"/>
      <c r="N7" s="9" t="n">
        <v>1</v>
      </c>
      <c r="O7" s="21" t="str">
        <f aca="false">IF(OR(N7="",Config!$B$3=""),"",IF(N7&lt;=Config!$B$3,"⚠ REORDER",""))</f>
        <v>⚠ REORDER</v>
      </c>
      <c r="P7" s="21" t="s">
        <v>60</v>
      </c>
      <c r="Q7" s="21" t="s">
        <v>61</v>
      </c>
      <c r="R7" s="21" t="s">
        <v>53</v>
      </c>
      <c r="S7" s="8"/>
      <c r="T7" s="21" t="s">
        <v>62</v>
      </c>
      <c r="U7" s="9" t="n">
        <v>1000</v>
      </c>
      <c r="V7" s="9" t="n">
        <v>1000</v>
      </c>
      <c r="W7" s="23" t="n">
        <f aca="false">IF(V7="","",IF(U7="","",V7/U7))</f>
        <v>1</v>
      </c>
      <c r="X7" s="8"/>
      <c r="Y7" s="24" t="n">
        <f aca="false">IF(OR(M7="",N7=""),0,M7*N7)</f>
        <v>0</v>
      </c>
    </row>
    <row r="8" customFormat="false" ht="19.5" hidden="false" customHeight="true" outlineLevel="0" collapsed="false">
      <c r="A8" s="8" t="s">
        <v>11</v>
      </c>
      <c r="B8" s="19" t="s">
        <v>66</v>
      </c>
      <c r="C8" s="8" t="s">
        <v>57</v>
      </c>
      <c r="D8" s="8" t="s">
        <v>57</v>
      </c>
      <c r="E8" s="8" t="s">
        <v>67</v>
      </c>
      <c r="F8" s="27"/>
      <c r="G8" s="21" t="s">
        <v>68</v>
      </c>
      <c r="H8" s="21" t="s">
        <v>50</v>
      </c>
      <c r="I8" s="8"/>
      <c r="J8" s="22"/>
      <c r="K8" s="21"/>
      <c r="L8" s="10"/>
      <c r="M8" s="10"/>
      <c r="N8" s="9" t="n">
        <v>1</v>
      </c>
      <c r="O8" s="21" t="str">
        <f aca="false">IF(OR(N8="",Config!$B$3=""),"",IF(N8&lt;=Config!$B$3,"⚠ REORDER",""))</f>
        <v>⚠ REORDER</v>
      </c>
      <c r="P8" s="21" t="s">
        <v>51</v>
      </c>
      <c r="Q8" s="21" t="s">
        <v>52</v>
      </c>
      <c r="R8" s="21" t="s">
        <v>53</v>
      </c>
      <c r="S8" s="8"/>
      <c r="T8" s="21" t="s">
        <v>62</v>
      </c>
      <c r="U8" s="9" t="n">
        <v>1000</v>
      </c>
      <c r="V8" s="9" t="n">
        <v>9647</v>
      </c>
      <c r="W8" s="23" t="n">
        <f aca="false">IF(V8="","",IF(U8="","",V8/U8))</f>
        <v>9.647</v>
      </c>
      <c r="X8" s="8" t="s">
        <v>69</v>
      </c>
      <c r="Y8" s="24" t="n">
        <f aca="false">IF(OR(M8="",N8=""),0,M8*N8)</f>
        <v>0</v>
      </c>
    </row>
    <row r="9" customFormat="false" ht="19.5" hidden="false" customHeight="true" outlineLevel="0" collapsed="false">
      <c r="A9" s="8" t="s">
        <v>11</v>
      </c>
      <c r="B9" s="19" t="s">
        <v>66</v>
      </c>
      <c r="C9" s="8" t="s">
        <v>57</v>
      </c>
      <c r="D9" s="8" t="s">
        <v>57</v>
      </c>
      <c r="E9" s="8" t="s">
        <v>67</v>
      </c>
      <c r="F9" s="27"/>
      <c r="G9" s="21" t="s">
        <v>68</v>
      </c>
      <c r="H9" s="21" t="s">
        <v>50</v>
      </c>
      <c r="I9" s="8"/>
      <c r="J9" s="22"/>
      <c r="K9" s="21"/>
      <c r="L9" s="10"/>
      <c r="M9" s="10"/>
      <c r="N9" s="9" t="n">
        <v>1</v>
      </c>
      <c r="O9" s="21" t="str">
        <f aca="false">IF(OR(N9="",Config!$B$3=""),"",IF(N9&lt;=Config!$B$3,"⚠ REORDER",""))</f>
        <v>⚠ REORDER</v>
      </c>
      <c r="P9" s="21" t="s">
        <v>60</v>
      </c>
      <c r="Q9" s="21" t="s">
        <v>61</v>
      </c>
      <c r="R9" s="21" t="s">
        <v>53</v>
      </c>
      <c r="S9" s="8"/>
      <c r="T9" s="21" t="s">
        <v>62</v>
      </c>
      <c r="U9" s="9" t="n">
        <v>1000</v>
      </c>
      <c r="V9" s="9" t="n">
        <v>1000</v>
      </c>
      <c r="W9" s="23" t="n">
        <f aca="false">IF(V9="","",IF(U9="","",V9/U9))</f>
        <v>1</v>
      </c>
      <c r="X9" s="8"/>
      <c r="Y9" s="24" t="n">
        <f aca="false">IF(OR(M9="",N9=""),0,M9*N9)</f>
        <v>0</v>
      </c>
    </row>
    <row r="10" customFormat="false" ht="19.5" hidden="false" customHeight="true" outlineLevel="0" collapsed="false">
      <c r="A10" s="8" t="s">
        <v>11</v>
      </c>
      <c r="B10" s="19" t="s">
        <v>70</v>
      </c>
      <c r="C10" s="8" t="s">
        <v>57</v>
      </c>
      <c r="D10" s="8" t="s">
        <v>57</v>
      </c>
      <c r="E10" s="8" t="s">
        <v>71</v>
      </c>
      <c r="F10" s="28"/>
      <c r="G10" s="21" t="s">
        <v>72</v>
      </c>
      <c r="H10" s="21" t="s">
        <v>50</v>
      </c>
      <c r="I10" s="8"/>
      <c r="J10" s="22"/>
      <c r="K10" s="21"/>
      <c r="L10" s="10"/>
      <c r="M10" s="10"/>
      <c r="N10" s="9" t="n">
        <v>1</v>
      </c>
      <c r="O10" s="21" t="str">
        <f aca="false">IF(OR(N10="",Config!$B$3=""),"",IF(N10&lt;=Config!$B$3,"⚠ REORDER",""))</f>
        <v>⚠ REORDER</v>
      </c>
      <c r="P10" s="21" t="s">
        <v>51</v>
      </c>
      <c r="Q10" s="21" t="s">
        <v>52</v>
      </c>
      <c r="R10" s="21" t="s">
        <v>53</v>
      </c>
      <c r="S10" s="8"/>
      <c r="T10" s="21" t="s">
        <v>62</v>
      </c>
      <c r="U10" s="9" t="n">
        <v>1000</v>
      </c>
      <c r="V10" s="9" t="n">
        <v>861</v>
      </c>
      <c r="W10" s="23" t="n">
        <f aca="false">IF(V10="","",IF(U10="","",V10/U10))</f>
        <v>0.861</v>
      </c>
      <c r="X10" s="8"/>
      <c r="Y10" s="24" t="n">
        <f aca="false">IF(OR(M10="",N10=""),0,M10*N10)</f>
        <v>0</v>
      </c>
    </row>
    <row r="11" customFormat="false" ht="19.5" hidden="false" customHeight="true" outlineLevel="0" collapsed="false">
      <c r="A11" s="8" t="s">
        <v>11</v>
      </c>
      <c r="B11" s="19" t="s">
        <v>73</v>
      </c>
      <c r="C11" s="8" t="s">
        <v>57</v>
      </c>
      <c r="D11" s="8" t="s">
        <v>57</v>
      </c>
      <c r="E11" s="8" t="s">
        <v>74</v>
      </c>
      <c r="F11" s="29"/>
      <c r="G11" s="21" t="s">
        <v>75</v>
      </c>
      <c r="H11" s="21" t="s">
        <v>50</v>
      </c>
      <c r="I11" s="8"/>
      <c r="J11" s="22"/>
      <c r="K11" s="21"/>
      <c r="L11" s="10"/>
      <c r="M11" s="10"/>
      <c r="N11" s="9" t="n">
        <v>1</v>
      </c>
      <c r="O11" s="21" t="str">
        <f aca="false">IF(OR(N11="",Config!$B$3=""),"",IF(N11&lt;=Config!$B$3,"⚠ REORDER",""))</f>
        <v>⚠ REORDER</v>
      </c>
      <c r="P11" s="21" t="s">
        <v>51</v>
      </c>
      <c r="Q11" s="21" t="s">
        <v>52</v>
      </c>
      <c r="R11" s="21" t="s">
        <v>53</v>
      </c>
      <c r="S11" s="8"/>
      <c r="T11" s="21" t="s">
        <v>62</v>
      </c>
      <c r="U11" s="9" t="n">
        <v>1000</v>
      </c>
      <c r="V11" s="9" t="n">
        <v>0</v>
      </c>
      <c r="W11" s="23" t="n">
        <f aca="false">IF(V11="","",IF(U11="","",V11/U11))</f>
        <v>0</v>
      </c>
      <c r="X11" s="30" t="s">
        <v>76</v>
      </c>
      <c r="Y11" s="24" t="n">
        <f aca="false">IF(OR(M11="",N11=""),0,M11*N11)</f>
        <v>0</v>
      </c>
    </row>
    <row r="12" customFormat="false" ht="19.5" hidden="false" customHeight="true" outlineLevel="0" collapsed="false">
      <c r="A12" s="8" t="s">
        <v>11</v>
      </c>
      <c r="B12" s="19" t="s">
        <v>77</v>
      </c>
      <c r="C12" s="8" t="s">
        <v>57</v>
      </c>
      <c r="D12" s="8" t="s">
        <v>57</v>
      </c>
      <c r="E12" s="8" t="s">
        <v>78</v>
      </c>
      <c r="F12" s="31"/>
      <c r="G12" s="21" t="s">
        <v>79</v>
      </c>
      <c r="H12" s="21" t="s">
        <v>50</v>
      </c>
      <c r="I12" s="8"/>
      <c r="J12" s="22"/>
      <c r="K12" s="21"/>
      <c r="L12" s="10"/>
      <c r="M12" s="10"/>
      <c r="N12" s="9" t="n">
        <v>1</v>
      </c>
      <c r="O12" s="21" t="str">
        <f aca="false">IF(OR(N12="",Config!$B$3=""),"",IF(N12&lt;=Config!$B$3,"⚠ REORDER",""))</f>
        <v>⚠ REORDER</v>
      </c>
      <c r="P12" s="21" t="s">
        <v>60</v>
      </c>
      <c r="Q12" s="21" t="s">
        <v>61</v>
      </c>
      <c r="R12" s="21" t="s">
        <v>53</v>
      </c>
      <c r="S12" s="8"/>
      <c r="T12" s="21" t="s">
        <v>62</v>
      </c>
      <c r="U12" s="9" t="n">
        <v>1000</v>
      </c>
      <c r="V12" s="9" t="n">
        <v>1000</v>
      </c>
      <c r="W12" s="23" t="n">
        <f aca="false">IF(V12="","",IF(U12="","",V12/U12))</f>
        <v>1</v>
      </c>
      <c r="X12" s="8"/>
      <c r="Y12" s="24" t="n">
        <f aca="false">IF(OR(M12="",N12=""),0,M12*N12)</f>
        <v>0</v>
      </c>
    </row>
    <row r="13" customFormat="false" ht="19.5" hidden="false" customHeight="true" outlineLevel="0" collapsed="false">
      <c r="A13" s="8" t="s">
        <v>11</v>
      </c>
      <c r="B13" s="19" t="s">
        <v>80</v>
      </c>
      <c r="C13" s="8" t="s">
        <v>57</v>
      </c>
      <c r="D13" s="8" t="s">
        <v>57</v>
      </c>
      <c r="E13" s="8" t="s">
        <v>81</v>
      </c>
      <c r="F13" s="32"/>
      <c r="G13" s="21" t="s">
        <v>82</v>
      </c>
      <c r="H13" s="21" t="s">
        <v>50</v>
      </c>
      <c r="I13" s="8"/>
      <c r="J13" s="22"/>
      <c r="K13" s="21"/>
      <c r="L13" s="10"/>
      <c r="M13" s="10"/>
      <c r="N13" s="9" t="n">
        <v>0</v>
      </c>
      <c r="O13" s="21" t="str">
        <f aca="false">IF(OR(N13="",Config!$B$3=""),"",IF(N13&lt;=Config!$B$3,"⚠ REORDER",""))</f>
        <v>⚠ REORDER</v>
      </c>
      <c r="P13" s="21" t="s">
        <v>51</v>
      </c>
      <c r="Q13" s="21" t="s">
        <v>52</v>
      </c>
      <c r="R13" s="21" t="s">
        <v>53</v>
      </c>
      <c r="S13" s="8"/>
      <c r="T13" s="21" t="s">
        <v>62</v>
      </c>
      <c r="U13" s="9" t="n">
        <v>1000</v>
      </c>
      <c r="V13" s="9" t="n">
        <v>0</v>
      </c>
      <c r="W13" s="23" t="n">
        <f aca="false">IF(V13="","",IF(U13="","",V13/U13))</f>
        <v>0</v>
      </c>
      <c r="X13" s="8" t="s">
        <v>55</v>
      </c>
      <c r="Y13" s="24" t="n">
        <f aca="false">IF(OR(M13="",N13=""),0,M13*N13)</f>
        <v>0</v>
      </c>
    </row>
    <row r="14" customFormat="false" ht="19.5" hidden="false" customHeight="true" outlineLevel="0" collapsed="false">
      <c r="A14" s="8" t="s">
        <v>11</v>
      </c>
      <c r="B14" s="19" t="s">
        <v>83</v>
      </c>
      <c r="C14" s="8" t="s">
        <v>57</v>
      </c>
      <c r="D14" s="8" t="s">
        <v>57</v>
      </c>
      <c r="E14" s="8" t="s">
        <v>84</v>
      </c>
      <c r="F14" s="33"/>
      <c r="G14" s="21" t="s">
        <v>85</v>
      </c>
      <c r="H14" s="21" t="s">
        <v>50</v>
      </c>
      <c r="I14" s="8"/>
      <c r="J14" s="22"/>
      <c r="K14" s="21"/>
      <c r="L14" s="10"/>
      <c r="M14" s="10"/>
      <c r="N14" s="9" t="n">
        <v>1</v>
      </c>
      <c r="O14" s="21" t="str">
        <f aca="false">IF(OR(N14="",Config!$B$3=""),"",IF(N14&lt;=Config!$B$3,"⚠ REORDER",""))</f>
        <v>⚠ REORDER</v>
      </c>
      <c r="P14" s="21" t="s">
        <v>51</v>
      </c>
      <c r="Q14" s="21" t="s">
        <v>52</v>
      </c>
      <c r="R14" s="21" t="s">
        <v>53</v>
      </c>
      <c r="S14" s="8"/>
      <c r="T14" s="21" t="s">
        <v>62</v>
      </c>
      <c r="U14" s="9" t="n">
        <v>1000</v>
      </c>
      <c r="V14" s="9" t="n">
        <v>991</v>
      </c>
      <c r="W14" s="23" t="n">
        <f aca="false">IF(V14="","",IF(U14="","",V14/U14))</f>
        <v>0.991</v>
      </c>
      <c r="X14" s="8"/>
      <c r="Y14" s="24" t="n">
        <f aca="false">IF(OR(M14="",N14=""),0,M14*N14)</f>
        <v>0</v>
      </c>
    </row>
    <row r="15" customFormat="false" ht="19.5" hidden="false" customHeight="true" outlineLevel="0" collapsed="false">
      <c r="A15" s="8" t="s">
        <v>11</v>
      </c>
      <c r="B15" s="19" t="s">
        <v>86</v>
      </c>
      <c r="C15" s="8" t="s">
        <v>57</v>
      </c>
      <c r="D15" s="8" t="s">
        <v>57</v>
      </c>
      <c r="E15" s="8" t="s">
        <v>87</v>
      </c>
      <c r="F15" s="34"/>
      <c r="G15" s="21" t="s">
        <v>88</v>
      </c>
      <c r="H15" s="21" t="s">
        <v>50</v>
      </c>
      <c r="I15" s="8"/>
      <c r="J15" s="22"/>
      <c r="K15" s="21"/>
      <c r="L15" s="10"/>
      <c r="M15" s="10"/>
      <c r="N15" s="9" t="n">
        <v>1</v>
      </c>
      <c r="O15" s="21" t="str">
        <f aca="false">IF(OR(N15="",Config!$B$3=""),"",IF(N15&lt;=Config!$B$3,"⚠ REORDER",""))</f>
        <v>⚠ REORDER</v>
      </c>
      <c r="P15" s="21" t="s">
        <v>51</v>
      </c>
      <c r="Q15" s="21" t="s">
        <v>52</v>
      </c>
      <c r="R15" s="21" t="s">
        <v>53</v>
      </c>
      <c r="S15" s="8"/>
      <c r="T15" s="21" t="s">
        <v>62</v>
      </c>
      <c r="U15" s="9" t="n">
        <v>1000</v>
      </c>
      <c r="V15" s="9" t="n">
        <v>118</v>
      </c>
      <c r="W15" s="23" t="n">
        <f aca="false">IF(V15="","",IF(U15="","",V15/U15))</f>
        <v>0.118</v>
      </c>
      <c r="X15" s="8"/>
      <c r="Y15" s="24" t="n">
        <f aca="false">IF(OR(M15="",N15=""),0,M15*N15)</f>
        <v>0</v>
      </c>
    </row>
    <row r="16" customFormat="false" ht="19.5" hidden="false" customHeight="true" outlineLevel="0" collapsed="false">
      <c r="A16" s="8" t="s">
        <v>11</v>
      </c>
      <c r="B16" s="19" t="s">
        <v>89</v>
      </c>
      <c r="C16" s="8" t="s">
        <v>57</v>
      </c>
      <c r="D16" s="8" t="s">
        <v>57</v>
      </c>
      <c r="E16" s="8" t="s">
        <v>90</v>
      </c>
      <c r="F16" s="35"/>
      <c r="G16" s="21" t="s">
        <v>91</v>
      </c>
      <c r="H16" s="21" t="s">
        <v>50</v>
      </c>
      <c r="I16" s="8"/>
      <c r="J16" s="22"/>
      <c r="K16" s="21"/>
      <c r="L16" s="10"/>
      <c r="M16" s="10"/>
      <c r="N16" s="9" t="n">
        <v>1</v>
      </c>
      <c r="O16" s="21" t="str">
        <f aca="false">IF(OR(N16="",Config!$B$3=""),"",IF(N16&lt;=Config!$B$3,"⚠ REORDER",""))</f>
        <v>⚠ REORDER</v>
      </c>
      <c r="P16" s="21" t="s">
        <v>51</v>
      </c>
      <c r="Q16" s="21" t="s">
        <v>52</v>
      </c>
      <c r="R16" s="21" t="s">
        <v>53</v>
      </c>
      <c r="S16" s="8"/>
      <c r="T16" s="21" t="s">
        <v>54</v>
      </c>
      <c r="U16" s="9" t="n">
        <v>1000</v>
      </c>
      <c r="V16" s="9" t="n">
        <v>533</v>
      </c>
      <c r="W16" s="23" t="n">
        <f aca="false">IF(V16="","",IF(U16="","",V16/U16))</f>
        <v>0.533</v>
      </c>
      <c r="X16" s="8" t="s">
        <v>92</v>
      </c>
      <c r="Y16" s="24" t="n">
        <f aca="false">IF(OR(M16="",N16=""),0,M16*N16)</f>
        <v>0</v>
      </c>
    </row>
    <row r="17" customFormat="false" ht="19.5" hidden="false" customHeight="true" outlineLevel="0" collapsed="false">
      <c r="A17" s="8" t="s">
        <v>11</v>
      </c>
      <c r="B17" s="19" t="s">
        <v>93</v>
      </c>
      <c r="C17" s="8" t="s">
        <v>57</v>
      </c>
      <c r="D17" s="8" t="s">
        <v>57</v>
      </c>
      <c r="E17" s="8" t="s">
        <v>94</v>
      </c>
      <c r="F17" s="36"/>
      <c r="G17" s="21" t="s">
        <v>95</v>
      </c>
      <c r="H17" s="21" t="s">
        <v>50</v>
      </c>
      <c r="I17" s="8"/>
      <c r="J17" s="22"/>
      <c r="K17" s="21"/>
      <c r="L17" s="10"/>
      <c r="M17" s="10"/>
      <c r="N17" s="9" t="n">
        <v>1</v>
      </c>
      <c r="O17" s="21" t="str">
        <f aca="false">IF(OR(N17="",Config!$B$3=""),"",IF(N17&lt;=Config!$B$3,"⚠ REORDER",""))</f>
        <v>⚠ REORDER</v>
      </c>
      <c r="P17" s="21" t="s">
        <v>51</v>
      </c>
      <c r="Q17" s="21" t="s">
        <v>52</v>
      </c>
      <c r="R17" s="21" t="s">
        <v>53</v>
      </c>
      <c r="S17" s="8"/>
      <c r="T17" s="21" t="s">
        <v>62</v>
      </c>
      <c r="U17" s="9" t="n">
        <v>1000</v>
      </c>
      <c r="V17" s="9" t="n">
        <v>804</v>
      </c>
      <c r="W17" s="23" t="n">
        <f aca="false">IF(V17="","",IF(U17="","",V17/U17))</f>
        <v>0.804</v>
      </c>
      <c r="X17" s="8"/>
      <c r="Y17" s="24" t="n">
        <f aca="false">IF(OR(M17="",N17=""),0,M17*N17)</f>
        <v>0</v>
      </c>
    </row>
    <row r="18" customFormat="false" ht="19.5" hidden="false" customHeight="true" outlineLevel="0" collapsed="false">
      <c r="A18" s="8" t="s">
        <v>11</v>
      </c>
      <c r="B18" s="19" t="s">
        <v>96</v>
      </c>
      <c r="C18" s="8" t="s">
        <v>97</v>
      </c>
      <c r="D18" s="8" t="s">
        <v>97</v>
      </c>
      <c r="E18" s="8" t="s">
        <v>98</v>
      </c>
      <c r="F18" s="37"/>
      <c r="G18" s="21" t="s">
        <v>99</v>
      </c>
      <c r="H18" s="21" t="s">
        <v>50</v>
      </c>
      <c r="I18" s="8"/>
      <c r="J18" s="22"/>
      <c r="K18" s="21"/>
      <c r="L18" s="10"/>
      <c r="M18" s="10"/>
      <c r="N18" s="9" t="n">
        <v>1</v>
      </c>
      <c r="O18" s="21" t="str">
        <f aca="false">IF(OR(N18="",Config!$B$3=""),"",IF(N18&lt;=Config!$B$3,"⚠ REORDER",""))</f>
        <v>⚠ REORDER</v>
      </c>
      <c r="P18" s="21" t="s">
        <v>60</v>
      </c>
      <c r="Q18" s="21" t="s">
        <v>61</v>
      </c>
      <c r="R18" s="21" t="s">
        <v>53</v>
      </c>
      <c r="S18" s="8"/>
      <c r="T18" s="21" t="s">
        <v>54</v>
      </c>
      <c r="U18" s="9" t="n">
        <v>1000</v>
      </c>
      <c r="V18" s="9" t="n">
        <v>1000</v>
      </c>
      <c r="W18" s="23" t="n">
        <f aca="false">IF(V18="","",IF(U18="","",V18/U18))</f>
        <v>1</v>
      </c>
      <c r="X18" s="8"/>
      <c r="Y18" s="24" t="n">
        <f aca="false">IF(OR(M18="",N18=""),0,M18*N18)</f>
        <v>0</v>
      </c>
    </row>
    <row r="19" customFormat="false" ht="19.5" hidden="false" customHeight="true" outlineLevel="0" collapsed="false">
      <c r="A19" s="8" t="s">
        <v>11</v>
      </c>
      <c r="B19" s="19" t="s">
        <v>100</v>
      </c>
      <c r="C19" s="8" t="s">
        <v>97</v>
      </c>
      <c r="D19" s="8" t="s">
        <v>97</v>
      </c>
      <c r="E19" s="8" t="s">
        <v>48</v>
      </c>
      <c r="F19" s="38"/>
      <c r="G19" s="21" t="s">
        <v>101</v>
      </c>
      <c r="H19" s="21" t="s">
        <v>50</v>
      </c>
      <c r="I19" s="8"/>
      <c r="J19" s="22"/>
      <c r="K19" s="21"/>
      <c r="L19" s="10"/>
      <c r="M19" s="10"/>
      <c r="N19" s="9" t="n">
        <v>1</v>
      </c>
      <c r="O19" s="21" t="str">
        <f aca="false">IF(OR(N19="",Config!$B$3=""),"",IF(N19&lt;=Config!$B$3,"⚠ REORDER",""))</f>
        <v>⚠ REORDER</v>
      </c>
      <c r="P19" s="21" t="s">
        <v>51</v>
      </c>
      <c r="Q19" s="21" t="s">
        <v>52</v>
      </c>
      <c r="R19" s="21" t="s">
        <v>53</v>
      </c>
      <c r="S19" s="8"/>
      <c r="T19" s="21" t="s">
        <v>54</v>
      </c>
      <c r="U19" s="9" t="n">
        <v>1000</v>
      </c>
      <c r="V19" s="9" t="n">
        <v>169</v>
      </c>
      <c r="W19" s="23" t="n">
        <f aca="false">IF(V19="","",IF(U19="","",V19/U19))</f>
        <v>0.169</v>
      </c>
      <c r="X19" s="8" t="s">
        <v>102</v>
      </c>
      <c r="Y19" s="24" t="n">
        <f aca="false">IF(OR(M19="",N19=""),0,M19*N19)</f>
        <v>0</v>
      </c>
    </row>
    <row r="20" customFormat="false" ht="19.5" hidden="false" customHeight="true" outlineLevel="0" collapsed="false">
      <c r="A20" s="8" t="s">
        <v>18</v>
      </c>
      <c r="B20" s="19" t="s">
        <v>103</v>
      </c>
      <c r="C20" s="8" t="s">
        <v>46</v>
      </c>
      <c r="D20" s="8" t="s">
        <v>47</v>
      </c>
      <c r="E20" s="8" t="s">
        <v>104</v>
      </c>
      <c r="F20" s="39"/>
      <c r="G20" s="40" t="s">
        <v>105</v>
      </c>
      <c r="H20" s="21" t="s">
        <v>50</v>
      </c>
      <c r="I20" s="8"/>
      <c r="J20" s="22"/>
      <c r="K20" s="21"/>
      <c r="L20" s="10"/>
      <c r="M20" s="10"/>
      <c r="N20" s="9" t="n">
        <v>1</v>
      </c>
      <c r="O20" s="21" t="str">
        <f aca="false">IF(OR(N20="",Config!$B$3=""),"",IF(N20&lt;=Config!$B$3,"⚠ REORDER",""))</f>
        <v>⚠ REORDER</v>
      </c>
      <c r="P20" s="21" t="s">
        <v>60</v>
      </c>
      <c r="Q20" s="21" t="s">
        <v>61</v>
      </c>
      <c r="R20" s="21" t="s">
        <v>53</v>
      </c>
      <c r="S20" s="8"/>
      <c r="T20" s="21" t="s">
        <v>54</v>
      </c>
      <c r="U20" s="9" t="n">
        <v>1000</v>
      </c>
      <c r="V20" s="9" t="n">
        <v>1000</v>
      </c>
      <c r="W20" s="23" t="n">
        <f aca="false">IF(V20="","",IF(U20="","",V20/U20))</f>
        <v>1</v>
      </c>
      <c r="X20" s="8" t="s">
        <v>106</v>
      </c>
      <c r="Y20" s="24" t="n">
        <f aca="false">IF(OR(M20="",N20=""),0,M20*N20)</f>
        <v>0</v>
      </c>
    </row>
    <row r="21" customFormat="false" ht="19.5" hidden="false" customHeight="true" outlineLevel="0" collapsed="false">
      <c r="A21" s="8" t="s">
        <v>18</v>
      </c>
      <c r="B21" s="19" t="s">
        <v>103</v>
      </c>
      <c r="C21" s="8" t="s">
        <v>46</v>
      </c>
      <c r="D21" s="8" t="s">
        <v>47</v>
      </c>
      <c r="E21" s="8" t="s">
        <v>104</v>
      </c>
      <c r="F21" s="39"/>
      <c r="G21" s="40" t="s">
        <v>105</v>
      </c>
      <c r="H21" s="21" t="s">
        <v>50</v>
      </c>
      <c r="I21" s="8"/>
      <c r="J21" s="22"/>
      <c r="K21" s="21"/>
      <c r="L21" s="10"/>
      <c r="M21" s="10"/>
      <c r="N21" s="9" t="n">
        <v>1</v>
      </c>
      <c r="O21" s="21" t="str">
        <f aca="false">IF(OR(N21="",Config!$B$3=""),"",IF(N21&lt;=Config!$B$3,"⚠ REORDER",""))</f>
        <v>⚠ REORDER</v>
      </c>
      <c r="P21" s="21" t="s">
        <v>60</v>
      </c>
      <c r="Q21" s="21" t="s">
        <v>61</v>
      </c>
      <c r="R21" s="21" t="s">
        <v>53</v>
      </c>
      <c r="S21" s="8"/>
      <c r="T21" s="21" t="s">
        <v>54</v>
      </c>
      <c r="U21" s="9" t="n">
        <v>1000</v>
      </c>
      <c r="V21" s="9" t="n">
        <v>1000</v>
      </c>
      <c r="W21" s="23" t="n">
        <f aca="false">IF(V21="","",IF(U21="","",V21/U21))</f>
        <v>1</v>
      </c>
      <c r="X21" s="8" t="s">
        <v>106</v>
      </c>
      <c r="Y21" s="24" t="n">
        <f aca="false">IF(OR(M21="",N21=""),0,M21*N21)</f>
        <v>0</v>
      </c>
    </row>
    <row r="22" customFormat="false" ht="19.5" hidden="false" customHeight="true" outlineLevel="0" collapsed="false">
      <c r="A22" s="8" t="s">
        <v>18</v>
      </c>
      <c r="B22" s="19" t="s">
        <v>103</v>
      </c>
      <c r="C22" s="8" t="s">
        <v>46</v>
      </c>
      <c r="D22" s="8" t="s">
        <v>47</v>
      </c>
      <c r="E22" s="8" t="s">
        <v>104</v>
      </c>
      <c r="F22" s="39"/>
      <c r="G22" s="40" t="s">
        <v>105</v>
      </c>
      <c r="H22" s="21" t="s">
        <v>50</v>
      </c>
      <c r="I22" s="8"/>
      <c r="J22" s="22"/>
      <c r="K22" s="21"/>
      <c r="L22" s="10"/>
      <c r="M22" s="10"/>
      <c r="N22" s="9" t="n">
        <v>1</v>
      </c>
      <c r="O22" s="21" t="str">
        <f aca="false">IF(OR(N22="",Config!$B$3=""),"",IF(N22&lt;=Config!$B$3,"⚠ REORDER",""))</f>
        <v>⚠ REORDER</v>
      </c>
      <c r="P22" s="21" t="s">
        <v>60</v>
      </c>
      <c r="Q22" s="21" t="s">
        <v>61</v>
      </c>
      <c r="R22" s="21" t="s">
        <v>53</v>
      </c>
      <c r="S22" s="8"/>
      <c r="T22" s="21" t="s">
        <v>54</v>
      </c>
      <c r="U22" s="9" t="n">
        <v>1000</v>
      </c>
      <c r="V22" s="9" t="n">
        <v>1000</v>
      </c>
      <c r="W22" s="23" t="n">
        <f aca="false">IF(V22="","",IF(U22="","",V22/U22))</f>
        <v>1</v>
      </c>
      <c r="X22" s="8" t="s">
        <v>106</v>
      </c>
      <c r="Y22" s="24" t="n">
        <f aca="false">IF(OR(M22="",N22=""),0,M22*N22)</f>
        <v>0</v>
      </c>
    </row>
    <row r="23" customFormat="false" ht="19.5" hidden="false" customHeight="true" outlineLevel="0" collapsed="false">
      <c r="A23" s="8" t="s">
        <v>18</v>
      </c>
      <c r="B23" s="19" t="s">
        <v>107</v>
      </c>
      <c r="C23" s="8" t="s">
        <v>46</v>
      </c>
      <c r="D23" s="8" t="s">
        <v>47</v>
      </c>
      <c r="E23" s="8" t="s">
        <v>108</v>
      </c>
      <c r="F23" s="41"/>
      <c r="G23" s="21" t="s">
        <v>109</v>
      </c>
      <c r="H23" s="21" t="s">
        <v>50</v>
      </c>
      <c r="I23" s="8"/>
      <c r="J23" s="22"/>
      <c r="K23" s="21"/>
      <c r="L23" s="10"/>
      <c r="M23" s="10"/>
      <c r="N23" s="9" t="n">
        <v>1</v>
      </c>
      <c r="O23" s="21" t="str">
        <f aca="false">IF(OR(N23="",Config!$B$3=""),"",IF(N23&lt;=Config!$B$3,"⚠ REORDER",""))</f>
        <v>⚠ REORDER</v>
      </c>
      <c r="P23" s="21" t="s">
        <v>60</v>
      </c>
      <c r="Q23" s="21" t="s">
        <v>61</v>
      </c>
      <c r="R23" s="21" t="s">
        <v>53</v>
      </c>
      <c r="S23" s="8"/>
      <c r="T23" s="21" t="s">
        <v>54</v>
      </c>
      <c r="U23" s="9" t="n">
        <v>1000</v>
      </c>
      <c r="V23" s="9" t="n">
        <v>1000</v>
      </c>
      <c r="W23" s="23" t="n">
        <f aca="false">IF(V23="","",IF(U23="","",V23/U23))</f>
        <v>1</v>
      </c>
      <c r="X23" s="8"/>
      <c r="Y23" s="24" t="n">
        <f aca="false">IF(OR(M23="",N23=""),0,M23*N23)</f>
        <v>0</v>
      </c>
    </row>
    <row r="24" customFormat="false" ht="19.5" hidden="false" customHeight="true" outlineLevel="0" collapsed="false">
      <c r="A24" s="8" t="s">
        <v>18</v>
      </c>
      <c r="B24" s="19" t="s">
        <v>107</v>
      </c>
      <c r="C24" s="8" t="s">
        <v>46</v>
      </c>
      <c r="D24" s="8" t="s">
        <v>47</v>
      </c>
      <c r="E24" s="8" t="s">
        <v>108</v>
      </c>
      <c r="F24" s="41"/>
      <c r="G24" s="21" t="s">
        <v>109</v>
      </c>
      <c r="H24" s="21" t="s">
        <v>50</v>
      </c>
      <c r="I24" s="8"/>
      <c r="J24" s="22"/>
      <c r="K24" s="21"/>
      <c r="L24" s="10"/>
      <c r="M24" s="10"/>
      <c r="N24" s="9" t="n">
        <v>1</v>
      </c>
      <c r="O24" s="21" t="str">
        <f aca="false">IF(OR(N24="",Config!$B$3=""),"",IF(N24&lt;=Config!$B$3,"⚠ REORDER",""))</f>
        <v>⚠ REORDER</v>
      </c>
      <c r="P24" s="21" t="s">
        <v>60</v>
      </c>
      <c r="Q24" s="21" t="s">
        <v>61</v>
      </c>
      <c r="R24" s="21" t="s">
        <v>53</v>
      </c>
      <c r="S24" s="8"/>
      <c r="T24" s="21" t="s">
        <v>54</v>
      </c>
      <c r="U24" s="9" t="n">
        <v>1000</v>
      </c>
      <c r="V24" s="9" t="n">
        <v>1000</v>
      </c>
      <c r="W24" s="23" t="n">
        <f aca="false">IF(V24="","",IF(U24="","",V24/U24))</f>
        <v>1</v>
      </c>
      <c r="X24" s="8"/>
      <c r="Y24" s="24" t="n">
        <f aca="false">IF(OR(M24="",N24=""),0,M24*N24)</f>
        <v>0</v>
      </c>
    </row>
    <row r="25" customFormat="false" ht="19.5" hidden="false" customHeight="true" outlineLevel="0" collapsed="false">
      <c r="A25" s="8" t="s">
        <v>18</v>
      </c>
      <c r="B25" s="19" t="s">
        <v>110</v>
      </c>
      <c r="C25" s="8" t="s">
        <v>46</v>
      </c>
      <c r="D25" s="8" t="s">
        <v>47</v>
      </c>
      <c r="E25" s="8" t="s">
        <v>111</v>
      </c>
      <c r="F25" s="42"/>
      <c r="G25" s="21" t="s">
        <v>112</v>
      </c>
      <c r="H25" s="21" t="s">
        <v>50</v>
      </c>
      <c r="I25" s="8"/>
      <c r="J25" s="22"/>
      <c r="K25" s="21"/>
      <c r="L25" s="10"/>
      <c r="M25" s="10"/>
      <c r="N25" s="9" t="n">
        <v>1</v>
      </c>
      <c r="O25" s="21" t="str">
        <f aca="false">IF(OR(N25="",Config!$B$3=""),"",IF(N25&lt;=Config!$B$3,"⚠ REORDER",""))</f>
        <v>⚠ REORDER</v>
      </c>
      <c r="P25" s="21" t="s">
        <v>51</v>
      </c>
      <c r="Q25" s="21" t="s">
        <v>52</v>
      </c>
      <c r="R25" s="21" t="s">
        <v>53</v>
      </c>
      <c r="S25" s="8"/>
      <c r="T25" s="21" t="s">
        <v>54</v>
      </c>
      <c r="U25" s="9" t="n">
        <v>1000</v>
      </c>
      <c r="V25" s="9" t="n">
        <v>80</v>
      </c>
      <c r="W25" s="23" t="n">
        <f aca="false">IF(V25="","",IF(U25="","",V25/U25))</f>
        <v>0.08</v>
      </c>
      <c r="X25" s="8"/>
      <c r="Y25" s="24" t="n">
        <f aca="false">IF(OR(M25="",N25=""),0,M25*N25)</f>
        <v>0</v>
      </c>
    </row>
    <row r="26" customFormat="false" ht="19.5" hidden="false" customHeight="true" outlineLevel="0" collapsed="false">
      <c r="A26" s="8" t="s">
        <v>18</v>
      </c>
      <c r="B26" s="19" t="s">
        <v>110</v>
      </c>
      <c r="C26" s="8" t="s">
        <v>46</v>
      </c>
      <c r="D26" s="8" t="s">
        <v>47</v>
      </c>
      <c r="E26" s="8" t="s">
        <v>111</v>
      </c>
      <c r="F26" s="42"/>
      <c r="G26" s="21" t="s">
        <v>112</v>
      </c>
      <c r="H26" s="21" t="s">
        <v>50</v>
      </c>
      <c r="I26" s="8"/>
      <c r="J26" s="22"/>
      <c r="K26" s="21"/>
      <c r="L26" s="10"/>
      <c r="M26" s="10"/>
      <c r="N26" s="9" t="n">
        <v>1</v>
      </c>
      <c r="O26" s="21" t="str">
        <f aca="false">IF(OR(N26="",Config!$B$3=""),"",IF(N26&lt;=Config!$B$3,"⚠ REORDER",""))</f>
        <v>⚠ REORDER</v>
      </c>
      <c r="P26" s="21" t="s">
        <v>60</v>
      </c>
      <c r="Q26" s="21" t="s">
        <v>61</v>
      </c>
      <c r="R26" s="21" t="s">
        <v>53</v>
      </c>
      <c r="S26" s="8"/>
      <c r="T26" s="21" t="s">
        <v>54</v>
      </c>
      <c r="U26" s="9" t="n">
        <v>1000</v>
      </c>
      <c r="V26" s="9" t="n">
        <v>1000</v>
      </c>
      <c r="W26" s="23" t="n">
        <f aca="false">IF(V26="","",IF(U26="","",V26/U26))</f>
        <v>1</v>
      </c>
      <c r="X26" s="8"/>
      <c r="Y26" s="24" t="n">
        <f aca="false">IF(OR(M26="",N26=""),0,M26*N26)</f>
        <v>0</v>
      </c>
    </row>
    <row r="27" customFormat="false" ht="19.5" hidden="false" customHeight="true" outlineLevel="0" collapsed="false">
      <c r="A27" s="8" t="s">
        <v>18</v>
      </c>
      <c r="B27" s="19" t="s">
        <v>113</v>
      </c>
      <c r="C27" s="8" t="s">
        <v>46</v>
      </c>
      <c r="D27" s="8" t="s">
        <v>47</v>
      </c>
      <c r="E27" s="8" t="s">
        <v>114</v>
      </c>
      <c r="F27" s="43"/>
      <c r="G27" s="21" t="s">
        <v>115</v>
      </c>
      <c r="H27" s="21" t="s">
        <v>50</v>
      </c>
      <c r="I27" s="8"/>
      <c r="J27" s="22"/>
      <c r="K27" s="21"/>
      <c r="L27" s="10"/>
      <c r="M27" s="10"/>
      <c r="N27" s="9" t="n">
        <v>1</v>
      </c>
      <c r="O27" s="21" t="str">
        <f aca="false">IF(OR(N27="",Config!$B$3=""),"",IF(N27&lt;=Config!$B$3,"⚠ REORDER",""))</f>
        <v>⚠ REORDER</v>
      </c>
      <c r="P27" s="21" t="s">
        <v>51</v>
      </c>
      <c r="Q27" s="21" t="s">
        <v>52</v>
      </c>
      <c r="R27" s="21" t="s">
        <v>53</v>
      </c>
      <c r="S27" s="8"/>
      <c r="T27" s="21" t="s">
        <v>54</v>
      </c>
      <c r="U27" s="9" t="n">
        <v>1000</v>
      </c>
      <c r="V27" s="9" t="n">
        <v>174</v>
      </c>
      <c r="W27" s="23" t="n">
        <f aca="false">IF(V27="","",IF(U27="","",V27/U27))</f>
        <v>0.174</v>
      </c>
      <c r="X27" s="8"/>
      <c r="Y27" s="24" t="n">
        <f aca="false">IF(OR(M27="",N27=""),0,M27*N27)</f>
        <v>0</v>
      </c>
    </row>
    <row r="28" customFormat="false" ht="19.5" hidden="false" customHeight="true" outlineLevel="0" collapsed="false">
      <c r="A28" s="8" t="s">
        <v>18</v>
      </c>
      <c r="B28" s="19" t="s">
        <v>113</v>
      </c>
      <c r="C28" s="8" t="s">
        <v>46</v>
      </c>
      <c r="D28" s="8" t="s">
        <v>47</v>
      </c>
      <c r="E28" s="8" t="s">
        <v>114</v>
      </c>
      <c r="F28" s="43"/>
      <c r="G28" s="21" t="s">
        <v>115</v>
      </c>
      <c r="H28" s="21" t="s">
        <v>50</v>
      </c>
      <c r="I28" s="8"/>
      <c r="J28" s="22"/>
      <c r="K28" s="21"/>
      <c r="L28" s="10"/>
      <c r="M28" s="10"/>
      <c r="N28" s="9" t="n">
        <v>1</v>
      </c>
      <c r="O28" s="21" t="str">
        <f aca="false">IF(OR(N28="",Config!$B$3=""),"",IF(N28&lt;=Config!$B$3,"⚠ REORDER",""))</f>
        <v>⚠ REORDER</v>
      </c>
      <c r="P28" s="21" t="s">
        <v>60</v>
      </c>
      <c r="Q28" s="21" t="s">
        <v>61</v>
      </c>
      <c r="R28" s="21" t="s">
        <v>53</v>
      </c>
      <c r="S28" s="8"/>
      <c r="T28" s="21" t="s">
        <v>54</v>
      </c>
      <c r="U28" s="9" t="n">
        <v>1000</v>
      </c>
      <c r="V28" s="9" t="n">
        <v>1000</v>
      </c>
      <c r="W28" s="23" t="n">
        <f aca="false">IF(V28="","",IF(U28="","",V28/U28))</f>
        <v>1</v>
      </c>
      <c r="X28" s="8"/>
      <c r="Y28" s="24" t="n">
        <f aca="false">IF(OR(M28="",N28=""),0,M28*N28)</f>
        <v>0</v>
      </c>
    </row>
    <row r="29" customFormat="false" ht="19.5" hidden="false" customHeight="true" outlineLevel="0" collapsed="false">
      <c r="A29" s="8" t="s">
        <v>18</v>
      </c>
      <c r="B29" s="19" t="s">
        <v>113</v>
      </c>
      <c r="C29" s="8" t="s">
        <v>46</v>
      </c>
      <c r="D29" s="8" t="s">
        <v>47</v>
      </c>
      <c r="E29" s="8" t="s">
        <v>114</v>
      </c>
      <c r="F29" s="43"/>
      <c r="G29" s="21" t="s">
        <v>115</v>
      </c>
      <c r="H29" s="21" t="s">
        <v>50</v>
      </c>
      <c r="I29" s="8"/>
      <c r="J29" s="22"/>
      <c r="K29" s="21"/>
      <c r="L29" s="10"/>
      <c r="M29" s="10"/>
      <c r="N29" s="9" t="n">
        <v>1</v>
      </c>
      <c r="O29" s="21" t="str">
        <f aca="false">IF(OR(N29="",Config!$B$3=""),"",IF(N29&lt;=Config!$B$3,"⚠ REORDER",""))</f>
        <v>⚠ REORDER</v>
      </c>
      <c r="P29" s="21" t="s">
        <v>60</v>
      </c>
      <c r="Q29" s="21" t="s">
        <v>61</v>
      </c>
      <c r="R29" s="21" t="s">
        <v>53</v>
      </c>
      <c r="S29" s="8"/>
      <c r="T29" s="21" t="s">
        <v>54</v>
      </c>
      <c r="U29" s="9" t="n">
        <v>1000</v>
      </c>
      <c r="V29" s="9" t="n">
        <v>1000</v>
      </c>
      <c r="W29" s="23" t="n">
        <f aca="false">IF(V29="","",IF(U29="","",V29/U29))</f>
        <v>1</v>
      </c>
      <c r="X29" s="8"/>
      <c r="Y29" s="24" t="n">
        <f aca="false">IF(OR(M29="",N29=""),0,M29*N29)</f>
        <v>0</v>
      </c>
    </row>
    <row r="30" customFormat="false" ht="19.5" hidden="false" customHeight="true" outlineLevel="0" collapsed="false">
      <c r="A30" s="8" t="s">
        <v>18</v>
      </c>
      <c r="B30" s="19" t="s">
        <v>116</v>
      </c>
      <c r="C30" s="8" t="s">
        <v>46</v>
      </c>
      <c r="D30" s="8" t="s">
        <v>47</v>
      </c>
      <c r="E30" s="8" t="s">
        <v>117</v>
      </c>
      <c r="F30" s="44"/>
      <c r="G30" s="21" t="s">
        <v>118</v>
      </c>
      <c r="H30" s="21" t="s">
        <v>50</v>
      </c>
      <c r="I30" s="8"/>
      <c r="J30" s="22"/>
      <c r="K30" s="21"/>
      <c r="L30" s="10"/>
      <c r="M30" s="10"/>
      <c r="N30" s="9" t="n">
        <v>1</v>
      </c>
      <c r="O30" s="21" t="str">
        <f aca="false">IF(OR(N30="",Config!$B$3=""),"",IF(N30&lt;=Config!$B$3,"⚠ REORDER",""))</f>
        <v>⚠ REORDER</v>
      </c>
      <c r="P30" s="21" t="s">
        <v>60</v>
      </c>
      <c r="Q30" s="21" t="s">
        <v>61</v>
      </c>
      <c r="R30" s="21" t="s">
        <v>53</v>
      </c>
      <c r="S30" s="8"/>
      <c r="T30" s="21" t="s">
        <v>54</v>
      </c>
      <c r="U30" s="9" t="n">
        <v>1000</v>
      </c>
      <c r="V30" s="9" t="n">
        <v>1000</v>
      </c>
      <c r="W30" s="23" t="n">
        <f aca="false">IF(V30="","",IF(U30="","",V30/U30))</f>
        <v>1</v>
      </c>
      <c r="X30" s="8"/>
      <c r="Y30" s="24" t="n">
        <f aca="false">IF(OR(M30="",N30=""),0,M30*N30)</f>
        <v>0</v>
      </c>
    </row>
    <row r="31" customFormat="false" ht="19.5" hidden="false" customHeight="true" outlineLevel="0" collapsed="false">
      <c r="A31" s="8" t="s">
        <v>18</v>
      </c>
      <c r="B31" s="19" t="s">
        <v>116</v>
      </c>
      <c r="C31" s="8" t="s">
        <v>46</v>
      </c>
      <c r="D31" s="8" t="s">
        <v>47</v>
      </c>
      <c r="E31" s="8" t="s">
        <v>117</v>
      </c>
      <c r="F31" s="44"/>
      <c r="G31" s="21" t="s">
        <v>118</v>
      </c>
      <c r="H31" s="21" t="s">
        <v>50</v>
      </c>
      <c r="I31" s="8"/>
      <c r="J31" s="22"/>
      <c r="K31" s="21"/>
      <c r="L31" s="10"/>
      <c r="M31" s="10"/>
      <c r="N31" s="9" t="n">
        <v>1</v>
      </c>
      <c r="O31" s="21" t="str">
        <f aca="false">IF(OR(N31="",Config!$B$3=""),"",IF(N31&lt;=Config!$B$3,"⚠ REORDER",""))</f>
        <v>⚠ REORDER</v>
      </c>
      <c r="P31" s="21" t="s">
        <v>60</v>
      </c>
      <c r="Q31" s="21" t="s">
        <v>61</v>
      </c>
      <c r="R31" s="21" t="s">
        <v>53</v>
      </c>
      <c r="S31" s="8"/>
      <c r="T31" s="21" t="s">
        <v>54</v>
      </c>
      <c r="U31" s="9" t="n">
        <v>1000</v>
      </c>
      <c r="V31" s="9" t="n">
        <v>1000</v>
      </c>
      <c r="W31" s="23" t="n">
        <f aca="false">IF(V31="","",IF(U31="","",V31/U31))</f>
        <v>1</v>
      </c>
      <c r="X31" s="8"/>
      <c r="Y31" s="24" t="n">
        <f aca="false">IF(OR(M31="",N31=""),0,M31*N31)</f>
        <v>0</v>
      </c>
    </row>
    <row r="32" customFormat="false" ht="19.5" hidden="false" customHeight="true" outlineLevel="0" collapsed="false">
      <c r="A32" s="8" t="s">
        <v>18</v>
      </c>
      <c r="B32" s="19" t="s">
        <v>45</v>
      </c>
      <c r="C32" s="8" t="s">
        <v>46</v>
      </c>
      <c r="D32" s="8" t="s">
        <v>47</v>
      </c>
      <c r="E32" s="8" t="s">
        <v>48</v>
      </c>
      <c r="F32" s="38"/>
      <c r="G32" s="21" t="s">
        <v>101</v>
      </c>
      <c r="H32" s="21" t="s">
        <v>50</v>
      </c>
      <c r="I32" s="8"/>
      <c r="J32" s="22"/>
      <c r="K32" s="21"/>
      <c r="L32" s="10"/>
      <c r="M32" s="10"/>
      <c r="N32" s="9" t="n">
        <v>1</v>
      </c>
      <c r="O32" s="21" t="str">
        <f aca="false">IF(OR(N32="",Config!$B$3=""),"",IF(N32&lt;=Config!$B$3,"⚠ REORDER",""))</f>
        <v>⚠ REORDER</v>
      </c>
      <c r="P32" s="21" t="s">
        <v>60</v>
      </c>
      <c r="Q32" s="21" t="s">
        <v>61</v>
      </c>
      <c r="R32" s="21" t="s">
        <v>53</v>
      </c>
      <c r="S32" s="8"/>
      <c r="T32" s="21" t="s">
        <v>54</v>
      </c>
      <c r="U32" s="9" t="n">
        <v>1000</v>
      </c>
      <c r="V32" s="9" t="n">
        <v>1000</v>
      </c>
      <c r="W32" s="23" t="n">
        <f aca="false">IF(V32="","",IF(U32="","",V32/U32))</f>
        <v>1</v>
      </c>
      <c r="X32" s="8"/>
      <c r="Y32" s="24" t="n">
        <f aca="false">IF(OR(M32="",N32=""),0,M32*N32)</f>
        <v>0</v>
      </c>
    </row>
    <row r="33" customFormat="false" ht="19.5" hidden="false" customHeight="true" outlineLevel="0" collapsed="false">
      <c r="A33" s="8" t="s">
        <v>18</v>
      </c>
      <c r="B33" s="19" t="s">
        <v>119</v>
      </c>
      <c r="C33" s="8" t="s">
        <v>46</v>
      </c>
      <c r="D33" s="8" t="s">
        <v>47</v>
      </c>
      <c r="E33" s="8" t="s">
        <v>120</v>
      </c>
      <c r="F33" s="45"/>
      <c r="G33" s="21" t="s">
        <v>121</v>
      </c>
      <c r="H33" s="21" t="s">
        <v>50</v>
      </c>
      <c r="I33" s="8"/>
      <c r="J33" s="22"/>
      <c r="K33" s="21"/>
      <c r="L33" s="10"/>
      <c r="M33" s="10"/>
      <c r="N33" s="9" t="n">
        <v>1</v>
      </c>
      <c r="O33" s="21" t="str">
        <f aca="false">IF(OR(N33="",Config!$B$3=""),"",IF(N33&lt;=Config!$B$3,"⚠ REORDER",""))</f>
        <v>⚠ REORDER</v>
      </c>
      <c r="P33" s="21" t="s">
        <v>60</v>
      </c>
      <c r="Q33" s="21" t="s">
        <v>61</v>
      </c>
      <c r="R33" s="21" t="s">
        <v>53</v>
      </c>
      <c r="S33" s="8"/>
      <c r="T33" s="21" t="s">
        <v>54</v>
      </c>
      <c r="U33" s="9" t="n">
        <v>1000</v>
      </c>
      <c r="V33" s="9" t="n">
        <v>1000</v>
      </c>
      <c r="W33" s="23" t="n">
        <f aca="false">IF(V33="","",IF(U33="","",V33/U33))</f>
        <v>1</v>
      </c>
      <c r="X33" s="8"/>
      <c r="Y33" s="24" t="n">
        <f aca="false">IF(OR(M33="",N33=""),0,M33*N33)</f>
        <v>0</v>
      </c>
    </row>
    <row r="34" customFormat="false" ht="19.5" hidden="false" customHeight="true" outlineLevel="0" collapsed="false">
      <c r="A34" s="8" t="s">
        <v>18</v>
      </c>
      <c r="B34" s="19" t="s">
        <v>122</v>
      </c>
      <c r="C34" s="8" t="s">
        <v>123</v>
      </c>
      <c r="D34" s="8" t="s">
        <v>124</v>
      </c>
      <c r="E34" s="8" t="s">
        <v>125</v>
      </c>
      <c r="F34" s="46"/>
      <c r="G34" s="21" t="s">
        <v>126</v>
      </c>
      <c r="H34" s="21" t="s">
        <v>50</v>
      </c>
      <c r="I34" s="8"/>
      <c r="J34" s="22"/>
      <c r="K34" s="21"/>
      <c r="L34" s="10"/>
      <c r="M34" s="10"/>
      <c r="N34" s="9" t="n">
        <v>1</v>
      </c>
      <c r="O34" s="21" t="str">
        <f aca="false">IF(OR(N34="",Config!$B$3=""),"",IF(N34&lt;=Config!$B$3,"⚠ REORDER",""))</f>
        <v>⚠ REORDER</v>
      </c>
      <c r="P34" s="21" t="s">
        <v>51</v>
      </c>
      <c r="Q34" s="21" t="s">
        <v>52</v>
      </c>
      <c r="R34" s="21" t="s">
        <v>53</v>
      </c>
      <c r="S34" s="8"/>
      <c r="T34" s="21" t="s">
        <v>54</v>
      </c>
      <c r="U34" s="9" t="n">
        <v>1000</v>
      </c>
      <c r="V34" s="9" t="n">
        <v>1000</v>
      </c>
      <c r="W34" s="23" t="n">
        <f aca="false">IF(V34="","",IF(U34="","",V34/U34))</f>
        <v>1</v>
      </c>
      <c r="X34" s="8" t="s">
        <v>127</v>
      </c>
      <c r="Y34" s="24" t="n">
        <f aca="false">IF(OR(M34="",N34=""),0,M34*N34)</f>
        <v>0</v>
      </c>
    </row>
    <row r="35" customFormat="false" ht="19.5" hidden="false" customHeight="true" outlineLevel="0" collapsed="false">
      <c r="A35" s="8" t="s">
        <v>18</v>
      </c>
      <c r="B35" s="19" t="s">
        <v>128</v>
      </c>
      <c r="C35" s="8" t="s">
        <v>129</v>
      </c>
      <c r="D35" s="8" t="s">
        <v>130</v>
      </c>
      <c r="E35" s="8" t="s">
        <v>48</v>
      </c>
      <c r="F35" s="38"/>
      <c r="G35" s="21" t="s">
        <v>101</v>
      </c>
      <c r="H35" s="21" t="s">
        <v>50</v>
      </c>
      <c r="I35" s="8"/>
      <c r="J35" s="22"/>
      <c r="K35" s="21"/>
      <c r="L35" s="10"/>
      <c r="M35" s="10" t="n">
        <v>16.98</v>
      </c>
      <c r="N35" s="9" t="n">
        <v>1</v>
      </c>
      <c r="O35" s="21" t="str">
        <f aca="false">IF(OR(N35="",Config!$B$3=""),"",IF(N35&lt;=Config!$B$3,"⚠ REORDER",""))</f>
        <v>⚠ REORDER</v>
      </c>
      <c r="P35" s="21" t="s">
        <v>51</v>
      </c>
      <c r="Q35" s="21" t="s">
        <v>61</v>
      </c>
      <c r="R35" s="21" t="s">
        <v>53</v>
      </c>
      <c r="S35" s="8"/>
      <c r="T35" s="21" t="s">
        <v>54</v>
      </c>
      <c r="U35" s="9" t="n">
        <v>1000</v>
      </c>
      <c r="V35" s="9" t="n">
        <v>0</v>
      </c>
      <c r="W35" s="23" t="n">
        <f aca="false">IF(V35="","",IF(U35="","",V35/U35))</f>
        <v>0</v>
      </c>
      <c r="X35" s="8" t="s">
        <v>131</v>
      </c>
      <c r="Y35" s="24" t="n">
        <f aca="false">IF(OR(M35="",N35=""),0,M35*N35)</f>
        <v>16.98</v>
      </c>
    </row>
    <row r="36" customFormat="false" ht="19.5" hidden="false" customHeight="true" outlineLevel="0" collapsed="false">
      <c r="A36" s="8" t="s">
        <v>18</v>
      </c>
      <c r="B36" s="19" t="s">
        <v>128</v>
      </c>
      <c r="C36" s="8" t="s">
        <v>129</v>
      </c>
      <c r="D36" s="8" t="s">
        <v>130</v>
      </c>
      <c r="E36" s="8" t="s">
        <v>48</v>
      </c>
      <c r="F36" s="38"/>
      <c r="G36" s="21" t="s">
        <v>101</v>
      </c>
      <c r="H36" s="21" t="s">
        <v>50</v>
      </c>
      <c r="I36" s="8"/>
      <c r="J36" s="22"/>
      <c r="K36" s="21"/>
      <c r="L36" s="10"/>
      <c r="M36" s="10" t="n">
        <v>16.98</v>
      </c>
      <c r="N36" s="9" t="n">
        <v>1</v>
      </c>
      <c r="O36" s="21" t="str">
        <f aca="false">IF(OR(N36="",Config!$B$3=""),"",IF(N36&lt;=Config!$B$3,"⚠ REORDER",""))</f>
        <v>⚠ REORDER</v>
      </c>
      <c r="P36" s="21" t="s">
        <v>51</v>
      </c>
      <c r="Q36" s="21" t="s">
        <v>52</v>
      </c>
      <c r="R36" s="21" t="s">
        <v>53</v>
      </c>
      <c r="S36" s="8"/>
      <c r="T36" s="21" t="s">
        <v>54</v>
      </c>
      <c r="U36" s="9" t="n">
        <v>1000</v>
      </c>
      <c r="V36" s="9" t="n">
        <v>801</v>
      </c>
      <c r="W36" s="23" t="n">
        <f aca="false">IF(V36="","",IF(U36="","",V36/U36))</f>
        <v>0.801</v>
      </c>
      <c r="X36" s="8" t="s">
        <v>132</v>
      </c>
      <c r="Y36" s="24" t="n">
        <f aca="false">IF(OR(M36="",N36=""),0,M36*N36)</f>
        <v>16.98</v>
      </c>
    </row>
    <row r="37" customFormat="false" ht="19.5" hidden="false" customHeight="true" outlineLevel="0" collapsed="false">
      <c r="A37" s="8" t="s">
        <v>18</v>
      </c>
      <c r="B37" s="19" t="s">
        <v>133</v>
      </c>
      <c r="C37" s="8" t="s">
        <v>129</v>
      </c>
      <c r="D37" s="8" t="s">
        <v>130</v>
      </c>
      <c r="E37" s="8" t="s">
        <v>108</v>
      </c>
      <c r="F37" s="41"/>
      <c r="G37" s="21" t="s">
        <v>109</v>
      </c>
      <c r="H37" s="21" t="s">
        <v>50</v>
      </c>
      <c r="I37" s="8"/>
      <c r="J37" s="22"/>
      <c r="K37" s="21"/>
      <c r="L37" s="10"/>
      <c r="M37" s="10" t="n">
        <v>10.83</v>
      </c>
      <c r="N37" s="9" t="n">
        <v>1</v>
      </c>
      <c r="O37" s="21" t="str">
        <f aca="false">IF(OR(N37="",Config!$B$3=""),"",IF(N37&lt;=Config!$B$3,"⚠ REORDER",""))</f>
        <v>⚠ REORDER</v>
      </c>
      <c r="P37" s="21" t="s">
        <v>51</v>
      </c>
      <c r="Q37" s="21" t="s">
        <v>52</v>
      </c>
      <c r="R37" s="21" t="s">
        <v>53</v>
      </c>
      <c r="S37" s="8"/>
      <c r="T37" s="21" t="s">
        <v>54</v>
      </c>
      <c r="U37" s="9" t="n">
        <v>1000</v>
      </c>
      <c r="V37" s="9" t="n">
        <v>0</v>
      </c>
      <c r="W37" s="23" t="n">
        <f aca="false">IF(V37="","",IF(U37="","",V37/U37))</f>
        <v>0</v>
      </c>
      <c r="X37" s="8" t="s">
        <v>134</v>
      </c>
      <c r="Y37" s="24" t="n">
        <f aca="false">IF(OR(M37="",N37=""),0,M37*N37)</f>
        <v>10.83</v>
      </c>
    </row>
    <row r="38" customFormat="false" ht="19.5" hidden="false" customHeight="true" outlineLevel="0" collapsed="false">
      <c r="A38" s="8" t="s">
        <v>18</v>
      </c>
      <c r="B38" s="19" t="s">
        <v>133</v>
      </c>
      <c r="C38" s="8" t="s">
        <v>129</v>
      </c>
      <c r="D38" s="8" t="s">
        <v>130</v>
      </c>
      <c r="E38" s="8" t="s">
        <v>108</v>
      </c>
      <c r="F38" s="41"/>
      <c r="G38" s="21" t="s">
        <v>109</v>
      </c>
      <c r="H38" s="21" t="s">
        <v>50</v>
      </c>
      <c r="I38" s="8"/>
      <c r="J38" s="22"/>
      <c r="K38" s="21"/>
      <c r="L38" s="10"/>
      <c r="M38" s="10" t="n">
        <v>10.83</v>
      </c>
      <c r="N38" s="9" t="n">
        <v>1</v>
      </c>
      <c r="O38" s="21" t="str">
        <f aca="false">IF(OR(N38="",Config!$B$3=""),"",IF(N38&lt;=Config!$B$3,"⚠ REORDER",""))</f>
        <v>⚠ REORDER</v>
      </c>
      <c r="P38" s="21" t="s">
        <v>51</v>
      </c>
      <c r="Q38" s="21" t="s">
        <v>52</v>
      </c>
      <c r="R38" s="21" t="s">
        <v>53</v>
      </c>
      <c r="S38" s="8"/>
      <c r="T38" s="21" t="s">
        <v>54</v>
      </c>
      <c r="U38" s="9" t="n">
        <v>1000</v>
      </c>
      <c r="V38" s="9" t="n">
        <v>0</v>
      </c>
      <c r="W38" s="23" t="n">
        <f aca="false">IF(V38="","",IF(U38="","",V38/U38))</f>
        <v>0</v>
      </c>
      <c r="X38" s="8" t="s">
        <v>135</v>
      </c>
      <c r="Y38" s="24" t="n">
        <f aca="false">IF(OR(M38="",N38=""),0,M38*N38)</f>
        <v>10.83</v>
      </c>
    </row>
    <row r="39" customFormat="false" ht="19.5" hidden="false" customHeight="true" outlineLevel="0" collapsed="false">
      <c r="A39" s="8" t="s">
        <v>18</v>
      </c>
      <c r="B39" s="19" t="s">
        <v>133</v>
      </c>
      <c r="C39" s="8" t="s">
        <v>129</v>
      </c>
      <c r="D39" s="8" t="s">
        <v>130</v>
      </c>
      <c r="E39" s="8" t="s">
        <v>108</v>
      </c>
      <c r="F39" s="41"/>
      <c r="G39" s="21" t="s">
        <v>109</v>
      </c>
      <c r="H39" s="21" t="s">
        <v>50</v>
      </c>
      <c r="I39" s="8"/>
      <c r="J39" s="22"/>
      <c r="K39" s="21"/>
      <c r="L39" s="10"/>
      <c r="M39" s="10" t="n">
        <v>10.83</v>
      </c>
      <c r="N39" s="9" t="n">
        <v>1</v>
      </c>
      <c r="O39" s="21" t="str">
        <f aca="false">IF(OR(N39="",Config!$B$3=""),"",IF(N39&lt;=Config!$B$3,"⚠ REORDER",""))</f>
        <v>⚠ REORDER</v>
      </c>
      <c r="P39" s="21" t="s">
        <v>51</v>
      </c>
      <c r="Q39" s="21" t="s">
        <v>52</v>
      </c>
      <c r="R39" s="21" t="s">
        <v>53</v>
      </c>
      <c r="S39" s="8"/>
      <c r="T39" s="21" t="s">
        <v>54</v>
      </c>
      <c r="U39" s="9" t="n">
        <v>1000</v>
      </c>
      <c r="V39" s="9" t="n">
        <v>246</v>
      </c>
      <c r="W39" s="23" t="n">
        <f aca="false">IF(V39="","",IF(U39="","",V39/U39))</f>
        <v>0.246</v>
      </c>
      <c r="X39" s="8" t="s">
        <v>136</v>
      </c>
      <c r="Y39" s="24" t="n">
        <f aca="false">IF(OR(M39="",N39=""),0,M39*N39)</f>
        <v>10.83</v>
      </c>
    </row>
    <row r="40" customFormat="false" ht="19.5" hidden="false" customHeight="true" outlineLevel="0" collapsed="false">
      <c r="A40" s="8" t="s">
        <v>18</v>
      </c>
      <c r="B40" s="19" t="s">
        <v>133</v>
      </c>
      <c r="C40" s="8" t="s">
        <v>129</v>
      </c>
      <c r="D40" s="8" t="s">
        <v>130</v>
      </c>
      <c r="E40" s="8" t="s">
        <v>108</v>
      </c>
      <c r="F40" s="41"/>
      <c r="G40" s="21" t="s">
        <v>109</v>
      </c>
      <c r="H40" s="21" t="s">
        <v>50</v>
      </c>
      <c r="I40" s="8"/>
      <c r="J40" s="22"/>
      <c r="K40" s="21"/>
      <c r="L40" s="10"/>
      <c r="M40" s="10" t="n">
        <v>10.83</v>
      </c>
      <c r="N40" s="9" t="n">
        <v>1</v>
      </c>
      <c r="O40" s="21" t="str">
        <f aca="false">IF(OR(N40="",Config!$B$3=""),"",IF(N40&lt;=Config!$B$3,"⚠ REORDER",""))</f>
        <v>⚠ REORDER</v>
      </c>
      <c r="P40" s="21" t="s">
        <v>51</v>
      </c>
      <c r="Q40" s="21" t="s">
        <v>52</v>
      </c>
      <c r="R40" s="21" t="s">
        <v>53</v>
      </c>
      <c r="S40" s="8"/>
      <c r="T40" s="21" t="s">
        <v>54</v>
      </c>
      <c r="U40" s="9" t="n">
        <v>1000</v>
      </c>
      <c r="V40" s="9" t="n">
        <v>1000</v>
      </c>
      <c r="W40" s="23" t="n">
        <f aca="false">IF(V40="","",IF(U40="","",V40/U40))</f>
        <v>1</v>
      </c>
      <c r="X40" s="8" t="s">
        <v>137</v>
      </c>
      <c r="Y40" s="24" t="n">
        <f aca="false">IF(OR(M40="",N40=""),0,M40*N40)</f>
        <v>10.83</v>
      </c>
    </row>
    <row r="41" customFormat="false" ht="19.5" hidden="false" customHeight="true" outlineLevel="0" collapsed="false">
      <c r="A41" s="8" t="s">
        <v>11</v>
      </c>
      <c r="B41" s="19" t="s">
        <v>138</v>
      </c>
      <c r="C41" s="8" t="s">
        <v>57</v>
      </c>
      <c r="D41" s="8" t="s">
        <v>57</v>
      </c>
      <c r="E41" s="8" t="s">
        <v>139</v>
      </c>
      <c r="F41" s="47"/>
      <c r="G41" s="21" t="s">
        <v>140</v>
      </c>
      <c r="H41" s="21" t="s">
        <v>50</v>
      </c>
      <c r="I41" s="8"/>
      <c r="J41" s="22"/>
      <c r="K41" s="21"/>
      <c r="L41" s="10"/>
      <c r="M41" s="10"/>
      <c r="N41" s="9" t="n">
        <v>1</v>
      </c>
      <c r="O41" s="21" t="str">
        <f aca="false">IF(OR(N41="",Config!$B$3=""),"",IF(N41&lt;=Config!$B$3,"⚠ REORDER",""))</f>
        <v>⚠ REORDER</v>
      </c>
      <c r="P41" s="21" t="s">
        <v>51</v>
      </c>
      <c r="Q41" s="21" t="s">
        <v>52</v>
      </c>
      <c r="R41" s="21" t="s">
        <v>53</v>
      </c>
      <c r="S41" s="8"/>
      <c r="T41" s="21" t="s">
        <v>54</v>
      </c>
      <c r="U41" s="9" t="n">
        <v>1000</v>
      </c>
      <c r="V41" s="9" t="n">
        <v>138</v>
      </c>
      <c r="W41" s="23" t="n">
        <f aca="false">IF(V41="","",IF(U41="","",V41/U41))</f>
        <v>0.138</v>
      </c>
      <c r="X41" s="8" t="s">
        <v>141</v>
      </c>
      <c r="Y41" s="24" t="n">
        <f aca="false">IF(OR(M41="",N41=""),0,M41*N41)</f>
        <v>0</v>
      </c>
    </row>
    <row r="42" customFormat="false" ht="19.5" hidden="false" customHeight="true" outlineLevel="0" collapsed="false">
      <c r="A42" s="8" t="s">
        <v>11</v>
      </c>
      <c r="B42" s="19" t="s">
        <v>142</v>
      </c>
      <c r="C42" s="8" t="s">
        <v>57</v>
      </c>
      <c r="D42" s="8" t="s">
        <v>57</v>
      </c>
      <c r="E42" s="8" t="s">
        <v>143</v>
      </c>
      <c r="F42" s="38"/>
      <c r="G42" s="21" t="s">
        <v>101</v>
      </c>
      <c r="H42" s="21" t="s">
        <v>50</v>
      </c>
      <c r="I42" s="8"/>
      <c r="J42" s="22"/>
      <c r="K42" s="21"/>
      <c r="L42" s="10"/>
      <c r="M42" s="10"/>
      <c r="N42" s="9" t="n">
        <v>1</v>
      </c>
      <c r="O42" s="21" t="str">
        <f aca="false">IF(OR(N42="",Config!$B$3=""),"",IF(N42&lt;=Config!$B$3,"⚠ REORDER",""))</f>
        <v>⚠ REORDER</v>
      </c>
      <c r="P42" s="21" t="s">
        <v>51</v>
      </c>
      <c r="Q42" s="21" t="s">
        <v>52</v>
      </c>
      <c r="R42" s="21" t="s">
        <v>53</v>
      </c>
      <c r="S42" s="8"/>
      <c r="T42" s="21" t="s">
        <v>54</v>
      </c>
      <c r="U42" s="9" t="n">
        <v>1000</v>
      </c>
      <c r="V42" s="9" t="n">
        <v>76</v>
      </c>
      <c r="W42" s="23" t="n">
        <f aca="false">IF(V42="","",IF(U42="","",V42/U42))</f>
        <v>0.076</v>
      </c>
      <c r="X42" s="8"/>
      <c r="Y42" s="24" t="n">
        <f aca="false">IF(OR(M42="",N42=""),0,M42*N42)</f>
        <v>0</v>
      </c>
    </row>
    <row r="43" customFormat="false" ht="19.5" hidden="false" customHeight="true" outlineLevel="0" collapsed="false">
      <c r="A43" s="8" t="s">
        <v>11</v>
      </c>
      <c r="B43" s="19" t="s">
        <v>80</v>
      </c>
      <c r="C43" s="8" t="s">
        <v>57</v>
      </c>
      <c r="D43" s="8" t="s">
        <v>57</v>
      </c>
      <c r="E43" s="8" t="s">
        <v>81</v>
      </c>
      <c r="F43" s="32"/>
      <c r="G43" s="21" t="s">
        <v>82</v>
      </c>
      <c r="H43" s="21" t="s">
        <v>50</v>
      </c>
      <c r="I43" s="8"/>
      <c r="J43" s="22"/>
      <c r="K43" s="21"/>
      <c r="L43" s="10"/>
      <c r="M43" s="10"/>
      <c r="N43" s="9" t="n">
        <v>1</v>
      </c>
      <c r="O43" s="21" t="str">
        <f aca="false">IF(OR(N43="",Config!$B$3=""),"",IF(N43&lt;=Config!$B$3,"⚠ REORDER",""))</f>
        <v>⚠ REORDER</v>
      </c>
      <c r="P43" s="21" t="s">
        <v>51</v>
      </c>
      <c r="Q43" s="21" t="s">
        <v>52</v>
      </c>
      <c r="R43" s="21" t="s">
        <v>53</v>
      </c>
      <c r="S43" s="8"/>
      <c r="T43" s="21" t="s">
        <v>62</v>
      </c>
      <c r="U43" s="9" t="n">
        <v>1000</v>
      </c>
      <c r="V43" s="9" t="n">
        <v>350</v>
      </c>
      <c r="W43" s="23" t="n">
        <f aca="false">IF(V43="","",IF(U43="","",V43/U43))</f>
        <v>0.35</v>
      </c>
      <c r="X43" s="8" t="s">
        <v>144</v>
      </c>
      <c r="Y43" s="24" t="n">
        <f aca="false">IF(OR(M43="",N43=""),0,M43*N43)</f>
        <v>0</v>
      </c>
    </row>
    <row r="44" customFormat="false" ht="19.5" hidden="false" customHeight="true" outlineLevel="0" collapsed="false">
      <c r="A44" s="8" t="s">
        <v>11</v>
      </c>
      <c r="B44" s="19" t="s">
        <v>73</v>
      </c>
      <c r="C44" s="8" t="s">
        <v>57</v>
      </c>
      <c r="D44" s="8" t="s">
        <v>57</v>
      </c>
      <c r="E44" s="8" t="s">
        <v>74</v>
      </c>
      <c r="F44" s="29"/>
      <c r="G44" s="21" t="s">
        <v>75</v>
      </c>
      <c r="H44" s="21" t="s">
        <v>50</v>
      </c>
      <c r="I44" s="8"/>
      <c r="J44" s="22"/>
      <c r="K44" s="21"/>
      <c r="L44" s="10"/>
      <c r="M44" s="10"/>
      <c r="N44" s="9" t="n">
        <v>1</v>
      </c>
      <c r="O44" s="21" t="str">
        <f aca="false">IF(OR(N44="",Config!$B$3=""),"",IF(N44&lt;=Config!$B$3,"⚠ REORDER",""))</f>
        <v>⚠ REORDER</v>
      </c>
      <c r="P44" s="21" t="s">
        <v>51</v>
      </c>
      <c r="Q44" s="21" t="s">
        <v>52</v>
      </c>
      <c r="R44" s="21" t="s">
        <v>53</v>
      </c>
      <c r="S44" s="8"/>
      <c r="T44" s="21" t="s">
        <v>62</v>
      </c>
      <c r="U44" s="9" t="n">
        <v>1000</v>
      </c>
      <c r="V44" s="9" t="n">
        <v>482</v>
      </c>
      <c r="W44" s="23" t="n">
        <f aca="false">IF(V44="","",IF(U44="","",V44/U44))</f>
        <v>0.482</v>
      </c>
      <c r="X44" s="30" t="s">
        <v>145</v>
      </c>
      <c r="Y44" s="24" t="n">
        <f aca="false">IF(OR(M44="",N44=""),0,M44*N44)</f>
        <v>0</v>
      </c>
    </row>
    <row r="45" customFormat="false" ht="19.5" hidden="false" customHeight="true" outlineLevel="0" collapsed="false">
      <c r="A45" s="8" t="s">
        <v>11</v>
      </c>
      <c r="B45" s="19" t="s">
        <v>146</v>
      </c>
      <c r="C45" s="8" t="s">
        <v>97</v>
      </c>
      <c r="D45" s="8" t="s">
        <v>97</v>
      </c>
      <c r="E45" s="8" t="s">
        <v>147</v>
      </c>
      <c r="F45" s="48"/>
      <c r="G45" s="21" t="s">
        <v>148</v>
      </c>
      <c r="H45" s="21" t="s">
        <v>50</v>
      </c>
      <c r="I45" s="8"/>
      <c r="J45" s="22"/>
      <c r="K45" s="21"/>
      <c r="L45" s="10"/>
      <c r="M45" s="10"/>
      <c r="N45" s="9" t="n">
        <v>1</v>
      </c>
      <c r="O45" s="21" t="str">
        <f aca="false">IF(OR(N45="",Config!$B$3=""),"",IF(N45&lt;=Config!$B$3,"⚠ REORDER",""))</f>
        <v>⚠ REORDER</v>
      </c>
      <c r="P45" s="21" t="s">
        <v>51</v>
      </c>
      <c r="Q45" s="21" t="s">
        <v>52</v>
      </c>
      <c r="R45" s="21" t="s">
        <v>53</v>
      </c>
      <c r="S45" s="8"/>
      <c r="T45" s="21" t="s">
        <v>54</v>
      </c>
      <c r="U45" s="9" t="n">
        <v>1000</v>
      </c>
      <c r="V45" s="9" t="n">
        <v>532</v>
      </c>
      <c r="W45" s="23" t="n">
        <f aca="false">IF(V45="","",IF(U45="","",V45/U45))</f>
        <v>0.532</v>
      </c>
      <c r="X45" s="8"/>
      <c r="Y45" s="24" t="n">
        <f aca="false">IF(OR(M45="",N45=""),0,M45*N45)</f>
        <v>0</v>
      </c>
    </row>
    <row r="46" customFormat="false" ht="19.5" hidden="false" customHeight="true" outlineLevel="0" collapsed="false">
      <c r="A46" s="8" t="s">
        <v>18</v>
      </c>
      <c r="B46" s="19" t="s">
        <v>149</v>
      </c>
      <c r="C46" s="8" t="s">
        <v>46</v>
      </c>
      <c r="D46" s="8" t="s">
        <v>47</v>
      </c>
      <c r="E46" s="8" t="s">
        <v>150</v>
      </c>
      <c r="F46" s="49"/>
      <c r="G46" s="21" t="s">
        <v>151</v>
      </c>
      <c r="H46" s="21" t="s">
        <v>50</v>
      </c>
      <c r="I46" s="8"/>
      <c r="J46" s="22"/>
      <c r="K46" s="21"/>
      <c r="L46" s="10"/>
      <c r="M46" s="10"/>
      <c r="N46" s="9" t="n">
        <v>1</v>
      </c>
      <c r="O46" s="21" t="str">
        <f aca="false">IF(OR(N46="",Config!$B$3=""),"",IF(N46&lt;=Config!$B$3,"⚠ REORDER",""))</f>
        <v>⚠ REORDER</v>
      </c>
      <c r="P46" s="21" t="s">
        <v>51</v>
      </c>
      <c r="Q46" s="21" t="s">
        <v>52</v>
      </c>
      <c r="R46" s="21" t="s">
        <v>53</v>
      </c>
      <c r="S46" s="8"/>
      <c r="T46" s="21" t="s">
        <v>54</v>
      </c>
      <c r="U46" s="9" t="n">
        <v>1000</v>
      </c>
      <c r="V46" s="9" t="n">
        <v>583</v>
      </c>
      <c r="W46" s="23" t="n">
        <f aca="false">IF(V46="","",IF(U46="","",V46/U46))</f>
        <v>0.583</v>
      </c>
      <c r="X46" s="8"/>
      <c r="Y46" s="24" t="n">
        <f aca="false">IF(OR(M46="",N46=""),0,M46*N46)</f>
        <v>0</v>
      </c>
    </row>
    <row r="47" customFormat="false" ht="19.5" hidden="false" customHeight="true" outlineLevel="0" collapsed="false">
      <c r="A47" s="8" t="s">
        <v>11</v>
      </c>
      <c r="B47" s="19" t="s">
        <v>152</v>
      </c>
      <c r="C47" s="8" t="s">
        <v>97</v>
      </c>
      <c r="D47" s="8" t="s">
        <v>97</v>
      </c>
      <c r="E47" s="8" t="s">
        <v>94</v>
      </c>
      <c r="F47" s="50"/>
      <c r="G47" s="21" t="s">
        <v>153</v>
      </c>
      <c r="H47" s="21" t="s">
        <v>50</v>
      </c>
      <c r="I47" s="8"/>
      <c r="J47" s="22"/>
      <c r="K47" s="21"/>
      <c r="L47" s="10"/>
      <c r="M47" s="10"/>
      <c r="N47" s="9" t="n">
        <v>1</v>
      </c>
      <c r="O47" s="21" t="str">
        <f aca="false">IF(OR(N47="",Config!$B$3=""),"",IF(N47&lt;=Config!$B$3,"⚠ REORDER",""))</f>
        <v>⚠ REORDER</v>
      </c>
      <c r="P47" s="21" t="s">
        <v>51</v>
      </c>
      <c r="Q47" s="21" t="s">
        <v>52</v>
      </c>
      <c r="R47" s="21" t="s">
        <v>53</v>
      </c>
      <c r="S47" s="8"/>
      <c r="T47" s="21" t="s">
        <v>54</v>
      </c>
      <c r="U47" s="9" t="n">
        <v>1000</v>
      </c>
      <c r="V47" s="9" t="n">
        <v>99</v>
      </c>
      <c r="W47" s="23" t="n">
        <f aca="false">IF(V47="","",IF(U47="","",V47/U47))</f>
        <v>0.099</v>
      </c>
      <c r="X47" s="8"/>
      <c r="Y47" s="24" t="n">
        <f aca="false">IF(OR(M47="",N47=""),0,M47*N47)</f>
        <v>0</v>
      </c>
    </row>
    <row r="48" customFormat="false" ht="19.5" hidden="false" customHeight="true" outlineLevel="0" collapsed="false">
      <c r="A48" s="8" t="s">
        <v>11</v>
      </c>
      <c r="B48" s="19" t="s">
        <v>86</v>
      </c>
      <c r="C48" s="8" t="s">
        <v>57</v>
      </c>
      <c r="D48" s="8" t="s">
        <v>57</v>
      </c>
      <c r="E48" s="8" t="s">
        <v>87</v>
      </c>
      <c r="F48" s="34"/>
      <c r="G48" s="21" t="s">
        <v>88</v>
      </c>
      <c r="H48" s="21" t="s">
        <v>50</v>
      </c>
      <c r="I48" s="8"/>
      <c r="J48" s="22" t="n">
        <v>46236</v>
      </c>
      <c r="K48" s="21" t="s">
        <v>11</v>
      </c>
      <c r="L48" s="10" t="n">
        <v>19.99</v>
      </c>
      <c r="M48" s="10" t="n">
        <v>12.99</v>
      </c>
      <c r="N48" s="9" t="n">
        <v>1</v>
      </c>
      <c r="O48" s="21" t="str">
        <f aca="false">IF(OR(N48="",Config!$B$3=""),"",IF(N48&lt;=Config!$B$3,"⚠ REORDER",""))</f>
        <v>⚠ REORDER</v>
      </c>
      <c r="P48" s="21" t="s">
        <v>60</v>
      </c>
      <c r="Q48" s="21" t="s">
        <v>61</v>
      </c>
      <c r="R48" s="21" t="s">
        <v>53</v>
      </c>
      <c r="S48" s="8"/>
      <c r="T48" s="21" t="s">
        <v>62</v>
      </c>
      <c r="U48" s="9" t="n">
        <v>1000</v>
      </c>
      <c r="V48" s="9" t="n">
        <v>1000</v>
      </c>
      <c r="W48" s="23" t="n">
        <f aca="false">IF(V48="","",IF(U48="","",V48/U48))</f>
        <v>1</v>
      </c>
      <c r="X48" s="8"/>
      <c r="Y48" s="24" t="n">
        <f aca="false">IF(OR(M48="",N48=""),0,M48*N48)</f>
        <v>12.99</v>
      </c>
    </row>
    <row r="49" customFormat="false" ht="19.5" hidden="false" customHeight="true" outlineLevel="0" collapsed="false">
      <c r="A49" s="8" t="s">
        <v>11</v>
      </c>
      <c r="B49" s="19" t="s">
        <v>80</v>
      </c>
      <c r="C49" s="8" t="s">
        <v>57</v>
      </c>
      <c r="D49" s="8" t="s">
        <v>57</v>
      </c>
      <c r="E49" s="8" t="s">
        <v>81</v>
      </c>
      <c r="F49" s="32"/>
      <c r="G49" s="21" t="s">
        <v>82</v>
      </c>
      <c r="H49" s="21" t="s">
        <v>50</v>
      </c>
      <c r="I49" s="8"/>
      <c r="J49" s="22" t="n">
        <v>46236</v>
      </c>
      <c r="K49" s="21" t="s">
        <v>11</v>
      </c>
      <c r="L49" s="10" t="n">
        <v>19.99</v>
      </c>
      <c r="M49" s="10" t="n">
        <v>12.99</v>
      </c>
      <c r="N49" s="9" t="n">
        <v>1</v>
      </c>
      <c r="O49" s="21" t="str">
        <f aca="false">IF(OR(N49="",Config!$B$3=""),"",IF(N49&lt;=Config!$B$3,"⚠ REORDER",""))</f>
        <v>⚠ REORDER</v>
      </c>
      <c r="P49" s="21" t="s">
        <v>60</v>
      </c>
      <c r="Q49" s="21" t="s">
        <v>61</v>
      </c>
      <c r="R49" s="21" t="s">
        <v>53</v>
      </c>
      <c r="S49" s="8"/>
      <c r="T49" s="21" t="s">
        <v>62</v>
      </c>
      <c r="U49" s="9" t="n">
        <v>1000</v>
      </c>
      <c r="V49" s="9" t="n">
        <v>1000</v>
      </c>
      <c r="W49" s="23" t="n">
        <f aca="false">IF(V49="","",IF(U49="","",V49/U49))</f>
        <v>1</v>
      </c>
      <c r="X49" s="8"/>
      <c r="Y49" s="24" t="n">
        <f aca="false">IF(OR(M49="",N49=""),0,M49*N49)</f>
        <v>12.99</v>
      </c>
    </row>
    <row r="50" customFormat="false" ht="19.5" hidden="false" customHeight="true" outlineLevel="0" collapsed="false">
      <c r="A50" s="8" t="s">
        <v>11</v>
      </c>
      <c r="B50" s="19" t="s">
        <v>138</v>
      </c>
      <c r="C50" s="8" t="s">
        <v>57</v>
      </c>
      <c r="D50" s="8" t="s">
        <v>57</v>
      </c>
      <c r="E50" s="8" t="s">
        <v>139</v>
      </c>
      <c r="F50" s="47"/>
      <c r="G50" s="21" t="s">
        <v>140</v>
      </c>
      <c r="H50" s="21" t="s">
        <v>50</v>
      </c>
      <c r="I50" s="8"/>
      <c r="J50" s="22" t="n">
        <v>46236</v>
      </c>
      <c r="K50" s="21" t="s">
        <v>11</v>
      </c>
      <c r="L50" s="10" t="n">
        <v>19.99</v>
      </c>
      <c r="M50" s="10" t="n">
        <v>12.99</v>
      </c>
      <c r="N50" s="9" t="n">
        <v>1</v>
      </c>
      <c r="O50" s="21" t="str">
        <f aca="false">IF(OR(N50="",Config!$B$3=""),"",IF(N50&lt;=Config!$B$3,"⚠ REORDER",""))</f>
        <v>⚠ REORDER</v>
      </c>
      <c r="P50" s="21" t="s">
        <v>60</v>
      </c>
      <c r="Q50" s="21" t="s">
        <v>61</v>
      </c>
      <c r="R50" s="21" t="s">
        <v>53</v>
      </c>
      <c r="S50" s="8"/>
      <c r="T50" s="21" t="s">
        <v>62</v>
      </c>
      <c r="U50" s="9" t="n">
        <v>1000</v>
      </c>
      <c r="V50" s="9" t="n">
        <v>1000</v>
      </c>
      <c r="W50" s="23" t="n">
        <f aca="false">IF(V50="","",IF(U50="","",V50/U50))</f>
        <v>1</v>
      </c>
      <c r="X50" s="8"/>
      <c r="Y50" s="24" t="n">
        <f aca="false">IF(OR(M50="",N50=""),0,M50*N50)</f>
        <v>12.99</v>
      </c>
    </row>
    <row r="51" customFormat="false" ht="19.5" hidden="false" customHeight="true" outlineLevel="0" collapsed="false">
      <c r="A51" s="8" t="s">
        <v>11</v>
      </c>
      <c r="B51" s="19" t="s">
        <v>138</v>
      </c>
      <c r="C51" s="8" t="s">
        <v>57</v>
      </c>
      <c r="D51" s="8" t="s">
        <v>57</v>
      </c>
      <c r="E51" s="8" t="s">
        <v>139</v>
      </c>
      <c r="F51" s="47"/>
      <c r="G51" s="21" t="s">
        <v>140</v>
      </c>
      <c r="H51" s="21" t="s">
        <v>50</v>
      </c>
      <c r="I51" s="8"/>
      <c r="J51" s="22" t="n">
        <v>46236</v>
      </c>
      <c r="K51" s="21" t="s">
        <v>11</v>
      </c>
      <c r="L51" s="10" t="n">
        <v>19.99</v>
      </c>
      <c r="M51" s="10" t="n">
        <v>12.99</v>
      </c>
      <c r="N51" s="9" t="n">
        <v>1</v>
      </c>
      <c r="O51" s="21" t="str">
        <f aca="false">IF(OR(N51="",Config!$B$3=""),"",IF(N51&lt;=Config!$B$3,"⚠ REORDER",""))</f>
        <v>⚠ REORDER</v>
      </c>
      <c r="P51" s="21" t="s">
        <v>60</v>
      </c>
      <c r="Q51" s="21" t="s">
        <v>61</v>
      </c>
      <c r="R51" s="21" t="s">
        <v>53</v>
      </c>
      <c r="S51" s="8"/>
      <c r="T51" s="21" t="s">
        <v>62</v>
      </c>
      <c r="U51" s="9" t="n">
        <v>1000</v>
      </c>
      <c r="V51" s="9" t="n">
        <v>1000</v>
      </c>
      <c r="W51" s="23" t="n">
        <f aca="false">IF(V51="","",IF(U51="","",V51/U51))</f>
        <v>1</v>
      </c>
      <c r="X51" s="8"/>
      <c r="Y51" s="24" t="n">
        <f aca="false">IF(OR(M51="",N51=""),0,M51*N51)</f>
        <v>12.99</v>
      </c>
    </row>
    <row r="52" customFormat="false" ht="19.5" hidden="false" customHeight="true" outlineLevel="0" collapsed="false">
      <c r="A52" s="8" t="s">
        <v>11</v>
      </c>
      <c r="B52" s="19" t="s">
        <v>142</v>
      </c>
      <c r="C52" s="8" t="s">
        <v>57</v>
      </c>
      <c r="D52" s="8" t="s">
        <v>57</v>
      </c>
      <c r="E52" s="8" t="s">
        <v>143</v>
      </c>
      <c r="F52" s="38"/>
      <c r="G52" s="21" t="s">
        <v>101</v>
      </c>
      <c r="H52" s="21" t="s">
        <v>50</v>
      </c>
      <c r="I52" s="8"/>
      <c r="J52" s="22" t="n">
        <v>46236</v>
      </c>
      <c r="K52" s="21" t="s">
        <v>11</v>
      </c>
      <c r="L52" s="10" t="n">
        <v>19.99</v>
      </c>
      <c r="M52" s="10" t="n">
        <v>12.99</v>
      </c>
      <c r="N52" s="9" t="n">
        <v>1</v>
      </c>
      <c r="O52" s="21" t="str">
        <f aca="false">IF(OR(N52="",Config!$B$3=""),"",IF(N52&lt;=Config!$B$3,"⚠ REORDER",""))</f>
        <v>⚠ REORDER</v>
      </c>
      <c r="P52" s="21" t="s">
        <v>60</v>
      </c>
      <c r="Q52" s="21" t="s">
        <v>61</v>
      </c>
      <c r="R52" s="21" t="s">
        <v>53</v>
      </c>
      <c r="S52" s="8"/>
      <c r="T52" s="21" t="s">
        <v>62</v>
      </c>
      <c r="U52" s="9" t="n">
        <v>1000</v>
      </c>
      <c r="V52" s="9" t="n">
        <v>1000</v>
      </c>
      <c r="W52" s="23" t="n">
        <f aca="false">IF(V52="","",IF(U52="","",V52/U52))</f>
        <v>1</v>
      </c>
      <c r="X52" s="8"/>
      <c r="Y52" s="24" t="n">
        <f aca="false">IF(OR(M52="",N52=""),0,M52*N52)</f>
        <v>12.99</v>
      </c>
    </row>
    <row r="53" customFormat="false" ht="19.5" hidden="false" customHeight="true" outlineLevel="0" collapsed="false">
      <c r="A53" s="8" t="s">
        <v>11</v>
      </c>
      <c r="B53" s="19" t="s">
        <v>142</v>
      </c>
      <c r="C53" s="8" t="s">
        <v>57</v>
      </c>
      <c r="D53" s="8" t="s">
        <v>57</v>
      </c>
      <c r="E53" s="8" t="s">
        <v>143</v>
      </c>
      <c r="F53" s="38"/>
      <c r="G53" s="21" t="s">
        <v>101</v>
      </c>
      <c r="H53" s="21" t="s">
        <v>50</v>
      </c>
      <c r="I53" s="8"/>
      <c r="J53" s="22" t="n">
        <v>46236</v>
      </c>
      <c r="K53" s="21" t="s">
        <v>11</v>
      </c>
      <c r="L53" s="10" t="n">
        <v>19.99</v>
      </c>
      <c r="M53" s="10" t="n">
        <v>12.99</v>
      </c>
      <c r="N53" s="9" t="n">
        <v>1</v>
      </c>
      <c r="O53" s="21" t="str">
        <f aca="false">IF(OR(N53="",Config!$B$3=""),"",IF(N53&lt;=Config!$B$3,"⚠ REORDER",""))</f>
        <v>⚠ REORDER</v>
      </c>
      <c r="P53" s="21" t="s">
        <v>60</v>
      </c>
      <c r="Q53" s="21" t="s">
        <v>61</v>
      </c>
      <c r="R53" s="21" t="s">
        <v>53</v>
      </c>
      <c r="S53" s="8"/>
      <c r="T53" s="21" t="s">
        <v>62</v>
      </c>
      <c r="U53" s="9" t="n">
        <v>1000</v>
      </c>
      <c r="V53" s="9" t="n">
        <v>1000</v>
      </c>
      <c r="W53" s="23" t="n">
        <f aca="false">IF(V53="","",IF(U53="","",V53/U53))</f>
        <v>1</v>
      </c>
      <c r="X53" s="8"/>
      <c r="Y53" s="24" t="n">
        <f aca="false">IF(OR(M53="",N53=""),0,M53*N53)</f>
        <v>12.99</v>
      </c>
    </row>
    <row r="54" customFormat="false" ht="19.5" hidden="false" customHeight="true" outlineLevel="0" collapsed="false">
      <c r="A54" s="8" t="s">
        <v>11</v>
      </c>
      <c r="B54" s="19" t="s">
        <v>83</v>
      </c>
      <c r="C54" s="8" t="s">
        <v>57</v>
      </c>
      <c r="D54" s="8" t="s">
        <v>57</v>
      </c>
      <c r="E54" s="8" t="s">
        <v>84</v>
      </c>
      <c r="F54" s="33"/>
      <c r="G54" s="21" t="s">
        <v>85</v>
      </c>
      <c r="H54" s="21" t="s">
        <v>50</v>
      </c>
      <c r="I54" s="8"/>
      <c r="J54" s="22" t="n">
        <v>46236</v>
      </c>
      <c r="K54" s="21" t="s">
        <v>11</v>
      </c>
      <c r="L54" s="10" t="n">
        <v>19.99</v>
      </c>
      <c r="M54" s="10" t="n">
        <v>12.99</v>
      </c>
      <c r="N54" s="9" t="n">
        <v>1</v>
      </c>
      <c r="O54" s="21" t="str">
        <f aca="false">IF(OR(N54="",Config!$B$3=""),"",IF(N54&lt;=Config!$B$3,"⚠ REORDER",""))</f>
        <v>⚠ REORDER</v>
      </c>
      <c r="P54" s="21" t="s">
        <v>60</v>
      </c>
      <c r="Q54" s="21" t="s">
        <v>61</v>
      </c>
      <c r="R54" s="21" t="s">
        <v>53</v>
      </c>
      <c r="S54" s="8"/>
      <c r="T54" s="21" t="s">
        <v>62</v>
      </c>
      <c r="U54" s="9" t="n">
        <v>1000</v>
      </c>
      <c r="V54" s="9" t="n">
        <v>1000</v>
      </c>
      <c r="W54" s="23" t="n">
        <f aca="false">IF(V54="","",IF(U54="","",V54/U54))</f>
        <v>1</v>
      </c>
      <c r="X54" s="8"/>
      <c r="Y54" s="24" t="n">
        <f aca="false">IF(OR(M54="",N54=""),0,M54*N54)</f>
        <v>12.99</v>
      </c>
    </row>
    <row r="55" customFormat="false" ht="19.5" hidden="false" customHeight="true" outlineLevel="0" collapsed="false">
      <c r="A55" s="8" t="s">
        <v>11</v>
      </c>
      <c r="B55" s="19" t="s">
        <v>77</v>
      </c>
      <c r="C55" s="8" t="s">
        <v>57</v>
      </c>
      <c r="D55" s="8" t="s">
        <v>57</v>
      </c>
      <c r="E55" s="8" t="s">
        <v>78</v>
      </c>
      <c r="F55" s="31"/>
      <c r="G55" s="21" t="s">
        <v>79</v>
      </c>
      <c r="H55" s="21" t="s">
        <v>50</v>
      </c>
      <c r="I55" s="8"/>
      <c r="J55" s="22" t="n">
        <v>46236</v>
      </c>
      <c r="K55" s="21" t="s">
        <v>11</v>
      </c>
      <c r="L55" s="10" t="n">
        <v>19.99</v>
      </c>
      <c r="M55" s="10" t="n">
        <v>12.99</v>
      </c>
      <c r="N55" s="9" t="n">
        <v>1</v>
      </c>
      <c r="O55" s="21" t="str">
        <f aca="false">IF(OR(N55="",Config!$B$3=""),"",IF(N55&lt;=Config!$B$3,"⚠ REORDER",""))</f>
        <v>⚠ REORDER</v>
      </c>
      <c r="P55" s="21" t="s">
        <v>60</v>
      </c>
      <c r="Q55" s="21" t="s">
        <v>61</v>
      </c>
      <c r="R55" s="21" t="s">
        <v>53</v>
      </c>
      <c r="S55" s="8"/>
      <c r="T55" s="21" t="s">
        <v>62</v>
      </c>
      <c r="U55" s="9" t="n">
        <v>1000</v>
      </c>
      <c r="V55" s="9" t="n">
        <v>1000</v>
      </c>
      <c r="W55" s="23" t="n">
        <f aca="false">IF(V55="","",IF(U55="","",V55/U55))</f>
        <v>1</v>
      </c>
      <c r="X55" s="8"/>
      <c r="Y55" s="24" t="n">
        <f aca="false">IF(OR(M55="",N55=""),0,M55*N55)</f>
        <v>12.99</v>
      </c>
    </row>
    <row r="56" customFormat="false" ht="19.5" hidden="false" customHeight="true" outlineLevel="0" collapsed="false">
      <c r="A56" s="8" t="s">
        <v>11</v>
      </c>
      <c r="B56" s="19" t="s">
        <v>93</v>
      </c>
      <c r="C56" s="8" t="s">
        <v>57</v>
      </c>
      <c r="D56" s="8" t="s">
        <v>57</v>
      </c>
      <c r="E56" s="8" t="s">
        <v>94</v>
      </c>
      <c r="F56" s="36"/>
      <c r="G56" s="21" t="s">
        <v>95</v>
      </c>
      <c r="H56" s="21" t="s">
        <v>50</v>
      </c>
      <c r="I56" s="8"/>
      <c r="J56" s="22" t="n">
        <v>46236</v>
      </c>
      <c r="K56" s="21" t="s">
        <v>11</v>
      </c>
      <c r="L56" s="10" t="n">
        <v>19.99</v>
      </c>
      <c r="M56" s="10" t="n">
        <v>12.99</v>
      </c>
      <c r="N56" s="9" t="n">
        <v>1</v>
      </c>
      <c r="O56" s="21" t="str">
        <f aca="false">IF(OR(N56="",Config!$B$3=""),"",IF(N56&lt;=Config!$B$3,"⚠ REORDER",""))</f>
        <v>⚠ REORDER</v>
      </c>
      <c r="P56" s="21" t="s">
        <v>60</v>
      </c>
      <c r="Q56" s="21" t="s">
        <v>61</v>
      </c>
      <c r="R56" s="21" t="s">
        <v>53</v>
      </c>
      <c r="S56" s="8"/>
      <c r="T56" s="21" t="s">
        <v>62</v>
      </c>
      <c r="U56" s="9" t="n">
        <v>1000</v>
      </c>
      <c r="V56" s="9" t="n">
        <v>739</v>
      </c>
      <c r="W56" s="23" t="n">
        <f aca="false">IF(V56="","",IF(U56="","",V56/U56))</f>
        <v>0.739</v>
      </c>
      <c r="X56" s="8"/>
      <c r="Y56" s="24" t="n">
        <f aca="false">IF(OR(M56="",N56=""),0,M56*N56)</f>
        <v>12.99</v>
      </c>
    </row>
    <row r="57" customFormat="false" ht="19.5" hidden="false" customHeight="true" outlineLevel="0" collapsed="false">
      <c r="A57" s="8" t="s">
        <v>11</v>
      </c>
      <c r="B57" s="19" t="s">
        <v>73</v>
      </c>
      <c r="C57" s="8" t="s">
        <v>57</v>
      </c>
      <c r="D57" s="8" t="s">
        <v>57</v>
      </c>
      <c r="E57" s="8" t="s">
        <v>74</v>
      </c>
      <c r="F57" s="29"/>
      <c r="G57" s="21" t="s">
        <v>75</v>
      </c>
      <c r="H57" s="21" t="s">
        <v>50</v>
      </c>
      <c r="I57" s="8"/>
      <c r="J57" s="22" t="n">
        <v>46236</v>
      </c>
      <c r="K57" s="21" t="s">
        <v>11</v>
      </c>
      <c r="L57" s="10" t="n">
        <v>19.99</v>
      </c>
      <c r="M57" s="10" t="n">
        <v>12.99</v>
      </c>
      <c r="N57" s="9" t="n">
        <v>1</v>
      </c>
      <c r="O57" s="21" t="str">
        <f aca="false">IF(OR(N57="",Config!$B$3=""),"",IF(N57&lt;=Config!$B$3,"⚠ REORDER",""))</f>
        <v>⚠ REORDER</v>
      </c>
      <c r="P57" s="21" t="s">
        <v>60</v>
      </c>
      <c r="Q57" s="21" t="s">
        <v>61</v>
      </c>
      <c r="R57" s="21" t="s">
        <v>53</v>
      </c>
      <c r="S57" s="8"/>
      <c r="T57" s="21" t="s">
        <v>62</v>
      </c>
      <c r="U57" s="9" t="n">
        <v>1000</v>
      </c>
      <c r="V57" s="9" t="n">
        <v>1000</v>
      </c>
      <c r="W57" s="23" t="n">
        <f aca="false">IF(V57="","",IF(U57="","",V57/U57))</f>
        <v>1</v>
      </c>
      <c r="X57" s="8"/>
      <c r="Y57" s="24" t="n">
        <f aca="false">IF(OR(M57="",N57=""),0,M57*N57)</f>
        <v>12.99</v>
      </c>
    </row>
    <row r="58" customFormat="false" ht="19.5" hidden="false" customHeight="true" outlineLevel="0" collapsed="false">
      <c r="A58" s="8" t="s">
        <v>11</v>
      </c>
      <c r="B58" s="19" t="s">
        <v>73</v>
      </c>
      <c r="C58" s="8" t="s">
        <v>57</v>
      </c>
      <c r="D58" s="8" t="s">
        <v>57</v>
      </c>
      <c r="E58" s="8" t="s">
        <v>74</v>
      </c>
      <c r="F58" s="29"/>
      <c r="G58" s="21" t="s">
        <v>75</v>
      </c>
      <c r="H58" s="21" t="s">
        <v>50</v>
      </c>
      <c r="I58" s="8"/>
      <c r="J58" s="22" t="n">
        <v>46236</v>
      </c>
      <c r="K58" s="21" t="s">
        <v>11</v>
      </c>
      <c r="L58" s="10" t="n">
        <v>19.99</v>
      </c>
      <c r="M58" s="10" t="n">
        <v>12.99</v>
      </c>
      <c r="N58" s="9" t="n">
        <v>1</v>
      </c>
      <c r="O58" s="21" t="str">
        <f aca="false">IF(OR(N58="",Config!$B$3=""),"",IF(N58&lt;=Config!$B$3,"⚠ REORDER",""))</f>
        <v>⚠ REORDER</v>
      </c>
      <c r="P58" s="21" t="s">
        <v>60</v>
      </c>
      <c r="Q58" s="21" t="s">
        <v>61</v>
      </c>
      <c r="R58" s="21" t="s">
        <v>53</v>
      </c>
      <c r="S58" s="8"/>
      <c r="T58" s="21" t="s">
        <v>62</v>
      </c>
      <c r="U58" s="9" t="n">
        <v>1000</v>
      </c>
      <c r="V58" s="9" t="n">
        <v>1000</v>
      </c>
      <c r="W58" s="23" t="n">
        <f aca="false">IF(V58="","",IF(U58="","",V58/U58))</f>
        <v>1</v>
      </c>
      <c r="X58" s="8"/>
      <c r="Y58" s="24" t="n">
        <f aca="false">IF(OR(M58="",N58=""),0,M58*N58)</f>
        <v>12.99</v>
      </c>
    </row>
    <row r="59" customFormat="false" ht="19.5" hidden="false" customHeight="true" outlineLevel="0" collapsed="false">
      <c r="A59" s="8" t="s">
        <v>11</v>
      </c>
      <c r="B59" s="19" t="s">
        <v>70</v>
      </c>
      <c r="C59" s="8" t="s">
        <v>57</v>
      </c>
      <c r="D59" s="8" t="s">
        <v>57</v>
      </c>
      <c r="E59" s="8" t="s">
        <v>71</v>
      </c>
      <c r="F59" s="28"/>
      <c r="G59" s="21" t="s">
        <v>72</v>
      </c>
      <c r="H59" s="21" t="s">
        <v>50</v>
      </c>
      <c r="I59" s="8"/>
      <c r="J59" s="22" t="n">
        <v>46236</v>
      </c>
      <c r="K59" s="21" t="s">
        <v>11</v>
      </c>
      <c r="L59" s="10" t="n">
        <v>19.99</v>
      </c>
      <c r="M59" s="10" t="n">
        <v>12.99</v>
      </c>
      <c r="N59" s="9" t="n">
        <v>1</v>
      </c>
      <c r="O59" s="21" t="str">
        <f aca="false">IF(OR(N59="",Config!$B$3=""),"",IF(N59&lt;=Config!$B$3,"⚠ REORDER",""))</f>
        <v>⚠ REORDER</v>
      </c>
      <c r="P59" s="21" t="s">
        <v>60</v>
      </c>
      <c r="Q59" s="21" t="s">
        <v>61</v>
      </c>
      <c r="R59" s="21" t="s">
        <v>53</v>
      </c>
      <c r="S59" s="8"/>
      <c r="T59" s="21" t="s">
        <v>62</v>
      </c>
      <c r="U59" s="9" t="n">
        <v>1000</v>
      </c>
      <c r="V59" s="9" t="n">
        <v>1000</v>
      </c>
      <c r="W59" s="23" t="n">
        <f aca="false">IF(V59="","",IF(U59="","",V59/U59))</f>
        <v>1</v>
      </c>
      <c r="X59" s="8"/>
      <c r="Y59" s="24" t="n">
        <f aca="false">IF(OR(M59="",N59=""),0,M59*N59)</f>
        <v>12.99</v>
      </c>
    </row>
    <row r="60" customFormat="false" ht="19.5" hidden="false" customHeight="true" outlineLevel="0" collapsed="false">
      <c r="A60" s="8" t="s">
        <v>11</v>
      </c>
      <c r="B60" s="19" t="s">
        <v>70</v>
      </c>
      <c r="C60" s="8" t="s">
        <v>57</v>
      </c>
      <c r="D60" s="8" t="s">
        <v>57</v>
      </c>
      <c r="E60" s="8" t="s">
        <v>71</v>
      </c>
      <c r="F60" s="28"/>
      <c r="G60" s="21" t="s">
        <v>72</v>
      </c>
      <c r="H60" s="21" t="s">
        <v>50</v>
      </c>
      <c r="I60" s="8"/>
      <c r="J60" s="22" t="n">
        <v>46236</v>
      </c>
      <c r="K60" s="21" t="s">
        <v>11</v>
      </c>
      <c r="L60" s="10" t="n">
        <v>19.99</v>
      </c>
      <c r="M60" s="10" t="n">
        <v>12.99</v>
      </c>
      <c r="N60" s="9" t="n">
        <v>1</v>
      </c>
      <c r="O60" s="21" t="str">
        <f aca="false">IF(OR(N60="",Config!$B$3=""),"",IF(N60&lt;=Config!$B$3,"⚠ REORDER",""))</f>
        <v>⚠ REORDER</v>
      </c>
      <c r="P60" s="21" t="s">
        <v>60</v>
      </c>
      <c r="Q60" s="21" t="s">
        <v>61</v>
      </c>
      <c r="R60" s="21" t="s">
        <v>53</v>
      </c>
      <c r="S60" s="8"/>
      <c r="T60" s="21" t="s">
        <v>62</v>
      </c>
      <c r="U60" s="9" t="n">
        <v>1000</v>
      </c>
      <c r="V60" s="9" t="n">
        <v>1000</v>
      </c>
      <c r="W60" s="23" t="n">
        <f aca="false">IF(V60="","",IF(U60="","",V60/U60))</f>
        <v>1</v>
      </c>
      <c r="X60" s="8"/>
      <c r="Y60" s="24" t="n">
        <f aca="false">IF(OR(M60="",N60=""),0,M60*N60)</f>
        <v>12.99</v>
      </c>
    </row>
    <row r="61" customFormat="false" ht="19.5" hidden="false" customHeight="true" outlineLevel="0" collapsed="false">
      <c r="A61" s="8" t="s">
        <v>11</v>
      </c>
      <c r="B61" s="19" t="s">
        <v>154</v>
      </c>
      <c r="C61" s="8" t="s">
        <v>57</v>
      </c>
      <c r="D61" s="8" t="s">
        <v>57</v>
      </c>
      <c r="E61" s="8" t="s">
        <v>155</v>
      </c>
      <c r="F61" s="51"/>
      <c r="G61" s="21" t="s">
        <v>156</v>
      </c>
      <c r="H61" s="21" t="s">
        <v>50</v>
      </c>
      <c r="I61" s="8"/>
      <c r="J61" s="22" t="n">
        <v>46236</v>
      </c>
      <c r="K61" s="21" t="s">
        <v>11</v>
      </c>
      <c r="L61" s="10" t="n">
        <v>19.99</v>
      </c>
      <c r="M61" s="10" t="n">
        <v>12.99</v>
      </c>
      <c r="N61" s="9" t="n">
        <v>1</v>
      </c>
      <c r="O61" s="21" t="str">
        <f aca="false">IF(OR(N61="",Config!$B$3=""),"",IF(N61&lt;=Config!$B$3,"⚠ REORDER",""))</f>
        <v>⚠ REORDER</v>
      </c>
      <c r="P61" s="21" t="s">
        <v>60</v>
      </c>
      <c r="Q61" s="21" t="s">
        <v>61</v>
      </c>
      <c r="R61" s="21" t="s">
        <v>53</v>
      </c>
      <c r="S61" s="8"/>
      <c r="T61" s="21" t="s">
        <v>62</v>
      </c>
      <c r="U61" s="9" t="n">
        <v>1000</v>
      </c>
      <c r="V61" s="9" t="n">
        <v>1000</v>
      </c>
      <c r="W61" s="23" t="n">
        <f aca="false">IF(V61="","",IF(U61="","",V61/U61))</f>
        <v>1</v>
      </c>
      <c r="X61" s="8"/>
      <c r="Y61" s="24" t="n">
        <f aca="false">IF(OR(M61="",N61=""),0,M61*N61)</f>
        <v>12.99</v>
      </c>
    </row>
    <row r="62" customFormat="false" ht="19.5" hidden="false" customHeight="true" outlineLevel="0" collapsed="false">
      <c r="A62" s="8" t="s">
        <v>11</v>
      </c>
      <c r="B62" s="19" t="s">
        <v>154</v>
      </c>
      <c r="C62" s="8" t="s">
        <v>57</v>
      </c>
      <c r="D62" s="8" t="s">
        <v>57</v>
      </c>
      <c r="E62" s="8" t="s">
        <v>155</v>
      </c>
      <c r="F62" s="51"/>
      <c r="G62" s="21" t="s">
        <v>156</v>
      </c>
      <c r="H62" s="21" t="s">
        <v>50</v>
      </c>
      <c r="I62" s="8"/>
      <c r="J62" s="22" t="n">
        <v>46236</v>
      </c>
      <c r="K62" s="21" t="s">
        <v>11</v>
      </c>
      <c r="L62" s="10" t="n">
        <v>19.99</v>
      </c>
      <c r="M62" s="10" t="n">
        <v>12.99</v>
      </c>
      <c r="N62" s="9" t="n">
        <v>1</v>
      </c>
      <c r="O62" s="21" t="str">
        <f aca="false">IF(OR(N62="",Config!$B$3=""),"",IF(N62&lt;=Config!$B$3,"⚠ REORDER",""))</f>
        <v>⚠ REORDER</v>
      </c>
      <c r="P62" s="21" t="s">
        <v>51</v>
      </c>
      <c r="Q62" s="21" t="s">
        <v>52</v>
      </c>
      <c r="R62" s="21" t="s">
        <v>53</v>
      </c>
      <c r="S62" s="8"/>
      <c r="T62" s="21" t="s">
        <v>62</v>
      </c>
      <c r="U62" s="9" t="n">
        <v>1000</v>
      </c>
      <c r="V62" s="9" t="n">
        <v>967</v>
      </c>
      <c r="W62" s="23" t="n">
        <f aca="false">IF(V62="","",IF(U62="","",V62/U62))</f>
        <v>0.967</v>
      </c>
      <c r="X62" s="8" t="s">
        <v>157</v>
      </c>
      <c r="Y62" s="24" t="n">
        <f aca="false">IF(OR(M62="",N62=""),0,M62*N62)</f>
        <v>12.99</v>
      </c>
    </row>
    <row r="63" customFormat="false" ht="19.5" hidden="false" customHeight="true" outlineLevel="0" collapsed="false">
      <c r="A63" s="8" t="s">
        <v>11</v>
      </c>
      <c r="B63" s="19" t="s">
        <v>158</v>
      </c>
      <c r="C63" s="8" t="s">
        <v>57</v>
      </c>
      <c r="D63" s="8" t="s">
        <v>57</v>
      </c>
      <c r="E63" s="8" t="s">
        <v>159</v>
      </c>
      <c r="F63" s="52"/>
      <c r="G63" s="21" t="s">
        <v>160</v>
      </c>
      <c r="H63" s="21" t="s">
        <v>50</v>
      </c>
      <c r="I63" s="8"/>
      <c r="J63" s="22" t="n">
        <v>46236</v>
      </c>
      <c r="K63" s="21" t="s">
        <v>11</v>
      </c>
      <c r="L63" s="10" t="n">
        <v>19.99</v>
      </c>
      <c r="M63" s="10" t="n">
        <v>12.99</v>
      </c>
      <c r="N63" s="9" t="n">
        <v>1</v>
      </c>
      <c r="O63" s="21" t="str">
        <f aca="false">IF(OR(N63="",Config!$B$3=""),"",IF(N63&lt;=Config!$B$3,"⚠ REORDER",""))</f>
        <v>⚠ REORDER</v>
      </c>
      <c r="P63" s="21" t="s">
        <v>60</v>
      </c>
      <c r="Q63" s="21" t="s">
        <v>61</v>
      </c>
      <c r="R63" s="21" t="s">
        <v>53</v>
      </c>
      <c r="S63" s="8"/>
      <c r="T63" s="21" t="s">
        <v>62</v>
      </c>
      <c r="U63" s="9" t="n">
        <v>1000</v>
      </c>
      <c r="V63" s="9" t="n">
        <v>1000</v>
      </c>
      <c r="W63" s="23" t="n">
        <f aca="false">IF(V63="","",IF(U63="","",V63/U63))</f>
        <v>1</v>
      </c>
      <c r="X63" s="8"/>
      <c r="Y63" s="24" t="n">
        <f aca="false">IF(OR(M63="",N63=""),0,M63*N63)</f>
        <v>12.99</v>
      </c>
    </row>
    <row r="64" customFormat="false" ht="19.5" hidden="false" customHeight="true" outlineLevel="0" collapsed="false">
      <c r="A64" s="8" t="s">
        <v>11</v>
      </c>
      <c r="B64" s="19" t="s">
        <v>158</v>
      </c>
      <c r="C64" s="8" t="s">
        <v>57</v>
      </c>
      <c r="D64" s="8" t="s">
        <v>57</v>
      </c>
      <c r="E64" s="8" t="s">
        <v>159</v>
      </c>
      <c r="F64" s="52"/>
      <c r="G64" s="21" t="s">
        <v>160</v>
      </c>
      <c r="H64" s="21" t="s">
        <v>50</v>
      </c>
      <c r="I64" s="8"/>
      <c r="J64" s="22" t="n">
        <v>46236</v>
      </c>
      <c r="K64" s="21" t="s">
        <v>11</v>
      </c>
      <c r="L64" s="10" t="n">
        <v>19.99</v>
      </c>
      <c r="M64" s="10" t="n">
        <v>12.99</v>
      </c>
      <c r="N64" s="9" t="n">
        <v>1</v>
      </c>
      <c r="O64" s="21" t="str">
        <f aca="false">IF(OR(N64="",Config!$B$3=""),"",IF(N64&lt;=Config!$B$3,"⚠ REORDER",""))</f>
        <v>⚠ REORDER</v>
      </c>
      <c r="P64" s="21" t="s">
        <v>60</v>
      </c>
      <c r="Q64" s="21" t="s">
        <v>61</v>
      </c>
      <c r="R64" s="21" t="s">
        <v>53</v>
      </c>
      <c r="S64" s="8"/>
      <c r="T64" s="21" t="s">
        <v>62</v>
      </c>
      <c r="U64" s="9" t="n">
        <v>1000</v>
      </c>
      <c r="V64" s="9" t="n">
        <v>1000</v>
      </c>
      <c r="W64" s="23" t="n">
        <f aca="false">IF(V64="","",IF(U64="","",V64/U64))</f>
        <v>1</v>
      </c>
      <c r="X64" s="8"/>
      <c r="Y64" s="24" t="n">
        <f aca="false">IF(OR(M64="",N64=""),0,M64*N64)</f>
        <v>12.99</v>
      </c>
    </row>
    <row r="65" customFormat="false" ht="15" hidden="false" customHeight="true" outlineLevel="0" collapsed="false">
      <c r="A65" s="8" t="s">
        <v>11</v>
      </c>
      <c r="B65" s="19" t="s">
        <v>161</v>
      </c>
      <c r="C65" s="8" t="s">
        <v>57</v>
      </c>
      <c r="D65" s="53" t="s">
        <v>57</v>
      </c>
      <c r="E65" s="8" t="s">
        <v>108</v>
      </c>
      <c r="F65" s="54"/>
      <c r="G65" s="40" t="s">
        <v>109</v>
      </c>
      <c r="H65" s="21" t="s">
        <v>50</v>
      </c>
      <c r="K65" s="12" t="s">
        <v>11</v>
      </c>
      <c r="N65" s="55" t="n">
        <v>1</v>
      </c>
      <c r="O65" s="21" t="str">
        <f aca="false">IF(OR(N64="",Config!$B$3=""),"",IF(N64&lt;=Config!$B$3,"⚠ REORDER",""))</f>
        <v>⚠ REORDER</v>
      </c>
      <c r="P65" s="56" t="s">
        <v>51</v>
      </c>
      <c r="Q65" s="57" t="s">
        <v>52</v>
      </c>
      <c r="R65" s="56" t="s">
        <v>53</v>
      </c>
      <c r="T65" s="56" t="s">
        <v>54</v>
      </c>
      <c r="U65" s="55" t="n">
        <v>1000</v>
      </c>
      <c r="V65" s="55" t="n">
        <v>0</v>
      </c>
      <c r="W65" s="23" t="n">
        <f aca="false">IF(V65="","",IF(U65="","",V65/U65))</f>
        <v>0</v>
      </c>
      <c r="X65" s="30" t="s">
        <v>76</v>
      </c>
      <c r="Y65" s="24" t="n">
        <f aca="false">IF(OR(M65="",N65=""),0,M65*N65)</f>
        <v>0</v>
      </c>
    </row>
    <row r="66" customFormat="false" ht="15" hidden="false" customHeight="true" outlineLevel="0" collapsed="false">
      <c r="A66" s="58" t="s">
        <v>11</v>
      </c>
      <c r="B66" s="59" t="s">
        <v>154</v>
      </c>
      <c r="C66" s="58" t="s">
        <v>57</v>
      </c>
      <c r="D66" s="53" t="s">
        <v>57</v>
      </c>
      <c r="E66" s="58" t="s">
        <v>155</v>
      </c>
      <c r="F66" s="60"/>
      <c r="G66" s="40" t="s">
        <v>156</v>
      </c>
      <c r="H66" s="57" t="s">
        <v>50</v>
      </c>
      <c r="K66" s="12" t="s">
        <v>11</v>
      </c>
      <c r="N66" s="61" t="n">
        <v>1</v>
      </c>
      <c r="O66" s="21" t="str">
        <f aca="false">IF(OR(N64="",Config!$B$3=""),"",IF(N64&lt;=Config!$B$3,"⚠ REORDER",""))</f>
        <v>⚠ REORDER</v>
      </c>
      <c r="P66" s="56" t="s">
        <v>51</v>
      </c>
      <c r="Q66" s="57" t="s">
        <v>52</v>
      </c>
      <c r="R66" s="56" t="s">
        <v>53</v>
      </c>
      <c r="T66" s="56" t="s">
        <v>54</v>
      </c>
      <c r="U66" s="62" t="n">
        <v>1000</v>
      </c>
      <c r="V66" s="61" t="n">
        <v>0</v>
      </c>
      <c r="W66" s="23" t="n">
        <f aca="false">IF(V66="","",IF(U66="","",V66/U66))</f>
        <v>0</v>
      </c>
      <c r="X66" s="1" t="s">
        <v>162</v>
      </c>
      <c r="Y66" s="14" t="n">
        <f aca="false">IF(OR(M65="",N65=""),0,M65*N65)</f>
        <v>0</v>
      </c>
    </row>
    <row r="67" customFormat="false" ht="15" hidden="false" customHeight="true" outlineLevel="0" collapsed="false">
      <c r="A67" s="58" t="s">
        <v>18</v>
      </c>
      <c r="B67" s="11" t="s">
        <v>163</v>
      </c>
      <c r="C67" s="58" t="s">
        <v>46</v>
      </c>
      <c r="D67" s="53" t="s">
        <v>47</v>
      </c>
      <c r="E67" s="58" t="s">
        <v>164</v>
      </c>
      <c r="F67" s="63"/>
      <c r="G67" s="12" t="s">
        <v>101</v>
      </c>
      <c r="H67" s="57" t="s">
        <v>50</v>
      </c>
      <c r="I67" s="1" t="s">
        <v>165</v>
      </c>
      <c r="J67" s="13" t="n">
        <v>46251</v>
      </c>
      <c r="K67" s="12" t="s">
        <v>166</v>
      </c>
      <c r="L67" s="12" t="n">
        <v>14.99</v>
      </c>
      <c r="M67" s="12" t="n">
        <v>14.99</v>
      </c>
      <c r="N67" s="55" t="n">
        <v>1</v>
      </c>
      <c r="O67" s="21" t="str">
        <f aca="false">IF(OR(N67="",Config!$B$3=""),"",IF(N67&lt;=Config!$B$3,"⚠ REORDER",""))</f>
        <v>⚠ REORDER</v>
      </c>
      <c r="P67" s="56" t="s">
        <v>51</v>
      </c>
      <c r="Q67" s="57" t="s">
        <v>52</v>
      </c>
      <c r="R67" s="56" t="s">
        <v>53</v>
      </c>
      <c r="T67" s="56" t="s">
        <v>54</v>
      </c>
      <c r="U67" s="55" t="n">
        <v>1000</v>
      </c>
      <c r="V67" s="55" t="n">
        <v>1000</v>
      </c>
      <c r="W67" s="23" t="n">
        <f aca="false">IF(V67="","",IF(U67="","",V67/U67))</f>
        <v>1</v>
      </c>
      <c r="Y67" s="24" t="n">
        <f aca="false">IF(OR(M67="",N67=""),0,M67*N67)</f>
        <v>14.99</v>
      </c>
    </row>
    <row r="68" customFormat="false" ht="15" hidden="false" customHeight="true" outlineLevel="0" collapsed="false">
      <c r="A68" s="58" t="s">
        <v>18</v>
      </c>
      <c r="B68" s="11" t="s">
        <v>163</v>
      </c>
      <c r="C68" s="58" t="s">
        <v>46</v>
      </c>
      <c r="D68" s="53" t="s">
        <v>47</v>
      </c>
      <c r="E68" s="58" t="s">
        <v>164</v>
      </c>
      <c r="F68" s="63"/>
      <c r="G68" s="12" t="s">
        <v>101</v>
      </c>
      <c r="H68" s="57" t="s">
        <v>50</v>
      </c>
      <c r="I68" s="1" t="s">
        <v>165</v>
      </c>
      <c r="J68" s="13" t="n">
        <v>46251</v>
      </c>
      <c r="K68" s="12" t="s">
        <v>166</v>
      </c>
      <c r="L68" s="12" t="n">
        <v>14.99</v>
      </c>
      <c r="M68" s="12" t="n">
        <v>14.99</v>
      </c>
      <c r="N68" s="55" t="n">
        <v>1</v>
      </c>
      <c r="O68" s="21" t="str">
        <f aca="false">IF(OR(N68="",Config!$B$3=""),"",IF(N68&lt;=Config!$B$3,"⚠ REORDER",""))</f>
        <v>⚠ REORDER</v>
      </c>
      <c r="P68" s="56" t="s">
        <v>60</v>
      </c>
      <c r="Q68" s="57" t="s">
        <v>52</v>
      </c>
      <c r="R68" s="56" t="s">
        <v>53</v>
      </c>
      <c r="T68" s="56" t="s">
        <v>54</v>
      </c>
      <c r="U68" s="55" t="n">
        <v>1000</v>
      </c>
      <c r="V68" s="55" t="n">
        <v>1000</v>
      </c>
      <c r="W68" s="23" t="n">
        <f aca="false">IF(V68="","",IF(U68="","",V68/U68))</f>
        <v>1</v>
      </c>
      <c r="Y68" s="24" t="n">
        <f aca="false">IF(OR(M68="",N68=""),0,M68*N68)</f>
        <v>14.99</v>
      </c>
    </row>
    <row r="69" customFormat="false" ht="15" hidden="false" customHeight="true" outlineLevel="0" collapsed="false">
      <c r="A69" s="58" t="s">
        <v>18</v>
      </c>
      <c r="B69" s="11" t="s">
        <v>167</v>
      </c>
      <c r="C69" s="8" t="s">
        <v>129</v>
      </c>
      <c r="D69" s="8" t="s">
        <v>130</v>
      </c>
      <c r="E69" s="58" t="s">
        <v>78</v>
      </c>
      <c r="F69" s="64"/>
      <c r="G69" s="12" t="s">
        <v>168</v>
      </c>
      <c r="H69" s="57" t="s">
        <v>50</v>
      </c>
      <c r="I69" s="1" t="s">
        <v>169</v>
      </c>
      <c r="K69" s="12" t="s">
        <v>166</v>
      </c>
      <c r="N69" s="55" t="n">
        <v>1</v>
      </c>
      <c r="O69" s="21" t="str">
        <f aca="false">IF(OR(N69="",Config!$B$3=""),"",IF(N69&lt;=Config!$B$3,"⚠ REORDER",""))</f>
        <v>⚠ REORDER</v>
      </c>
      <c r="P69" s="56" t="s">
        <v>51</v>
      </c>
      <c r="Q69" s="57" t="s">
        <v>52</v>
      </c>
      <c r="R69" s="56" t="s">
        <v>53</v>
      </c>
      <c r="T69" s="56" t="s">
        <v>54</v>
      </c>
      <c r="U69" s="55" t="n">
        <v>1000</v>
      </c>
      <c r="V69" s="55" t="n">
        <v>839</v>
      </c>
      <c r="W69" s="23" t="n">
        <f aca="false">IF(V69="","",IF(U69="","",V69/U69))</f>
        <v>0.839</v>
      </c>
      <c r="X69" s="1" t="s">
        <v>170</v>
      </c>
      <c r="Y69" s="24" t="n">
        <f aca="false">IF(OR(M69="",N69=""),0,M69*N69)</f>
        <v>0</v>
      </c>
    </row>
    <row r="70" customFormat="false" ht="15" hidden="false" customHeight="true" outlineLevel="0" collapsed="false">
      <c r="A70" s="58" t="s">
        <v>11</v>
      </c>
      <c r="B70" s="59" t="s">
        <v>100</v>
      </c>
      <c r="C70" s="58" t="s">
        <v>97</v>
      </c>
      <c r="D70" s="58" t="s">
        <v>97</v>
      </c>
      <c r="E70" s="58" t="s">
        <v>48</v>
      </c>
      <c r="F70" s="65"/>
      <c r="G70" s="66" t="s">
        <v>101</v>
      </c>
      <c r="H70" s="57" t="s">
        <v>50</v>
      </c>
      <c r="J70" s="13" t="n">
        <v>46263</v>
      </c>
      <c r="K70" s="12" t="s">
        <v>166</v>
      </c>
      <c r="L70" s="12" t="n">
        <v>22.99</v>
      </c>
      <c r="M70" s="12" t="n">
        <v>22.99</v>
      </c>
      <c r="N70" s="55" t="n">
        <v>1</v>
      </c>
      <c r="O70" s="21" t="str">
        <f aca="false">IF(OR(N70="",Config!$B$3=""),"",IF(N70&lt;=Config!$B$3,"⚠ REORDER",""))</f>
        <v>⚠ REORDER</v>
      </c>
      <c r="P70" s="56" t="s">
        <v>60</v>
      </c>
      <c r="Q70" s="57" t="s">
        <v>61</v>
      </c>
      <c r="R70" s="56" t="s">
        <v>53</v>
      </c>
      <c r="T70" s="56" t="s">
        <v>62</v>
      </c>
      <c r="U70" s="55" t="n">
        <v>1000</v>
      </c>
      <c r="V70" s="55" t="n">
        <v>1000</v>
      </c>
      <c r="W70" s="23" t="n">
        <f aca="false">IF(V70="","",IF(U70="","",V70/U70))</f>
        <v>1</v>
      </c>
      <c r="X70" s="1" t="s">
        <v>171</v>
      </c>
      <c r="Y70" s="24" t="n">
        <f aca="false">IF(OR(M70="",N70=""),0,M70*N70)</f>
        <v>22.99</v>
      </c>
    </row>
    <row r="71" customFormat="false" ht="15" hidden="false" customHeight="true" outlineLevel="0" collapsed="false">
      <c r="A71" s="58" t="s">
        <v>11</v>
      </c>
      <c r="B71" s="11" t="s">
        <v>100</v>
      </c>
      <c r="C71" s="58" t="s">
        <v>97</v>
      </c>
      <c r="D71" s="58" t="s">
        <v>97</v>
      </c>
      <c r="E71" s="58" t="s">
        <v>48</v>
      </c>
      <c r="G71" s="67" t="s">
        <v>101</v>
      </c>
      <c r="H71" s="57" t="s">
        <v>50</v>
      </c>
      <c r="J71" s="13" t="n">
        <v>46263</v>
      </c>
      <c r="K71" s="12" t="s">
        <v>166</v>
      </c>
      <c r="L71" s="12" t="n">
        <v>22.99</v>
      </c>
      <c r="M71" s="12" t="n">
        <v>22.99</v>
      </c>
      <c r="N71" s="55" t="n">
        <v>1</v>
      </c>
      <c r="O71" s="21" t="str">
        <f aca="false">IF(OR(N71="",Config!$B$3=""),"",IF(N71&lt;=Config!$B$3,"⚠ REORDER",""))</f>
        <v>⚠ REORDER</v>
      </c>
      <c r="P71" s="56" t="s">
        <v>60</v>
      </c>
      <c r="Q71" s="57" t="s">
        <v>61</v>
      </c>
      <c r="R71" s="56" t="s">
        <v>53</v>
      </c>
      <c r="T71" s="56" t="s">
        <v>62</v>
      </c>
      <c r="U71" s="55" t="n">
        <v>1000</v>
      </c>
      <c r="V71" s="55" t="n">
        <v>1000</v>
      </c>
      <c r="W71" s="23" t="n">
        <f aca="false">IF(V71="","",IF(U71="","",V71/U71))</f>
        <v>1</v>
      </c>
      <c r="X71" s="1" t="s">
        <v>171</v>
      </c>
      <c r="Y71" s="24" t="n">
        <f aca="false">IF(OR(M71="",N71=""),0,M71*N71)</f>
        <v>22.99</v>
      </c>
    </row>
    <row r="72" customFormat="false" ht="15" hidden="false" customHeight="true" outlineLevel="0" collapsed="false">
      <c r="A72" s="68" t="s">
        <v>11</v>
      </c>
      <c r="B72" s="59" t="s">
        <v>152</v>
      </c>
      <c r="C72" s="68" t="s">
        <v>97</v>
      </c>
      <c r="D72" s="53" t="s">
        <v>97</v>
      </c>
      <c r="E72" s="53" t="s">
        <v>94</v>
      </c>
      <c r="F72" s="69"/>
      <c r="G72" s="70" t="s">
        <v>153</v>
      </c>
      <c r="H72" s="56" t="s">
        <v>50</v>
      </c>
      <c r="J72" s="13" t="n">
        <v>46263</v>
      </c>
      <c r="K72" s="12" t="s">
        <v>166</v>
      </c>
      <c r="L72" s="12" t="n">
        <v>21.84</v>
      </c>
      <c r="M72" s="12" t="n">
        <v>21.84</v>
      </c>
      <c r="N72" s="55" t="n">
        <v>1</v>
      </c>
      <c r="O72" s="21" t="str">
        <f aca="false">IF(OR(N72="",Config!$B$3=""),"",IF(N72&lt;=Config!$B$3,"⚠ REORDER",""))</f>
        <v>⚠ REORDER</v>
      </c>
      <c r="P72" s="56" t="s">
        <v>60</v>
      </c>
      <c r="Q72" s="56" t="s">
        <v>61</v>
      </c>
      <c r="R72" s="56" t="s">
        <v>53</v>
      </c>
      <c r="T72" s="56" t="s">
        <v>62</v>
      </c>
      <c r="U72" s="55" t="n">
        <v>1000</v>
      </c>
      <c r="V72" s="55" t="n">
        <v>1000</v>
      </c>
      <c r="W72" s="23" t="n">
        <f aca="false">IF(V72="","",IF(U72="","",V72/U72))</f>
        <v>1</v>
      </c>
      <c r="X72" s="1" t="s">
        <v>171</v>
      </c>
      <c r="Y72" s="24" t="n">
        <f aca="false">IF(OR(M72="",N72=""),0,M72*N72)</f>
        <v>21.84</v>
      </c>
    </row>
    <row r="73" customFormat="false" ht="15" hidden="false" customHeight="true" outlineLevel="0" collapsed="false">
      <c r="A73" s="53" t="s">
        <v>11</v>
      </c>
      <c r="B73" s="11" t="s">
        <v>152</v>
      </c>
      <c r="C73" s="53" t="s">
        <v>97</v>
      </c>
      <c r="D73" s="53" t="s">
        <v>97</v>
      </c>
      <c r="E73" s="53" t="s">
        <v>94</v>
      </c>
      <c r="F73" s="69"/>
      <c r="G73" s="12" t="s">
        <v>153</v>
      </c>
      <c r="H73" s="56" t="s">
        <v>50</v>
      </c>
      <c r="J73" s="13" t="n">
        <v>46263</v>
      </c>
      <c r="K73" s="12" t="s">
        <v>166</v>
      </c>
      <c r="L73" s="12" t="n">
        <v>21.84</v>
      </c>
      <c r="M73" s="12" t="n">
        <v>21.84</v>
      </c>
      <c r="N73" s="55" t="n">
        <v>1</v>
      </c>
      <c r="O73" s="21" t="str">
        <f aca="false">IF(OR(N73="",Config!$B$3=""),"",IF(N73&lt;=Config!$B$3,"⚠ REORDER",""))</f>
        <v>⚠ REORDER</v>
      </c>
      <c r="P73" s="56" t="s">
        <v>60</v>
      </c>
      <c r="Q73" s="56" t="s">
        <v>61</v>
      </c>
      <c r="R73" s="56" t="s">
        <v>53</v>
      </c>
      <c r="T73" s="56" t="s">
        <v>62</v>
      </c>
      <c r="U73" s="55" t="n">
        <v>1000</v>
      </c>
      <c r="V73" s="55" t="n">
        <v>1000</v>
      </c>
      <c r="W73" s="23" t="n">
        <f aca="false">IF(V73="","",IF(U73="","",V73/U73))</f>
        <v>1</v>
      </c>
      <c r="X73" s="1" t="s">
        <v>171</v>
      </c>
      <c r="Y73" s="24" t="n">
        <f aca="false">IF(OR(M73="",N73=""),0,M73*N73)</f>
        <v>21.84</v>
      </c>
    </row>
    <row r="74" customFormat="false" ht="15" hidden="false" customHeight="true" outlineLevel="0" collapsed="false">
      <c r="A74" s="53" t="s">
        <v>11</v>
      </c>
      <c r="B74" s="19" t="s">
        <v>161</v>
      </c>
      <c r="C74" s="8" t="s">
        <v>57</v>
      </c>
      <c r="D74" s="53" t="s">
        <v>57</v>
      </c>
      <c r="E74" s="8" t="s">
        <v>108</v>
      </c>
      <c r="F74" s="54"/>
      <c r="G74" s="40" t="s">
        <v>109</v>
      </c>
      <c r="H74" s="21" t="s">
        <v>50</v>
      </c>
      <c r="J74" s="13" t="n">
        <v>46300</v>
      </c>
      <c r="K74" s="12" t="s">
        <v>166</v>
      </c>
      <c r="L74" s="12" t="n">
        <v>23.99</v>
      </c>
      <c r="M74" s="12" t="n">
        <v>23.99</v>
      </c>
      <c r="N74" s="55" t="n">
        <v>1</v>
      </c>
      <c r="O74" s="21" t="str">
        <f aca="false">IF(OR(N74="",Config!$B$3=""),"",IF(N74&lt;=Config!$B$3,"⚠ REORDER",""))</f>
        <v>⚠ REORDER</v>
      </c>
      <c r="P74" s="56" t="s">
        <v>51</v>
      </c>
      <c r="Q74" s="56" t="s">
        <v>52</v>
      </c>
      <c r="R74" s="56" t="s">
        <v>53</v>
      </c>
      <c r="T74" s="56" t="s">
        <v>62</v>
      </c>
      <c r="U74" s="55" t="n">
        <v>1000</v>
      </c>
      <c r="V74" s="55" t="n">
        <v>1000</v>
      </c>
      <c r="W74" s="23" t="n">
        <f aca="false">IF(V74="","",IF(U74="","",V74/U74))</f>
        <v>1</v>
      </c>
      <c r="X74" s="1" t="s">
        <v>172</v>
      </c>
      <c r="Y74" s="24" t="n">
        <f aca="false">IF(OR(M74="",N74=""),0,M74*N74)</f>
        <v>23.99</v>
      </c>
    </row>
    <row r="75" customFormat="false" ht="15" hidden="false" customHeight="true" outlineLevel="0" collapsed="false">
      <c r="A75" s="53" t="s">
        <v>11</v>
      </c>
      <c r="B75" s="19" t="s">
        <v>161</v>
      </c>
      <c r="C75" s="8" t="s">
        <v>57</v>
      </c>
      <c r="D75" s="53" t="s">
        <v>57</v>
      </c>
      <c r="E75" s="8" t="s">
        <v>108</v>
      </c>
      <c r="F75" s="54"/>
      <c r="G75" s="40" t="s">
        <v>109</v>
      </c>
      <c r="H75" s="21" t="s">
        <v>50</v>
      </c>
      <c r="J75" s="13" t="n">
        <v>46300</v>
      </c>
      <c r="K75" s="12" t="s">
        <v>166</v>
      </c>
      <c r="L75" s="12" t="n">
        <v>23.99</v>
      </c>
      <c r="M75" s="12" t="n">
        <v>23.99</v>
      </c>
      <c r="N75" s="55" t="n">
        <v>1</v>
      </c>
      <c r="O75" s="21" t="str">
        <f aca="false">IF(OR(N75="",Config!$B$3=""),"",IF(N75&lt;=Config!$B$3,"⚠ REORDER",""))</f>
        <v>⚠ REORDER</v>
      </c>
      <c r="P75" s="56" t="s">
        <v>60</v>
      </c>
      <c r="Q75" s="56" t="s">
        <v>61</v>
      </c>
      <c r="R75" s="56" t="s">
        <v>53</v>
      </c>
      <c r="T75" s="56" t="s">
        <v>62</v>
      </c>
      <c r="U75" s="55" t="n">
        <v>1000</v>
      </c>
      <c r="V75" s="55" t="n">
        <v>1000</v>
      </c>
      <c r="W75" s="23" t="n">
        <f aca="false">IF(V75="","",IF(U75="","",V75/U75))</f>
        <v>1</v>
      </c>
      <c r="Y75" s="24" t="n">
        <f aca="false">IF(OR(M75="",N75=""),0,M75*N75)</f>
        <v>23.99</v>
      </c>
    </row>
    <row r="76" customFormat="false" ht="15" hidden="false" customHeight="true" outlineLevel="0" collapsed="false">
      <c r="A76" s="53" t="s">
        <v>11</v>
      </c>
      <c r="B76" s="65" t="s">
        <v>173</v>
      </c>
      <c r="C76" s="58" t="s">
        <v>174</v>
      </c>
      <c r="D76" s="53" t="s">
        <v>174</v>
      </c>
      <c r="E76" s="58" t="s">
        <v>175</v>
      </c>
      <c r="G76" s="12" t="s">
        <v>176</v>
      </c>
      <c r="H76" s="57" t="s">
        <v>50</v>
      </c>
      <c r="J76" s="13" t="n">
        <v>46302</v>
      </c>
      <c r="K76" s="12" t="s">
        <v>11</v>
      </c>
      <c r="L76" s="12" t="n">
        <v>23.79</v>
      </c>
      <c r="M76" s="12" t="n">
        <v>10.19</v>
      </c>
      <c r="N76" s="55" t="n">
        <v>1</v>
      </c>
      <c r="O76" s="21" t="str">
        <f aca="false">IF(OR(N76="",Config!$B$3=""),"",IF(N76&lt;=Config!$B$3,"⚠ REORDER",""))</f>
        <v>⚠ REORDER</v>
      </c>
      <c r="P76" s="56" t="s">
        <v>60</v>
      </c>
      <c r="Q76" s="56" t="s">
        <v>61</v>
      </c>
      <c r="R76" s="56" t="s">
        <v>53</v>
      </c>
      <c r="T76" s="56" t="s">
        <v>54</v>
      </c>
      <c r="U76" s="55" t="n">
        <v>1000</v>
      </c>
      <c r="V76" s="55" t="n">
        <v>1000</v>
      </c>
      <c r="W76" s="23" t="n">
        <f aca="false">IF(V76="","",IF(U76="","",V76/U76))</f>
        <v>1</v>
      </c>
      <c r="X76" s="1" t="s">
        <v>177</v>
      </c>
      <c r="Y76" s="24" t="n">
        <f aca="false">IF(OR(M76="",N76=""),0,M76*N76)</f>
        <v>10.19</v>
      </c>
    </row>
    <row r="77" customFormat="false" ht="15" hidden="false" customHeight="true" outlineLevel="0" collapsed="false">
      <c r="A77" s="53" t="s">
        <v>11</v>
      </c>
      <c r="B77" s="11" t="s">
        <v>173</v>
      </c>
      <c r="C77" s="58" t="s">
        <v>174</v>
      </c>
      <c r="D77" s="53" t="s">
        <v>174</v>
      </c>
      <c r="E77" s="58" t="s">
        <v>175</v>
      </c>
      <c r="G77" s="12" t="s">
        <v>176</v>
      </c>
      <c r="H77" s="57" t="s">
        <v>50</v>
      </c>
      <c r="J77" s="13" t="n">
        <v>46302</v>
      </c>
      <c r="K77" s="12" t="s">
        <v>11</v>
      </c>
      <c r="L77" s="12" t="n">
        <v>23.79</v>
      </c>
      <c r="M77" s="12" t="n">
        <v>10.19</v>
      </c>
      <c r="N77" s="55" t="n">
        <v>1</v>
      </c>
      <c r="O77" s="21" t="str">
        <f aca="false">IF(OR(N77="",Config!$B$3=""),"",IF(N77&lt;=Config!$B$3,"⚠ REORDER",""))</f>
        <v>⚠ REORDER</v>
      </c>
      <c r="P77" s="56" t="s">
        <v>60</v>
      </c>
      <c r="Q77" s="56" t="s">
        <v>61</v>
      </c>
      <c r="R77" s="56" t="s">
        <v>53</v>
      </c>
      <c r="T77" s="56" t="s">
        <v>54</v>
      </c>
      <c r="U77" s="55" t="n">
        <v>1000</v>
      </c>
      <c r="V77" s="55" t="n">
        <v>1000</v>
      </c>
      <c r="W77" s="23" t="n">
        <f aca="false">IF(V77="","",IF(U77="","",V77/U77))</f>
        <v>1</v>
      </c>
      <c r="X77" s="1" t="s">
        <v>177</v>
      </c>
      <c r="Y77" s="24" t="n">
        <f aca="false">IF(OR(M77="",N77=""),0,M77*N77)</f>
        <v>10.19</v>
      </c>
    </row>
    <row r="78" customFormat="false" ht="15" hidden="false" customHeight="true" outlineLevel="0" collapsed="false">
      <c r="A78" s="71" t="s">
        <v>11</v>
      </c>
      <c r="B78" s="72" t="s">
        <v>178</v>
      </c>
      <c r="C78" s="71" t="s">
        <v>174</v>
      </c>
      <c r="D78" s="53" t="s">
        <v>174</v>
      </c>
      <c r="E78" s="58" t="s">
        <v>179</v>
      </c>
      <c r="G78" s="12" t="s">
        <v>176</v>
      </c>
      <c r="H78" s="57" t="s">
        <v>50</v>
      </c>
      <c r="J78" s="13" t="n">
        <v>46302</v>
      </c>
      <c r="K78" s="12" t="s">
        <v>11</v>
      </c>
      <c r="L78" s="12" t="n">
        <v>23.79</v>
      </c>
      <c r="M78" s="12" t="n">
        <v>10.19</v>
      </c>
      <c r="N78" s="55" t="n">
        <v>1</v>
      </c>
      <c r="O78" s="21" t="str">
        <f aca="false">IF(OR(N78="",Config!$B$3=""),"",IF(N78&lt;=Config!$B$3,"⚠ REORDER",""))</f>
        <v>⚠ REORDER</v>
      </c>
      <c r="P78" s="56" t="s">
        <v>60</v>
      </c>
      <c r="Q78" s="56" t="s">
        <v>61</v>
      </c>
      <c r="R78" s="56" t="s">
        <v>53</v>
      </c>
      <c r="T78" s="56" t="s">
        <v>54</v>
      </c>
      <c r="U78" s="55" t="n">
        <v>1000</v>
      </c>
      <c r="V78" s="55" t="n">
        <v>1000</v>
      </c>
      <c r="W78" s="23" t="n">
        <f aca="false">IF(V78="","",IF(U78="","",V78/U78))</f>
        <v>1</v>
      </c>
      <c r="X78" s="1" t="s">
        <v>177</v>
      </c>
      <c r="Y78" s="24" t="n">
        <f aca="false">IF(OR(M78="",N78=""),0,M78*N78)</f>
        <v>10.19</v>
      </c>
    </row>
    <row r="79" customFormat="false" ht="15" hidden="false" customHeight="true" outlineLevel="0" collapsed="false">
      <c r="A79" s="53" t="s">
        <v>11</v>
      </c>
      <c r="B79" s="11" t="s">
        <v>178</v>
      </c>
      <c r="C79" s="58" t="s">
        <v>174</v>
      </c>
      <c r="D79" s="53" t="s">
        <v>174</v>
      </c>
      <c r="E79" s="58" t="s">
        <v>179</v>
      </c>
      <c r="G79" s="12" t="s">
        <v>176</v>
      </c>
      <c r="H79" s="57" t="s">
        <v>50</v>
      </c>
      <c r="J79" s="13" t="n">
        <v>46302</v>
      </c>
      <c r="K79" s="12" t="s">
        <v>11</v>
      </c>
      <c r="L79" s="12" t="n">
        <v>23.79</v>
      </c>
      <c r="M79" s="12" t="n">
        <v>10.19</v>
      </c>
      <c r="N79" s="55" t="n">
        <v>1</v>
      </c>
      <c r="O79" s="21" t="str">
        <f aca="false">IF(OR(N79="",Config!$B$3=""),"",IF(N79&lt;=Config!$B$3,"⚠ REORDER",""))</f>
        <v>⚠ REORDER</v>
      </c>
      <c r="P79" s="56" t="s">
        <v>60</v>
      </c>
      <c r="Q79" s="56" t="s">
        <v>61</v>
      </c>
      <c r="R79" s="56" t="s">
        <v>53</v>
      </c>
      <c r="T79" s="56" t="s">
        <v>54</v>
      </c>
      <c r="U79" s="55" t="n">
        <v>1000</v>
      </c>
      <c r="V79" s="55" t="n">
        <v>1000</v>
      </c>
      <c r="W79" s="23" t="n">
        <f aca="false">IF(V79="","",IF(U79="","",V79/U79))</f>
        <v>1</v>
      </c>
      <c r="X79" s="1" t="s">
        <v>177</v>
      </c>
      <c r="Y79" s="24" t="n">
        <f aca="false">IF(OR(M79="",N79=""),0,M79*N79)</f>
        <v>10.19</v>
      </c>
    </row>
    <row r="80" customFormat="false" ht="15" hidden="false" customHeight="true" outlineLevel="0" collapsed="false">
      <c r="A80" s="53" t="s">
        <v>11</v>
      </c>
      <c r="B80" s="11" t="s">
        <v>180</v>
      </c>
      <c r="C80" s="58" t="s">
        <v>174</v>
      </c>
      <c r="D80" s="53" t="s">
        <v>174</v>
      </c>
      <c r="E80" s="58" t="s">
        <v>108</v>
      </c>
      <c r="G80" s="12" t="s">
        <v>176</v>
      </c>
      <c r="H80" s="57" t="s">
        <v>50</v>
      </c>
      <c r="J80" s="13" t="n">
        <v>46302</v>
      </c>
      <c r="K80" s="12" t="s">
        <v>11</v>
      </c>
      <c r="L80" s="12" t="n">
        <v>23.79</v>
      </c>
      <c r="M80" s="12" t="n">
        <v>10.19</v>
      </c>
      <c r="N80" s="55" t="n">
        <v>1</v>
      </c>
      <c r="O80" s="21" t="str">
        <f aca="false">IF(OR(N80="",Config!$B$3=""),"",IF(N80&lt;=Config!$B$3,"⚠ REORDER",""))</f>
        <v>⚠ REORDER</v>
      </c>
      <c r="P80" s="56" t="s">
        <v>60</v>
      </c>
      <c r="Q80" s="56" t="s">
        <v>61</v>
      </c>
      <c r="R80" s="56" t="s">
        <v>53</v>
      </c>
      <c r="T80" s="56" t="s">
        <v>54</v>
      </c>
      <c r="U80" s="55" t="n">
        <v>1000</v>
      </c>
      <c r="V80" s="55" t="n">
        <v>1000</v>
      </c>
      <c r="W80" s="23" t="n">
        <f aca="false">IF(V80="","",IF(U80="","",V80/U80))</f>
        <v>1</v>
      </c>
      <c r="X80" s="1" t="s">
        <v>177</v>
      </c>
      <c r="Y80" s="24" t="n">
        <f aca="false">IF(OR(M80="",N80=""),0,M80*N80)</f>
        <v>10.19</v>
      </c>
    </row>
    <row r="81" customFormat="false" ht="15" hidden="false" customHeight="true" outlineLevel="0" collapsed="false">
      <c r="A81" s="53" t="s">
        <v>11</v>
      </c>
      <c r="B81" s="11" t="s">
        <v>180</v>
      </c>
      <c r="C81" s="58" t="s">
        <v>174</v>
      </c>
      <c r="D81" s="53" t="s">
        <v>174</v>
      </c>
      <c r="E81" s="58" t="s">
        <v>108</v>
      </c>
      <c r="G81" s="12" t="s">
        <v>176</v>
      </c>
      <c r="H81" s="57" t="s">
        <v>50</v>
      </c>
      <c r="J81" s="13" t="n">
        <v>46302</v>
      </c>
      <c r="K81" s="12" t="s">
        <v>11</v>
      </c>
      <c r="L81" s="12" t="n">
        <v>23.79</v>
      </c>
      <c r="M81" s="12" t="n">
        <v>10.19</v>
      </c>
      <c r="N81" s="55" t="n">
        <v>1</v>
      </c>
      <c r="O81" s="21" t="str">
        <f aca="false">IF(OR(N81="",Config!$B$3=""),"",IF(N81&lt;=Config!$B$3,"⚠ REORDER",""))</f>
        <v>⚠ REORDER</v>
      </c>
      <c r="P81" s="56" t="s">
        <v>60</v>
      </c>
      <c r="Q81" s="56" t="s">
        <v>61</v>
      </c>
      <c r="R81" s="56" t="s">
        <v>53</v>
      </c>
      <c r="T81" s="56" t="s">
        <v>54</v>
      </c>
      <c r="U81" s="55" t="n">
        <v>1000</v>
      </c>
      <c r="V81" s="55" t="n">
        <v>1000</v>
      </c>
      <c r="W81" s="23" t="n">
        <f aca="false">IF(V81="","",IF(U81="","",V81/U81))</f>
        <v>1</v>
      </c>
      <c r="X81" s="1" t="s">
        <v>177</v>
      </c>
      <c r="Y81" s="24" t="n">
        <f aca="false">IF(OR(M81="",N81=""),0,M81*N81)</f>
        <v>10.19</v>
      </c>
    </row>
    <row r="82" customFormat="false" ht="15" hidden="false" customHeight="true" outlineLevel="0" collapsed="false">
      <c r="A82" s="53" t="s">
        <v>11</v>
      </c>
      <c r="B82" s="11" t="s">
        <v>181</v>
      </c>
      <c r="C82" s="58" t="s">
        <v>174</v>
      </c>
      <c r="D82" s="53" t="s">
        <v>174</v>
      </c>
      <c r="E82" s="58" t="s">
        <v>182</v>
      </c>
      <c r="G82" s="12" t="s">
        <v>176</v>
      </c>
      <c r="H82" s="57" t="s">
        <v>50</v>
      </c>
      <c r="J82" s="13" t="n">
        <v>46302</v>
      </c>
      <c r="K82" s="12" t="s">
        <v>11</v>
      </c>
      <c r="L82" s="12" t="n">
        <v>23.79</v>
      </c>
      <c r="M82" s="12" t="n">
        <v>10.19</v>
      </c>
      <c r="N82" s="55" t="n">
        <v>1</v>
      </c>
      <c r="O82" s="21" t="str">
        <f aca="false">IF(OR(N82="",Config!$B$3=""),"",IF(N82&lt;=Config!$B$3,"⚠ REORDER",""))</f>
        <v>⚠ REORDER</v>
      </c>
      <c r="P82" s="56" t="s">
        <v>60</v>
      </c>
      <c r="Q82" s="56" t="s">
        <v>61</v>
      </c>
      <c r="R82" s="56" t="s">
        <v>53</v>
      </c>
      <c r="T82" s="56" t="s">
        <v>54</v>
      </c>
      <c r="U82" s="55" t="n">
        <v>1000</v>
      </c>
      <c r="V82" s="55" t="n">
        <v>1000</v>
      </c>
      <c r="W82" s="23" t="n">
        <f aca="false">IF(V82="","",IF(U82="","",V82/U82))</f>
        <v>1</v>
      </c>
      <c r="X82" s="1" t="s">
        <v>177</v>
      </c>
      <c r="Y82" s="24" t="n">
        <f aca="false">IF(OR(M82="",N82=""),0,M82*N82)</f>
        <v>10.19</v>
      </c>
    </row>
    <row r="83" customFormat="false" ht="15" hidden="false" customHeight="true" outlineLevel="0" collapsed="false">
      <c r="A83" s="53" t="s">
        <v>11</v>
      </c>
      <c r="B83" s="11" t="s">
        <v>183</v>
      </c>
      <c r="C83" s="58" t="s">
        <v>174</v>
      </c>
      <c r="D83" s="53" t="s">
        <v>174</v>
      </c>
      <c r="E83" s="58" t="s">
        <v>184</v>
      </c>
      <c r="G83" s="12" t="s">
        <v>176</v>
      </c>
      <c r="H83" s="57" t="s">
        <v>50</v>
      </c>
      <c r="J83" s="13" t="n">
        <v>46302</v>
      </c>
      <c r="K83" s="12" t="s">
        <v>11</v>
      </c>
      <c r="L83" s="12" t="n">
        <v>23.79</v>
      </c>
      <c r="M83" s="12" t="n">
        <v>10.19</v>
      </c>
      <c r="N83" s="55" t="n">
        <v>1</v>
      </c>
      <c r="O83" s="21" t="str">
        <f aca="false">IF(OR(N83="",Config!$B$3=""),"",IF(N83&lt;=Config!$B$3,"⚠ REORDER",""))</f>
        <v>⚠ REORDER</v>
      </c>
      <c r="P83" s="56" t="s">
        <v>60</v>
      </c>
      <c r="Q83" s="56" t="s">
        <v>61</v>
      </c>
      <c r="R83" s="56" t="s">
        <v>53</v>
      </c>
      <c r="T83" s="56" t="s">
        <v>54</v>
      </c>
      <c r="U83" s="55" t="n">
        <v>1000</v>
      </c>
      <c r="V83" s="55" t="n">
        <v>1000</v>
      </c>
      <c r="W83" s="23" t="n">
        <f aca="false">IF(V83="","",IF(U83="","",V83/U83))</f>
        <v>1</v>
      </c>
      <c r="X83" s="1" t="s">
        <v>177</v>
      </c>
      <c r="Y83" s="24" t="n">
        <f aca="false">IF(OR(M83="",N83=""),0,M83*N83)</f>
        <v>10.19</v>
      </c>
    </row>
    <row r="84" customFormat="false" ht="15" hidden="false" customHeight="true" outlineLevel="0" collapsed="false">
      <c r="A84" s="53" t="s">
        <v>11</v>
      </c>
      <c r="B84" s="11" t="s">
        <v>183</v>
      </c>
      <c r="C84" s="58" t="s">
        <v>174</v>
      </c>
      <c r="D84" s="53" t="s">
        <v>174</v>
      </c>
      <c r="E84" s="58" t="s">
        <v>184</v>
      </c>
      <c r="G84" s="12" t="s">
        <v>176</v>
      </c>
      <c r="H84" s="57" t="s">
        <v>50</v>
      </c>
      <c r="J84" s="13" t="n">
        <v>46302</v>
      </c>
      <c r="K84" s="12" t="s">
        <v>11</v>
      </c>
      <c r="L84" s="12" t="n">
        <v>23.79</v>
      </c>
      <c r="M84" s="12" t="n">
        <v>10.19</v>
      </c>
      <c r="N84" s="55" t="n">
        <v>1</v>
      </c>
      <c r="O84" s="21" t="str">
        <f aca="false">IF(OR(N84="",Config!$B$3=""),"",IF(N84&lt;=Config!$B$3,"⚠ REORDER",""))</f>
        <v>⚠ REORDER</v>
      </c>
      <c r="P84" s="56" t="s">
        <v>60</v>
      </c>
      <c r="Q84" s="56" t="s">
        <v>61</v>
      </c>
      <c r="R84" s="56" t="s">
        <v>53</v>
      </c>
      <c r="T84" s="56" t="s">
        <v>54</v>
      </c>
      <c r="U84" s="55" t="n">
        <v>1000</v>
      </c>
      <c r="V84" s="55" t="n">
        <v>1000</v>
      </c>
      <c r="W84" s="23" t="n">
        <f aca="false">IF(V84="","",IF(U84="","",V84/U84))</f>
        <v>1</v>
      </c>
      <c r="X84" s="1" t="s">
        <v>177</v>
      </c>
      <c r="Y84" s="24" t="n">
        <f aca="false">IF(OR(M84="",N84=""),0,M84*N84)</f>
        <v>10.19</v>
      </c>
    </row>
    <row r="85" customFormat="false" ht="15" hidden="false" customHeight="true" outlineLevel="0" collapsed="false">
      <c r="A85" s="53" t="s">
        <v>11</v>
      </c>
      <c r="B85" s="11" t="s">
        <v>185</v>
      </c>
      <c r="C85" s="58" t="s">
        <v>174</v>
      </c>
      <c r="D85" s="53" t="s">
        <v>174</v>
      </c>
      <c r="E85" s="58" t="s">
        <v>186</v>
      </c>
      <c r="G85" s="12" t="s">
        <v>176</v>
      </c>
      <c r="H85" s="57" t="s">
        <v>50</v>
      </c>
      <c r="J85" s="13" t="n">
        <v>46302</v>
      </c>
      <c r="K85" s="12" t="s">
        <v>11</v>
      </c>
      <c r="L85" s="12" t="n">
        <v>23.79</v>
      </c>
      <c r="M85" s="12" t="n">
        <v>10.19</v>
      </c>
      <c r="N85" s="55" t="n">
        <v>1</v>
      </c>
      <c r="O85" s="21" t="str">
        <f aca="false">IF(OR(N85="",Config!$B$3=""),"",IF(N85&lt;=Config!$B$3,"⚠ REORDER",""))</f>
        <v>⚠ REORDER</v>
      </c>
      <c r="P85" s="56" t="s">
        <v>60</v>
      </c>
      <c r="Q85" s="56" t="s">
        <v>61</v>
      </c>
      <c r="R85" s="56" t="s">
        <v>53</v>
      </c>
      <c r="T85" s="56" t="s">
        <v>54</v>
      </c>
      <c r="U85" s="55" t="n">
        <v>1000</v>
      </c>
      <c r="V85" s="55" t="n">
        <v>1000</v>
      </c>
      <c r="W85" s="23" t="n">
        <f aca="false">IF(V85="","",IF(U85="","",V85/U85))</f>
        <v>1</v>
      </c>
      <c r="X85" s="1" t="s">
        <v>177</v>
      </c>
      <c r="Y85" s="24" t="n">
        <f aca="false">IF(OR(M85="",N85=""),0,M85*N85)</f>
        <v>10.19</v>
      </c>
    </row>
    <row r="86" customFormat="false" ht="15" hidden="false" customHeight="true" outlineLevel="0" collapsed="false">
      <c r="A86" s="53" t="s">
        <v>11</v>
      </c>
      <c r="B86" s="11" t="s">
        <v>185</v>
      </c>
      <c r="C86" s="58" t="s">
        <v>174</v>
      </c>
      <c r="D86" s="53" t="s">
        <v>174</v>
      </c>
      <c r="E86" s="58" t="s">
        <v>186</v>
      </c>
      <c r="G86" s="12" t="s">
        <v>176</v>
      </c>
      <c r="H86" s="57" t="s">
        <v>50</v>
      </c>
      <c r="J86" s="13" t="n">
        <v>46302</v>
      </c>
      <c r="K86" s="12" t="s">
        <v>11</v>
      </c>
      <c r="L86" s="12" t="n">
        <v>23.79</v>
      </c>
      <c r="M86" s="12" t="n">
        <v>10.19</v>
      </c>
      <c r="N86" s="55" t="n">
        <v>1</v>
      </c>
      <c r="O86" s="21" t="str">
        <f aca="false">IF(OR(N86="",Config!$B$3=""),"",IF(N86&lt;=Config!$B$3,"⚠ REORDER",""))</f>
        <v>⚠ REORDER</v>
      </c>
      <c r="P86" s="56" t="s">
        <v>60</v>
      </c>
      <c r="Q86" s="56" t="s">
        <v>61</v>
      </c>
      <c r="R86" s="56" t="s">
        <v>53</v>
      </c>
      <c r="T86" s="56" t="s">
        <v>54</v>
      </c>
      <c r="U86" s="55" t="n">
        <v>1000</v>
      </c>
      <c r="V86" s="55" t="n">
        <v>1000</v>
      </c>
      <c r="W86" s="23" t="n">
        <f aca="false">IF(V86="","",IF(U86="","",V86/U86))</f>
        <v>1</v>
      </c>
      <c r="X86" s="1" t="s">
        <v>177</v>
      </c>
      <c r="Y86" s="24" t="n">
        <f aca="false">IF(OR(M86="",N86=""),0,M86*N86)</f>
        <v>10.19</v>
      </c>
    </row>
    <row r="87" customFormat="false" ht="15" hidden="false" customHeight="true" outlineLevel="0" collapsed="false">
      <c r="A87" s="53" t="s">
        <v>11</v>
      </c>
      <c r="B87" s="11" t="s">
        <v>187</v>
      </c>
      <c r="C87" s="58" t="s">
        <v>174</v>
      </c>
      <c r="D87" s="53" t="s">
        <v>174</v>
      </c>
      <c r="E87" s="58" t="s">
        <v>188</v>
      </c>
      <c r="G87" s="12" t="s">
        <v>176</v>
      </c>
      <c r="H87" s="57" t="s">
        <v>50</v>
      </c>
      <c r="J87" s="13" t="n">
        <v>46302</v>
      </c>
      <c r="K87" s="12" t="s">
        <v>11</v>
      </c>
      <c r="L87" s="12" t="n">
        <v>23.79</v>
      </c>
      <c r="M87" s="12" t="n">
        <v>10.19</v>
      </c>
      <c r="N87" s="55" t="n">
        <v>1</v>
      </c>
      <c r="O87" s="21" t="str">
        <f aca="false">IF(OR(N87="",Config!$B$3=""),"",IF(N87&lt;=Config!$B$3,"⚠ REORDER",""))</f>
        <v>⚠ REORDER</v>
      </c>
      <c r="P87" s="56" t="s">
        <v>60</v>
      </c>
      <c r="Q87" s="56" t="s">
        <v>61</v>
      </c>
      <c r="R87" s="56" t="s">
        <v>53</v>
      </c>
      <c r="T87" s="56" t="s">
        <v>54</v>
      </c>
      <c r="U87" s="55" t="n">
        <v>1000</v>
      </c>
      <c r="V87" s="55" t="n">
        <v>1000</v>
      </c>
      <c r="W87" s="23" t="n">
        <f aca="false">IF(V87="","",IF(U87="","",V87/U87))</f>
        <v>1</v>
      </c>
      <c r="X87" s="1" t="s">
        <v>177</v>
      </c>
      <c r="Y87" s="24" t="n">
        <f aca="false">IF(OR(M87="",N87=""),0,M87*N87)</f>
        <v>10.19</v>
      </c>
    </row>
    <row r="88" customFormat="false" ht="15" hidden="false" customHeight="true" outlineLevel="0" collapsed="false">
      <c r="A88" s="53" t="s">
        <v>11</v>
      </c>
      <c r="B88" s="11" t="s">
        <v>187</v>
      </c>
      <c r="C88" s="58" t="s">
        <v>174</v>
      </c>
      <c r="D88" s="53" t="s">
        <v>174</v>
      </c>
      <c r="E88" s="58" t="s">
        <v>188</v>
      </c>
      <c r="G88" s="12" t="s">
        <v>176</v>
      </c>
      <c r="H88" s="57" t="s">
        <v>50</v>
      </c>
      <c r="J88" s="13" t="n">
        <v>46302</v>
      </c>
      <c r="K88" s="12" t="s">
        <v>11</v>
      </c>
      <c r="L88" s="12" t="n">
        <v>23.79</v>
      </c>
      <c r="M88" s="12" t="n">
        <v>10.19</v>
      </c>
      <c r="N88" s="55" t="n">
        <v>1</v>
      </c>
      <c r="O88" s="21" t="str">
        <f aca="false">IF(OR(N88="",Config!$B$3=""),"",IF(N88&lt;=Config!$B$3,"⚠ REORDER",""))</f>
        <v>⚠ REORDER</v>
      </c>
      <c r="P88" s="56" t="s">
        <v>60</v>
      </c>
      <c r="Q88" s="56" t="s">
        <v>61</v>
      </c>
      <c r="R88" s="56" t="s">
        <v>53</v>
      </c>
      <c r="T88" s="56" t="s">
        <v>54</v>
      </c>
      <c r="U88" s="55" t="n">
        <v>1000</v>
      </c>
      <c r="V88" s="55" t="n">
        <v>1000</v>
      </c>
      <c r="W88" s="23" t="n">
        <f aca="false">IF(V88="","",IF(U88="","",V88/U88))</f>
        <v>1</v>
      </c>
      <c r="X88" s="1" t="s">
        <v>177</v>
      </c>
      <c r="Y88" s="24" t="n">
        <f aca="false">IF(OR(M88="",N88=""),0,M88*N88)</f>
        <v>10.19</v>
      </c>
    </row>
    <row r="89" customFormat="false" ht="15" hidden="false" customHeight="true" outlineLevel="0" collapsed="false">
      <c r="A89" s="53" t="s">
        <v>11</v>
      </c>
      <c r="B89" s="11" t="s">
        <v>189</v>
      </c>
      <c r="C89" s="58" t="s">
        <v>174</v>
      </c>
      <c r="D89" s="53" t="s">
        <v>174</v>
      </c>
      <c r="E89" s="58" t="s">
        <v>48</v>
      </c>
      <c r="G89" s="12" t="s">
        <v>176</v>
      </c>
      <c r="H89" s="57" t="s">
        <v>50</v>
      </c>
      <c r="J89" s="13" t="n">
        <v>46302</v>
      </c>
      <c r="K89" s="12" t="s">
        <v>11</v>
      </c>
      <c r="L89" s="12" t="n">
        <v>23.79</v>
      </c>
      <c r="M89" s="12" t="n">
        <v>10.19</v>
      </c>
      <c r="N89" s="55" t="n">
        <v>1</v>
      </c>
      <c r="O89" s="21" t="str">
        <f aca="false">IF(OR(N89="",Config!$B$3=""),"",IF(N89&lt;=Config!$B$3,"⚠ REORDER",""))</f>
        <v>⚠ REORDER</v>
      </c>
      <c r="P89" s="56" t="s">
        <v>60</v>
      </c>
      <c r="Q89" s="56" t="s">
        <v>61</v>
      </c>
      <c r="R89" s="56" t="s">
        <v>53</v>
      </c>
      <c r="T89" s="56" t="s">
        <v>54</v>
      </c>
      <c r="U89" s="55" t="n">
        <v>1000</v>
      </c>
      <c r="V89" s="55" t="n">
        <v>1000</v>
      </c>
      <c r="W89" s="23" t="n">
        <f aca="false">IF(V89="","",IF(U89="","",V89/U89))</f>
        <v>1</v>
      </c>
      <c r="X89" s="1" t="s">
        <v>177</v>
      </c>
      <c r="Y89" s="24" t="n">
        <f aca="false">IF(OR(M89="",N89=""),0,M89*N89)</f>
        <v>10.19</v>
      </c>
    </row>
    <row r="90" customFormat="false" ht="15" hidden="false" customHeight="true" outlineLevel="0" collapsed="false">
      <c r="A90" s="53" t="s">
        <v>11</v>
      </c>
      <c r="B90" s="11" t="s">
        <v>189</v>
      </c>
      <c r="C90" s="58" t="s">
        <v>174</v>
      </c>
      <c r="D90" s="53" t="s">
        <v>174</v>
      </c>
      <c r="E90" s="58" t="s">
        <v>48</v>
      </c>
      <c r="G90" s="12" t="s">
        <v>176</v>
      </c>
      <c r="H90" s="57" t="s">
        <v>50</v>
      </c>
      <c r="J90" s="13" t="n">
        <v>46302</v>
      </c>
      <c r="K90" s="12" t="s">
        <v>11</v>
      </c>
      <c r="L90" s="12" t="n">
        <v>23.79</v>
      </c>
      <c r="M90" s="12" t="n">
        <v>10.19</v>
      </c>
      <c r="N90" s="55" t="n">
        <v>1</v>
      </c>
      <c r="O90" s="21" t="str">
        <f aca="false">IF(OR(N90="",Config!$B$3=""),"",IF(N90&lt;=Config!$B$3,"⚠ REORDER",""))</f>
        <v>⚠ REORDER</v>
      </c>
      <c r="P90" s="56" t="s">
        <v>60</v>
      </c>
      <c r="Q90" s="56" t="s">
        <v>61</v>
      </c>
      <c r="R90" s="56" t="s">
        <v>53</v>
      </c>
      <c r="T90" s="56" t="s">
        <v>54</v>
      </c>
      <c r="U90" s="55" t="n">
        <v>1000</v>
      </c>
      <c r="V90" s="55" t="n">
        <v>1000</v>
      </c>
      <c r="W90" s="23" t="n">
        <f aca="false">IF(V90="","",IF(U90="","",V90/U90))</f>
        <v>1</v>
      </c>
      <c r="X90" s="1" t="s">
        <v>177</v>
      </c>
      <c r="Y90" s="24" t="n">
        <f aca="false">IF(OR(M90="",N90=""),0,M90*N90)</f>
        <v>10.19</v>
      </c>
    </row>
    <row r="91" customFormat="false" ht="15" hidden="false" customHeight="true" outlineLevel="0" collapsed="false">
      <c r="A91" s="53" t="s">
        <v>11</v>
      </c>
      <c r="B91" s="11" t="s">
        <v>181</v>
      </c>
      <c r="C91" s="1" t="s">
        <v>174</v>
      </c>
      <c r="D91" s="1" t="s">
        <v>174</v>
      </c>
      <c r="E91" s="1" t="s">
        <v>182</v>
      </c>
      <c r="G91" s="12" t="s">
        <v>176</v>
      </c>
      <c r="H91" s="73" t="s">
        <v>50</v>
      </c>
      <c r="J91" s="74" t="n">
        <v>46302</v>
      </c>
      <c r="K91" s="12" t="s">
        <v>11</v>
      </c>
      <c r="L91" s="12" t="n">
        <v>23.79</v>
      </c>
      <c r="M91" s="12" t="n">
        <v>10.19</v>
      </c>
      <c r="N91" s="55" t="n">
        <v>1</v>
      </c>
      <c r="O91" s="21" t="str">
        <f aca="false">IF(OR(N91="",Config!$B$3=""),"",IF(N91&lt;=Config!$B$3,"⚠ REORDER",""))</f>
        <v>⚠ REORDER</v>
      </c>
      <c r="P91" s="73" t="s">
        <v>60</v>
      </c>
      <c r="Q91" s="73" t="s">
        <v>61</v>
      </c>
      <c r="R91" s="73" t="s">
        <v>53</v>
      </c>
      <c r="T91" s="73" t="s">
        <v>54</v>
      </c>
      <c r="U91" s="55" t="n">
        <v>1000</v>
      </c>
      <c r="V91" s="55" t="n">
        <v>1000</v>
      </c>
      <c r="W91" s="23" t="n">
        <f aca="false">IF(V91="","",IF(U91="","",V91/U91))</f>
        <v>1</v>
      </c>
      <c r="X91" s="1" t="s">
        <v>177</v>
      </c>
      <c r="Y91" s="24" t="n">
        <f aca="false">IF(OR(M91="",N91=""),0,M91*N91)</f>
        <v>10.19</v>
      </c>
    </row>
    <row r="92" customFormat="false" ht="15" hidden="false" customHeight="true" outlineLevel="0" collapsed="false">
      <c r="H92" s="73"/>
      <c r="N92" s="55"/>
      <c r="O92" s="21" t="str">
        <f aca="false">IF(OR(N92="",Config!$B$3=""),"",IF(N92&lt;=Config!$B$3,"⚠ REORDER",""))</f>
        <v/>
      </c>
      <c r="P92" s="73"/>
      <c r="Q92" s="73"/>
      <c r="R92" s="73"/>
      <c r="T92" s="73"/>
      <c r="U92" s="55"/>
      <c r="V92" s="55"/>
      <c r="W92" s="23" t="str">
        <f aca="false">IF(V92="","",IF(U92="","",V92/U92))</f>
        <v/>
      </c>
      <c r="Y92" s="24" t="n">
        <f aca="false">IF(OR(M92="",N92=""),0,M92*N92)</f>
        <v>0</v>
      </c>
    </row>
    <row r="93" customFormat="false" ht="15" hidden="false" customHeight="true" outlineLevel="0" collapsed="false">
      <c r="H93" s="73"/>
      <c r="N93" s="55"/>
      <c r="O93" s="21" t="str">
        <f aca="false">IF(OR(N93="",Config!$B$3=""),"",IF(N93&lt;=Config!$B$3,"⚠ REORDER",""))</f>
        <v/>
      </c>
      <c r="P93" s="73"/>
      <c r="Q93" s="73"/>
      <c r="R93" s="73"/>
      <c r="T93" s="73"/>
      <c r="U93" s="55"/>
      <c r="V93" s="55"/>
      <c r="W93" s="23" t="str">
        <f aca="false">IF(V93="","",IF(U93="","",V93/U93))</f>
        <v/>
      </c>
      <c r="Y93" s="24" t="n">
        <f aca="false">IF(OR(M93="",N93=""),0,M93*N93)</f>
        <v>0</v>
      </c>
    </row>
    <row r="94" customFormat="false" ht="15" hidden="false" customHeight="true" outlineLevel="0" collapsed="false">
      <c r="H94" s="73"/>
      <c r="N94" s="55"/>
      <c r="O94" s="21" t="str">
        <f aca="false">IF(OR(N94="",Config!$B$3=""),"",IF(N94&lt;=Config!$B$3,"⚠ REORDER",""))</f>
        <v/>
      </c>
      <c r="P94" s="73"/>
      <c r="Q94" s="73"/>
      <c r="R94" s="73"/>
      <c r="T94" s="73"/>
      <c r="U94" s="55"/>
      <c r="V94" s="55"/>
      <c r="W94" s="23" t="str">
        <f aca="false">IF(V94="","",IF(U94="","",V94/U94))</f>
        <v/>
      </c>
      <c r="Y94" s="24" t="n">
        <f aca="false">IF(OR(M94="",N94=""),0,M94*N94)</f>
        <v>0</v>
      </c>
    </row>
    <row r="95" customFormat="false" ht="15" hidden="false" customHeight="true" outlineLevel="0" collapsed="false">
      <c r="H95" s="73"/>
      <c r="N95" s="55"/>
      <c r="O95" s="21" t="str">
        <f aca="false">IF(OR(N95="",Config!$B$3=""),"",IF(N95&lt;=Config!$B$3,"⚠ REORDER",""))</f>
        <v/>
      </c>
      <c r="P95" s="73"/>
      <c r="Q95" s="73"/>
      <c r="R95" s="73"/>
      <c r="T95" s="73"/>
      <c r="U95" s="55"/>
      <c r="V95" s="55"/>
      <c r="W95" s="23" t="str">
        <f aca="false">IF(V95="","",IF(U95="","",V95/U95))</f>
        <v/>
      </c>
      <c r="Y95" s="24" t="n">
        <f aca="false">IF(OR(M95="",N95=""),0,M95*N95)</f>
        <v>0</v>
      </c>
    </row>
    <row r="96" customFormat="false" ht="15" hidden="false" customHeight="true" outlineLevel="0" collapsed="false">
      <c r="H96" s="73"/>
      <c r="N96" s="55"/>
      <c r="O96" s="21" t="str">
        <f aca="false">IF(OR(N96="",Config!$B$3=""),"",IF(N96&lt;=Config!$B$3,"⚠ REORDER",""))</f>
        <v/>
      </c>
      <c r="P96" s="73"/>
      <c r="Q96" s="73"/>
      <c r="R96" s="73"/>
      <c r="T96" s="73"/>
      <c r="U96" s="55"/>
      <c r="V96" s="55"/>
      <c r="W96" s="23" t="str">
        <f aca="false">IF(V96="","",IF(U96="","",V96/U96))</f>
        <v/>
      </c>
      <c r="Y96" s="24" t="n">
        <f aca="false">IF(OR(M96="",N96=""),0,M96*N96)</f>
        <v>0</v>
      </c>
    </row>
    <row r="97" customFormat="false" ht="15" hidden="false" customHeight="true" outlineLevel="0" collapsed="false">
      <c r="H97" s="73"/>
      <c r="N97" s="55"/>
      <c r="O97" s="21" t="str">
        <f aca="false">IF(OR(N97="",Config!$B$3=""),"",IF(N97&lt;=Config!$B$3,"⚠ REORDER",""))</f>
        <v/>
      </c>
      <c r="P97" s="73"/>
      <c r="Q97" s="73"/>
      <c r="R97" s="73"/>
      <c r="T97" s="73"/>
      <c r="U97" s="55"/>
      <c r="V97" s="55"/>
      <c r="W97" s="23" t="str">
        <f aca="false">IF(V97="","",IF(U97="","",V97/U97))</f>
        <v/>
      </c>
      <c r="Y97" s="24" t="n">
        <f aca="false">IF(OR(M97="",N97=""),0,M97*N97)</f>
        <v>0</v>
      </c>
    </row>
    <row r="98" customFormat="false" ht="15" hidden="false" customHeight="true" outlineLevel="0" collapsed="false">
      <c r="H98" s="73"/>
      <c r="N98" s="55"/>
      <c r="O98" s="21" t="str">
        <f aca="false">IF(OR(N98="",Config!$B$3=""),"",IF(N98&lt;=Config!$B$3,"⚠ REORDER",""))</f>
        <v/>
      </c>
      <c r="P98" s="73"/>
      <c r="Q98" s="73"/>
      <c r="R98" s="73"/>
      <c r="T98" s="73"/>
      <c r="U98" s="55"/>
      <c r="V98" s="55"/>
      <c r="W98" s="23" t="str">
        <f aca="false">IF(V98="","",IF(U98="","",V98/U98))</f>
        <v/>
      </c>
      <c r="Y98" s="24" t="n">
        <f aca="false">IF(OR(M98="",N98=""),0,M98*N98)</f>
        <v>0</v>
      </c>
    </row>
    <row r="99" customFormat="false" ht="15" hidden="false" customHeight="true" outlineLevel="0" collapsed="false">
      <c r="H99" s="73"/>
      <c r="N99" s="55"/>
      <c r="O99" s="21" t="str">
        <f aca="false">IF(OR(N99="",Config!$B$3=""),"",IF(N99&lt;=Config!$B$3,"⚠ REORDER",""))</f>
        <v/>
      </c>
      <c r="P99" s="73"/>
      <c r="Q99" s="73"/>
      <c r="R99" s="73"/>
      <c r="T99" s="73"/>
      <c r="U99" s="55"/>
      <c r="V99" s="55"/>
      <c r="W99" s="23" t="str">
        <f aca="false">IF(V99="","",IF(U99="","",V99/U99))</f>
        <v/>
      </c>
      <c r="Y99" s="24" t="n">
        <f aca="false">IF(OR(M99="",N99=""),0,M99*N99)</f>
        <v>0</v>
      </c>
    </row>
    <row r="100" customFormat="false" ht="15" hidden="false" customHeight="true" outlineLevel="0" collapsed="false">
      <c r="H100" s="73"/>
      <c r="N100" s="55"/>
      <c r="O100" s="21" t="str">
        <f aca="false">IF(OR(N100="",Config!$B$3=""),"",IF(N100&lt;=Config!$B$3,"⚠ REORDER",""))</f>
        <v/>
      </c>
      <c r="P100" s="73"/>
      <c r="Q100" s="73"/>
      <c r="R100" s="73"/>
      <c r="T100" s="73"/>
      <c r="U100" s="55"/>
      <c r="V100" s="55"/>
      <c r="W100" s="23" t="str">
        <f aca="false">IF(V100="","",IF(U100="","",V100/U100))</f>
        <v/>
      </c>
      <c r="Y100" s="24" t="n">
        <f aca="false">IF(OR(M100="",N100=""),0,M100*N100)</f>
        <v>0</v>
      </c>
    </row>
    <row r="101" customFormat="false" ht="15" hidden="false" customHeight="true" outlineLevel="0" collapsed="false">
      <c r="H101" s="73"/>
      <c r="N101" s="55"/>
      <c r="O101" s="21" t="str">
        <f aca="false">IF(OR(N101="",Config!$B$3=""),"",IF(N101&lt;=Config!$B$3,"⚠ REORDER",""))</f>
        <v/>
      </c>
      <c r="P101" s="73"/>
      <c r="Q101" s="73"/>
      <c r="R101" s="73"/>
      <c r="T101" s="73"/>
      <c r="U101" s="55"/>
      <c r="V101" s="55"/>
      <c r="W101" s="23" t="str">
        <f aca="false">IF(V101="","",IF(U101="","",V101/U101))</f>
        <v/>
      </c>
      <c r="Y101" s="24" t="n">
        <f aca="false">IF(OR(M101="",N101=""),0,M101*N101)</f>
        <v>0</v>
      </c>
    </row>
    <row r="102" customFormat="false" ht="15" hidden="false" customHeight="true" outlineLevel="0" collapsed="false">
      <c r="H102" s="73"/>
      <c r="N102" s="55"/>
      <c r="O102" s="21" t="str">
        <f aca="false">IF(OR(N102="",Config!$B$3=""),"",IF(N102&lt;=Config!$B$3,"⚠ REORDER",""))</f>
        <v/>
      </c>
      <c r="P102" s="73"/>
      <c r="Q102" s="73"/>
      <c r="R102" s="73"/>
      <c r="T102" s="73"/>
      <c r="U102" s="55"/>
      <c r="V102" s="55"/>
      <c r="W102" s="23" t="str">
        <f aca="false">IF(V102="","",IF(U102="","",V102/U102))</f>
        <v/>
      </c>
      <c r="Y102" s="24" t="n">
        <f aca="false">IF(OR(M102="",N102=""),0,M102*N102)</f>
        <v>0</v>
      </c>
    </row>
    <row r="103" customFormat="false" ht="15" hidden="false" customHeight="true" outlineLevel="0" collapsed="false">
      <c r="H103" s="73"/>
      <c r="N103" s="55"/>
      <c r="O103" s="21" t="str">
        <f aca="false">IF(OR(N103="",Config!$B$3=""),"",IF(N103&lt;=Config!$B$3,"⚠ REORDER",""))</f>
        <v/>
      </c>
      <c r="P103" s="73"/>
      <c r="Q103" s="73"/>
      <c r="R103" s="73"/>
      <c r="T103" s="73"/>
      <c r="U103" s="55"/>
      <c r="V103" s="55"/>
      <c r="W103" s="23" t="str">
        <f aca="false">IF(V103="","",IF(U103="","",V103/U103))</f>
        <v/>
      </c>
      <c r="Y103" s="24" t="n">
        <f aca="false">IF(OR(M103="",N103=""),0,M103*N103)</f>
        <v>0</v>
      </c>
    </row>
    <row r="104" customFormat="false" ht="15" hidden="false" customHeight="true" outlineLevel="0" collapsed="false">
      <c r="H104" s="73"/>
      <c r="N104" s="55"/>
      <c r="O104" s="21" t="str">
        <f aca="false">IF(OR(N104="",Config!$B$3=""),"",IF(N104&lt;=Config!$B$3,"⚠ REORDER",""))</f>
        <v/>
      </c>
      <c r="P104" s="73"/>
      <c r="Q104" s="73"/>
      <c r="R104" s="73"/>
      <c r="T104" s="73"/>
      <c r="U104" s="55"/>
      <c r="V104" s="55"/>
      <c r="W104" s="23" t="str">
        <f aca="false">IF(V104="","",IF(U104="","",V104/U104))</f>
        <v/>
      </c>
      <c r="Y104" s="24" t="n">
        <f aca="false">IF(OR(M104="",N104=""),0,M104*N104)</f>
        <v>0</v>
      </c>
    </row>
    <row r="105" customFormat="false" ht="15" hidden="false" customHeight="true" outlineLevel="0" collapsed="false">
      <c r="H105" s="73"/>
      <c r="N105" s="55"/>
      <c r="O105" s="21" t="str">
        <f aca="false">IF(OR(N105="",Config!$B$3=""),"",IF(N105&lt;=Config!$B$3,"⚠ REORDER",""))</f>
        <v/>
      </c>
      <c r="P105" s="73"/>
      <c r="Q105" s="73"/>
      <c r="R105" s="73"/>
      <c r="T105" s="73"/>
      <c r="U105" s="55"/>
      <c r="V105" s="55"/>
      <c r="W105" s="23" t="str">
        <f aca="false">IF(V105="","",IF(U105="","",V105/U105))</f>
        <v/>
      </c>
      <c r="Y105" s="24" t="n">
        <f aca="false">IF(OR(M105="",N105=""),0,M105*N105)</f>
        <v>0</v>
      </c>
    </row>
    <row r="106" customFormat="false" ht="15" hidden="false" customHeight="true" outlineLevel="0" collapsed="false">
      <c r="H106" s="73"/>
      <c r="N106" s="55"/>
      <c r="O106" s="21" t="str">
        <f aca="false">IF(OR(N106="",Config!$B$3=""),"",IF(N106&lt;=Config!$B$3,"⚠ REORDER",""))</f>
        <v/>
      </c>
      <c r="P106" s="73"/>
      <c r="Q106" s="73"/>
      <c r="R106" s="73"/>
      <c r="T106" s="73"/>
      <c r="U106" s="55"/>
      <c r="V106" s="55"/>
      <c r="W106" s="23" t="str">
        <f aca="false">IF(V106="","",IF(U106="","",V106/U106))</f>
        <v/>
      </c>
      <c r="Y106" s="24" t="n">
        <f aca="false">IF(OR(M106="",N106=""),0,M106*N106)</f>
        <v>0</v>
      </c>
    </row>
    <row r="107" customFormat="false" ht="15" hidden="false" customHeight="true" outlineLevel="0" collapsed="false">
      <c r="H107" s="73"/>
      <c r="N107" s="55"/>
      <c r="O107" s="21" t="str">
        <f aca="false">IF(OR(N107="",Config!$B$3=""),"",IF(N107&lt;=Config!$B$3,"⚠ REORDER",""))</f>
        <v/>
      </c>
      <c r="P107" s="73"/>
      <c r="Q107" s="73"/>
      <c r="R107" s="73"/>
      <c r="T107" s="73"/>
      <c r="U107" s="55"/>
      <c r="V107" s="55"/>
      <c r="W107" s="23" t="str">
        <f aca="false">IF(V107="","",IF(U107="","",V107/U107))</f>
        <v/>
      </c>
      <c r="Y107" s="24" t="n">
        <f aca="false">IF(OR(M107="",N107=""),0,M107*N107)</f>
        <v>0</v>
      </c>
    </row>
    <row r="108" customFormat="false" ht="15" hidden="false" customHeight="true" outlineLevel="0" collapsed="false">
      <c r="H108" s="73"/>
      <c r="N108" s="55"/>
      <c r="O108" s="21" t="str">
        <f aca="false">IF(OR(N108="",Config!$B$3=""),"",IF(N108&lt;=Config!$B$3,"⚠ REORDER",""))</f>
        <v/>
      </c>
      <c r="P108" s="73"/>
      <c r="Q108" s="73"/>
      <c r="R108" s="73"/>
      <c r="T108" s="73"/>
      <c r="U108" s="55"/>
      <c r="V108" s="55"/>
      <c r="W108" s="23" t="str">
        <f aca="false">IF(V108="","",IF(U108="","",V108/U108))</f>
        <v/>
      </c>
      <c r="Y108" s="24" t="n">
        <f aca="false">IF(OR(M108="",N108=""),0,M108*N108)</f>
        <v>0</v>
      </c>
    </row>
    <row r="109" customFormat="false" ht="15" hidden="false" customHeight="true" outlineLevel="0" collapsed="false">
      <c r="H109" s="73"/>
      <c r="N109" s="55"/>
      <c r="O109" s="21" t="str">
        <f aca="false">IF(OR(N109="",Config!$B$3=""),"",IF(N109&lt;=Config!$B$3,"⚠ REORDER",""))</f>
        <v/>
      </c>
      <c r="P109" s="73"/>
      <c r="Q109" s="73"/>
      <c r="R109" s="73"/>
      <c r="T109" s="73"/>
      <c r="U109" s="55"/>
      <c r="V109" s="55"/>
      <c r="W109" s="23" t="str">
        <f aca="false">IF(V109="","",IF(U109="","",V109/U109))</f>
        <v/>
      </c>
      <c r="Y109" s="24" t="n">
        <f aca="false">IF(OR(M109="",N109=""),0,M109*N109)</f>
        <v>0</v>
      </c>
    </row>
    <row r="110" customFormat="false" ht="15" hidden="false" customHeight="true" outlineLevel="0" collapsed="false">
      <c r="H110" s="73"/>
      <c r="N110" s="55"/>
      <c r="O110" s="21" t="str">
        <f aca="false">IF(OR(N110="",Config!$B$3=""),"",IF(N110&lt;=Config!$B$3,"⚠ REORDER",""))</f>
        <v/>
      </c>
      <c r="P110" s="73"/>
      <c r="Q110" s="73"/>
      <c r="R110" s="73"/>
      <c r="T110" s="73"/>
      <c r="U110" s="55"/>
      <c r="V110" s="55"/>
      <c r="W110" s="23" t="str">
        <f aca="false">IF(V110="","",IF(U110="","",V110/U110))</f>
        <v/>
      </c>
      <c r="Y110" s="24" t="n">
        <f aca="false">IF(OR(M110="",N110=""),0,M110*N110)</f>
        <v>0</v>
      </c>
    </row>
    <row r="111" customFormat="false" ht="15" hidden="false" customHeight="true" outlineLevel="0" collapsed="false">
      <c r="H111" s="73"/>
      <c r="N111" s="55"/>
      <c r="O111" s="21" t="str">
        <f aca="false">IF(OR(N111="",Config!$B$3=""),"",IF(N111&lt;=Config!$B$3,"⚠ REORDER",""))</f>
        <v/>
      </c>
      <c r="P111" s="73"/>
      <c r="Q111" s="73"/>
      <c r="R111" s="73"/>
      <c r="T111" s="73"/>
      <c r="U111" s="55"/>
      <c r="V111" s="55"/>
      <c r="W111" s="23" t="str">
        <f aca="false">IF(V111="","",IF(U111="","",V111/U111))</f>
        <v/>
      </c>
      <c r="Y111" s="24" t="n">
        <f aca="false">IF(OR(M111="",N111=""),0,M111*N111)</f>
        <v>0</v>
      </c>
    </row>
    <row r="112" customFormat="false" ht="15" hidden="false" customHeight="true" outlineLevel="0" collapsed="false">
      <c r="H112" s="73"/>
      <c r="N112" s="55"/>
      <c r="O112" s="21" t="str">
        <f aca="false">IF(OR(N112="",Config!$B$3=""),"",IF(N112&lt;=Config!$B$3,"⚠ REORDER",""))</f>
        <v/>
      </c>
      <c r="P112" s="73"/>
      <c r="Q112" s="73"/>
      <c r="R112" s="73"/>
      <c r="T112" s="73"/>
      <c r="U112" s="55"/>
      <c r="V112" s="55"/>
      <c r="W112" s="23" t="str">
        <f aca="false">IF(V112="","",IF(U112="","",V112/U112))</f>
        <v/>
      </c>
      <c r="Y112" s="24" t="n">
        <f aca="false">IF(OR(M112="",N112=""),0,M112*N112)</f>
        <v>0</v>
      </c>
    </row>
    <row r="113" customFormat="false" ht="15" hidden="false" customHeight="true" outlineLevel="0" collapsed="false">
      <c r="H113" s="73"/>
      <c r="N113" s="55"/>
      <c r="O113" s="21" t="str">
        <f aca="false">IF(OR(N113="",Config!$B$3=""),"",IF(N113&lt;=Config!$B$3,"⚠ REORDER",""))</f>
        <v/>
      </c>
      <c r="P113" s="73"/>
      <c r="Q113" s="73"/>
      <c r="R113" s="73"/>
      <c r="T113" s="73"/>
      <c r="U113" s="55"/>
      <c r="V113" s="55"/>
      <c r="W113" s="23" t="str">
        <f aca="false">IF(V113="","",IF(U113="","",V113/U113))</f>
        <v/>
      </c>
      <c r="Y113" s="24" t="n">
        <f aca="false">IF(OR(M113="",N113=""),0,M113*N113)</f>
        <v>0</v>
      </c>
    </row>
    <row r="114" customFormat="false" ht="15" hidden="false" customHeight="true" outlineLevel="0" collapsed="false">
      <c r="H114" s="73"/>
      <c r="N114" s="55"/>
      <c r="O114" s="21" t="str">
        <f aca="false">IF(OR(N114="",Config!$B$3=""),"",IF(N114&lt;=Config!$B$3,"⚠ REORDER",""))</f>
        <v/>
      </c>
      <c r="P114" s="73"/>
      <c r="Q114" s="73"/>
      <c r="R114" s="73"/>
      <c r="T114" s="73"/>
      <c r="U114" s="55"/>
      <c r="V114" s="55"/>
      <c r="W114" s="23" t="str">
        <f aca="false">IF(V114="","",IF(U114="","",V114/U114))</f>
        <v/>
      </c>
      <c r="Y114" s="24" t="n">
        <f aca="false">IF(OR(M114="",N114=""),0,M114*N114)</f>
        <v>0</v>
      </c>
    </row>
  </sheetData>
  <autoFilter ref="A2:Y115"/>
  <mergeCells count="1">
    <mergeCell ref="A1:Y1"/>
  </mergeCells>
  <conditionalFormatting sqref="O3:O114">
    <cfRule type="containsText" priority="2" operator="containsText" aboveAverage="0" equalAverage="0" bottom="0" percent="0" rank="0" text="REORDER" dxfId="35">
      <formula>NOT(ISERROR(SEARCH("REORDER",O3)))</formula>
    </cfRule>
  </conditionalFormatting>
  <dataValidations count="6">
    <dataValidation allowBlank="true" errorStyle="stop" operator="between" showDropDown="false" showErrorMessage="false" showInputMessage="false" sqref="A3:A64 A66:A71 A73:A77 A79:A114" type="list">
      <formula1>"AzureFilm,Bambu Lab,Creality Hyper,Hatchbox,MatterHackers,Overture,Polymaker,Prusament,SUNLU,VoxelPLA,eSUN"</formula1>
      <formula2>0</formula2>
    </dataValidation>
    <dataValidation allowBlank="true" errorStyle="stop" operator="between" showDropDown="false" showErrorMessage="false" showInputMessage="false" sqref="P3:P114" type="list">
      <formula1>"Opened,Sealed,Empty"</formula1>
      <formula2>0</formula2>
    </dataValidation>
    <dataValidation allowBlank="true" errorStyle="stop" operator="between" showDropDown="false" showErrorMessage="false" showInputMessage="false" sqref="Q3:Q114" type="list">
      <formula1>"New,Good,Fair,Poor,Depleted"</formula1>
      <formula2>0</formula2>
    </dataValidation>
    <dataValidation allowBlank="true" errorStyle="stop" operator="between" showDropDown="false" showErrorMessage="false" showInputMessage="false" sqref="R3:R114" type="list">
      <formula1>"Dry,OK,Damp,Wet"</formula1>
      <formula2>0</formula2>
    </dataValidation>
    <dataValidation allowBlank="true" errorStyle="stop" operator="between" showDropDown="false" showErrorMessage="false" showInputMessage="false" sqref="H3:H114" type="list">
      <formula1>"1.75mm,2.85mm"</formula1>
      <formula2>0</formula2>
    </dataValidation>
    <dataValidation allowBlank="true" errorStyle="stop" operator="between" showDropDown="false" showErrorMessage="false" showInputMessage="false" sqref="T3:T114" type="list">
      <formula1>"Spool,Refill"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6"/>
    <col collapsed="false" customWidth="true" hidden="false" outlineLevel="0" max="3" min="3" style="1" width="70"/>
  </cols>
  <sheetData>
    <row r="1" customFormat="false" ht="25.5" hidden="false" customHeight="true" outlineLevel="0" collapsed="false">
      <c r="A1" s="75" t="s">
        <v>190</v>
      </c>
      <c r="B1" s="75"/>
      <c r="C1" s="75"/>
    </row>
    <row r="2" customFormat="false" ht="21.75" hidden="false" customHeight="true" outlineLevel="0" collapsed="false">
      <c r="A2" s="7" t="s">
        <v>191</v>
      </c>
      <c r="B2" s="7" t="s">
        <v>192</v>
      </c>
      <c r="C2" s="7" t="s">
        <v>44</v>
      </c>
    </row>
    <row r="3" customFormat="false" ht="18" hidden="false" customHeight="true" outlineLevel="0" collapsed="false">
      <c r="A3" s="4" t="s">
        <v>193</v>
      </c>
      <c r="B3" s="76" t="n">
        <v>1</v>
      </c>
      <c r="C3" s="77" t="s">
        <v>194</v>
      </c>
    </row>
    <row r="4" customFormat="false" ht="18" hidden="false" customHeight="true" outlineLevel="0" collapsed="false">
      <c r="A4" s="4" t="s">
        <v>195</v>
      </c>
      <c r="B4" s="78" t="s">
        <v>196</v>
      </c>
      <c r="C4" s="77" t="s">
        <v>197</v>
      </c>
    </row>
    <row r="5" customFormat="false" ht="18" hidden="false" customHeight="true" outlineLevel="0" collapsed="false">
      <c r="A5" s="4" t="s">
        <v>198</v>
      </c>
      <c r="B5" s="78" t="s">
        <v>199</v>
      </c>
      <c r="C5" s="77" t="s">
        <v>200</v>
      </c>
    </row>
    <row r="6" customFormat="false" ht="18" hidden="false" customHeight="true" outlineLevel="0" collapsed="false">
      <c r="A6" s="4" t="s">
        <v>201</v>
      </c>
      <c r="B6" s="78" t="s">
        <v>202</v>
      </c>
      <c r="C6" s="77" t="s">
        <v>203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2026-08-08T21:41:31Z</dcterms:created>
  <dc:creator>openpyxl</dc:creator>
  <dc:description/>
  <dc:language>en-US</dc:language>
  <cp:lastModifiedBy>Wayne Varnado</cp:lastModifiedBy>
  <dcterms:modified xsi:type="dcterms:W3CDTF">2026-10-19T17:33:20Z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