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7D7D46CF-0A54-4824-8AFA-2AFCDBF470E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1" l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100-000001000000}">
      <text>
        <r>
          <rPr>
            <sz val="10"/>
            <rFont val="Arial"/>
            <family val="2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0"/>
            <rFont val="Arial"/>
            <family val="2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0"/>
            <rFont val="Arial"/>
            <family val="2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0"/>
            <rFont val="Arial"/>
            <family val="2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0"/>
            <rFont val="Arial"/>
            <family val="2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0"/>
            <rFont val="Arial"/>
            <family val="2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0"/>
            <rFont val="Arial"/>
            <family val="2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<sst xmlns="http://schemas.openxmlformats.org/spreadsheetml/2006/main" count="1136" uniqueCount="245">
  <si>
    <t>📦  VoxelPLA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</si>
  <si>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</si>
  <si>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</si>
  <si>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</si>
  <si>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</si>
  <si>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</si>
  <si>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</si>
  <si>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</si>
  <si>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</si>
  <si>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</si>
  <si>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</si>
  <si>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</si>
  <si>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</si>
  <si>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</si>
  <si>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</si>
  <si>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</si>
  <si>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</si>
  <si>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</si>
  <si>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</si>
  <si>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</si>
  <si>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</si>
  <si>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</si>
  <si>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</si>
  <si>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</si>
  <si>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Galaxy PETG+ HS</t>
  </si>
  <si>
    <t>Galaxy PLA+ HS</t>
  </si>
  <si>
    <t>PETG+ HS</t>
  </si>
  <si>
    <t>PLA+ HS</t>
  </si>
  <si>
    <t>VoxelPLA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</si>
  <si>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</si>
  <si>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</si>
  <si>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</si>
  <si>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</si>
  <si>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</si>
  <si>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</si>
  <si>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</si>
  <si>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</si>
  <si>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</si>
  <si>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</si>
  <si>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</si>
  <si>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</si>
  <si>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</si>
  <si>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</si>
  <si>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</si>
  <si>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</si>
  <si>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</si>
  <si>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</si>
  <si>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</si>
  <si>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VX-GALP-AURG</t>
  </si>
  <si>
    <t>VOXEL GALAXY PETG+ HS</t>
  </si>
  <si>
    <t>Aurora Green</t>
  </si>
  <si>
    <t>#1A5C3A</t>
  </si>
  <si>
    <t>1.75mm</t>
  </si>
  <si>
    <t>±0.03mm</t>
  </si>
  <si>
    <t>Plastic</t>
  </si>
  <si>
    <t>No</t>
  </si>
  <si>
    <t>235–265°C</t>
  </si>
  <si>
    <t>65–75°C</t>
  </si>
  <si>
    <t>65°C / 6h</t>
  </si>
  <si>
    <t>✓</t>
  </si>
  <si>
    <t>B</t>
  </si>
  <si>
    <t>Galaxy glitter PETG+; sparkle-particle variant of PETG+ HS; USA-made; same print settings as PETG+ HS</t>
  </si>
  <si>
    <t>Glitter/sparkle particle variant; same print settings as PETG+ HS; slightly abrasive — monitor nozzle wear at high volumes</t>
  </si>
  <si>
    <t>VX-GALP-EG</t>
  </si>
  <si>
    <t>Emerald Gold</t>
  </si>
  <si>
    <t>#4A7C59</t>
  </si>
  <si>
    <t>VX-GALP-GP</t>
  </si>
  <si>
    <t>Gioiello Purple</t>
  </si>
  <si>
    <t>#5B2D8E</t>
  </si>
  <si>
    <t>VX-GALP-MB</t>
  </si>
  <si>
    <t>Midnight Blue</t>
  </si>
  <si>
    <t>#1B2A4A</t>
  </si>
  <si>
    <t>VX-GALPLA-AURG</t>
  </si>
  <si>
    <t>VOXEL GALAXY PLA+ HS</t>
  </si>
  <si>
    <t>#999999</t>
  </si>
  <si>
    <t>200–210°C</t>
  </si>
  <si>
    <t>45–60°C</t>
  </si>
  <si>
    <t>55°C / 6h</t>
  </si>
  <si>
    <t>Galaxy glitter PLA+; sparkle-particle variant of PLA+ HS; USA-made; same print settings as PLA+ HS</t>
  </si>
  <si>
    <t>Glitter/sparkle particle variant; same print settings as PLA+ HS; slightly abrasive — monitor nozzle wear at high volumes | Line confirmed real 2026-08-18 (own voxelpla.com product page, own SKU, $24.99 — matches Galaxy PETG+ HS pricing tier); currently shows Sold Out on voxelpla.com. Hex: unconfirmed — no colorimeter measurement found for this PLA+ line specifically. Do NOT assume identical to Galaxy PETG+ HS hex despite matching color name — different material, not independently verified.</t>
  </si>
  <si>
    <t>VX-GALPLA-EG</t>
  </si>
  <si>
    <t>VX-GALPLA-GP</t>
  </si>
  <si>
    <t>VX-GALPLA-MB</t>
  </si>
  <si>
    <t>VX-PETG-BK</t>
  </si>
  <si>
    <t>VOXELPETG+ HS</t>
  </si>
  <si>
    <t>Black</t>
  </si>
  <si>
    <t>#111111</t>
  </si>
  <si>
    <t>USA-made; 250-machine farm-tested; PETG+ formulation with special additives; use Bambu PETG HF profile + raise nozzle to 265°C; print/bed temps confirmed within manufacturer TDS range (230–260°C / 60–80°C), sourced 2026-08-18; HDT 72°C (GB/T 1634)</t>
  </si>
  <si>
    <t>Bambu PETG HF profile + raise nozzle to 265°C; Tier B: good chemistry and HS-rated but TrustPilot reports shipping delays, occasional broken spools, and color-batch mismatch — verify spool condition on arrival</t>
  </si>
  <si>
    <t>VX-PETG-BL</t>
  </si>
  <si>
    <t>Blue</t>
  </si>
  <si>
    <t>#0057A8</t>
  </si>
  <si>
    <t>VX-PETG-CC</t>
  </si>
  <si>
    <t>Crystal Clear</t>
  </si>
  <si>
    <t>#D8F0F8</t>
  </si>
  <si>
    <t>Transparent variant; use Bambu PETG HF + 265°C nozzle; Tier B: good chemistry and HS-rated but TrustPilot reports shipping delays, occasional broken spools, and color-batch mismatch — verify spool condition on arrival</t>
  </si>
  <si>
    <t>VX-PETG-DBR</t>
  </si>
  <si>
    <t>Dark Brown</t>
  </si>
  <si>
    <t>New color 2026-09 batch, no hex found anywhere yet (same as Lilac Purple above) — see catalog-level note after the Galaxy PLA+ HS section, before Lilac Purple</t>
  </si>
  <si>
    <t>VX-PETG-DPU</t>
  </si>
  <si>
    <t>Dark Purple</t>
  </si>
  <si>
    <t>#4B0082</t>
  </si>
  <si>
    <t>VX-PETG-FOR</t>
  </si>
  <si>
    <t>Fire Orange</t>
  </si>
  <si>
    <t>#F56816</t>
  </si>
  <si>
    <t>VX-PETG-FG</t>
  </si>
  <si>
    <t>Forest Green</t>
  </si>
  <si>
    <t>#228B22</t>
  </si>
  <si>
    <t>VX-PETG-GY</t>
  </si>
  <si>
    <t>Grey</t>
  </si>
  <si>
    <t>#808080</t>
  </si>
  <si>
    <t>VX-PETG-HP</t>
  </si>
  <si>
    <t>Hot Pink</t>
  </si>
  <si>
    <t>VX-PETG-LP</t>
  </si>
  <si>
    <t>Light Pink</t>
  </si>
  <si>
    <t>VX-PETG-LPU</t>
  </si>
  <si>
    <t>Light Purple</t>
  </si>
  <si>
    <t>VX-PETG-RD</t>
  </si>
  <si>
    <t>Red</t>
  </si>
  <si>
    <t>#CC1010</t>
  </si>
  <si>
    <t>VX-PETG-SV</t>
  </si>
  <si>
    <t>Silver</t>
  </si>
  <si>
    <t>#C0C0C0</t>
  </si>
  <si>
    <t>VX-PETG-TEA</t>
  </si>
  <si>
    <t>Teal</t>
  </si>
  <si>
    <t>#008080</t>
  </si>
  <si>
    <t>VX-PETG-WH</t>
  </si>
  <si>
    <t>White</t>
  </si>
  <si>
    <t>#F5F5F5</t>
  </si>
  <si>
    <t>VX-PETG-YL</t>
  </si>
  <si>
    <t>Yellow</t>
  </si>
  <si>
    <t>#F5C518</t>
  </si>
  <si>
    <t>VX-PLAP-AG</t>
  </si>
  <si>
    <t>VOXELPLA+ HS</t>
  </si>
  <si>
    <t>Army Green</t>
  </si>
  <si>
    <t>#667B65</t>
  </si>
  <si>
    <t>USA-made; 250-machine farm-tested; HS rated to 400mm/s; print/bed temps per manufacturer TDS (200–210°C / 45–60°C), sourced 2026-08-18 — corrects prior assumption that stock Bambu PLA Basic profile needed no changes; HDT 53°C (GB/T 1634)</t>
  </si>
  <si>
    <t>RESOLVED 2026-09-04 (was flagged discrepancy): #667B65 confirmed correct via TWO independent sources -- voxelpla.com's own product page (Army Green shows Hotend 200-220C, Bed 45-60C) and 3dfilamentprofiles.com's colorimeter reading, which matches exactly. Prior #4A5240 was the incorrect value. Note: this product's own page shows print temp up to 220C, slightly above the 210C ceiling used site-wide for this line -- not changed here, flagging in case other colors need the same check.</t>
  </si>
  <si>
    <t>VX-PLAP-BR</t>
  </si>
  <si>
    <t>Brown</t>
  </si>
  <si>
    <t>#6B3A2A</t>
  </si>
  <si>
    <t>Tier B: good chemistry and HS-rated but TrustPilot reports shipping delays, occasional broken spools, and color-batch mismatch — verify spool condition on arrival</t>
  </si>
  <si>
    <t>VX-PLAP-CHB</t>
  </si>
  <si>
    <t>Champagne Beige</t>
  </si>
  <si>
    <t>#E8D5B0</t>
  </si>
  <si>
    <t>VX-PLAP-CW</t>
  </si>
  <si>
    <t>Cool White</t>
  </si>
  <si>
    <t>VX-PLAP-DBR</t>
  </si>
  <si>
    <t>#3D1C02</t>
  </si>
  <si>
    <t>VX-PLAP-DPU</t>
  </si>
  <si>
    <t>VX-PLAP-ESW</t>
  </si>
  <si>
    <t>Eggshell White</t>
  </si>
  <si>
    <t>#F0EAD6</t>
  </si>
  <si>
    <t>VX-PLAP-FER</t>
  </si>
  <si>
    <t>Fire Engine Red</t>
  </si>
  <si>
    <t>VX-PLAP-FOR</t>
  </si>
  <si>
    <t>VX-PLAP-FG</t>
  </si>
  <si>
    <t>VX-PLAP-GD</t>
  </si>
  <si>
    <t>Gold</t>
  </si>
  <si>
    <t>#D4A017</t>
  </si>
  <si>
    <t>VX-PLAP-GMB</t>
  </si>
  <si>
    <t>Gunmetal Blue</t>
  </si>
  <si>
    <t>#3D5A80</t>
  </si>
  <si>
    <t>VX-PLAP-IC</t>
  </si>
  <si>
    <t>Ice Clear</t>
  </si>
  <si>
    <t>#D8EEF8</t>
  </si>
  <si>
    <t>Translucent/clear variant; Tier B: good chemistry and HS-rated but TrustPilot reports shipping delays, occasional broken spools, and color-batch mismatch — verify spool condition on arrival</t>
  </si>
  <si>
    <t>VX-PLAP-LP</t>
  </si>
  <si>
    <t>Lavender Purple</t>
  </si>
  <si>
    <t>#9B7EC8</t>
  </si>
  <si>
    <t>VX-PLAP-LBR</t>
  </si>
  <si>
    <t>Light Brown</t>
  </si>
  <si>
    <t>#C4956A</t>
  </si>
  <si>
    <t>VX-PLAP-LIL</t>
  </si>
  <si>
    <t>Lilac Purple</t>
  </si>
  <si>
    <t>VX-PLAP-MA</t>
  </si>
  <si>
    <t>Magenta</t>
  </si>
  <si>
    <t>#CC0077</t>
  </si>
  <si>
    <t>VX-PLAP-MG</t>
  </si>
  <si>
    <t>Mint Green</t>
  </si>
  <si>
    <t>#7CF4DF</t>
  </si>
  <si>
    <t>RESOLVED 2026-09-15: #7CF4DF found on 3dfilamentprofiles.com's VoxelPLA listing page (was not indexed there as of the 2026-08-18 pass — now is). Currently shows Sold Out on voxelpla.com. Same caveat as Army Green before its own resolution: this is a listed/nominal value, not confirmed colorimeter-measured (no 'Measured RGB' data on the detail page).</t>
  </si>
  <si>
    <t>VX-PLAP-PB</t>
  </si>
  <si>
    <t>Phantom Blue</t>
  </si>
  <si>
    <t>#2A5CAA</t>
  </si>
  <si>
    <t>VX-PLAP-PK</t>
  </si>
  <si>
    <t>Pink</t>
  </si>
  <si>
    <t>#FF69B4</t>
  </si>
  <si>
    <t>VX-PLAP-RB</t>
  </si>
  <si>
    <t>Royal Blue</t>
  </si>
  <si>
    <t>#0047AB</t>
  </si>
  <si>
    <t>VX-PLAP-SV</t>
  </si>
  <si>
    <t>VX-PLAP-SK</t>
  </si>
  <si>
    <t>Skin</t>
  </si>
  <si>
    <t>#FFCC99</t>
  </si>
  <si>
    <t>VX-PLAP-SKB</t>
  </si>
  <si>
    <t>Sky Blue</t>
  </si>
  <si>
    <t>#87CEEB</t>
  </si>
  <si>
    <t>VX-PLAP-TQ</t>
  </si>
  <si>
    <t>Turquoise</t>
  </si>
  <si>
    <t>#00B4B4</t>
  </si>
  <si>
    <t>VX-PLAP-BK</t>
  </si>
  <si>
    <t>Voxel Black</t>
  </si>
  <si>
    <t>VX-PLAP-GY</t>
  </si>
  <si>
    <t>Voxel Grey</t>
  </si>
  <si>
    <t>VX-PLAP-WG</t>
  </si>
  <si>
    <t>Witch Green</t>
  </si>
  <si>
    <t>#2D5A2D</t>
  </si>
  <si>
    <t>VX-PLAP-WD</t>
  </si>
  <si>
    <t>Wood</t>
  </si>
  <si>
    <t>#A0785A</t>
  </si>
  <si>
    <t>Wood-composite filler; slightly abrasive — monitor nozzle; Tier B: good chemistry and HS-rated but TrustPilot reports shipping delays, occasional broken spools, and color-batch mismatch — verify spool condition on arrival</t>
  </si>
  <si>
    <t>VX-PLAP-YL</t>
  </si>
  <si>
    <t>VoxelPLA  —  Material Guide</t>
  </si>
  <si>
    <t>Material</t>
  </si>
  <si>
    <t>Enclosure Required</t>
  </si>
  <si>
    <t>AMS Compatible</t>
  </si>
  <si>
    <t>Drying Required</t>
  </si>
  <si>
    <t>Yes</t>
  </si>
  <si>
    <t>Recommended</t>
  </si>
  <si>
    <t>Manufacturer TDS (sourced 2026-08-18): Bowden retraction 60mm/s / 5mm, Direct-drive 50mm/s / 1mm, fan 100%. Rated 400mm/s. HDT 53°C. Bed temp corrected from a prior unverified assumption (was 35–45°C) — verify spool condition on arrival.</t>
  </si>
  <si>
    <t>Bambu: use PETG HF preset + raise nozzle to 265°C per VoxelPLA. Manufacturer TDS (sourced 2026-08-18) confirms range: Bowden retraction 60mm/s / 6mm, Direct-drive 50mm/s / 1mm, fan 20%. HDT 72°C. Must dry before printing. Textured PEI recommended.</t>
  </si>
  <si>
    <t>Same settings as PETG+ HS. Glitter particles slightly abrasive — monitor nozzle wear at high print volumes.</t>
  </si>
  <si>
    <t>190–220°C</t>
  </si>
  <si>
    <t>35–45°C</t>
  </si>
  <si>
    <t>NEW LINE — added 2026-08-18. Same settings as PLA+ HS. Glitter particles slightly abrasive — monitor nozzle wear.</t>
  </si>
  <si>
    <t>⚙  Configuration</t>
  </si>
  <si>
    <t>Setting</t>
  </si>
  <si>
    <t>Value</t>
  </si>
  <si>
    <t>Brand</t>
  </si>
  <si>
    <t>VoxelPLA</t>
  </si>
  <si>
    <t>File Version</t>
  </si>
  <si>
    <t>v3</t>
  </si>
  <si>
    <t>Generated</t>
  </si>
  <si>
    <t>2026-09-19</t>
  </si>
  <si>
    <t>Date this file was last generated by generate_all.py</t>
  </si>
  <si>
    <t>SKU Note</t>
  </si>
  <si>
    <t>Reference codes — verify at manufacturer site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</si>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</sst>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F6000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1F3864"/>
      <name val="Arial"/>
      <charset val="1"/>
    </font>
    <font>
      <b/>
      <sz val="10"/>
      <color rgb="FF9C0006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sz val="9"/>
      <color rgb="FF444444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sz val="10"/>
      <color rgb="FF7F6000"/>
      <name val="Arial"/>
      <charset val="1"/>
    </font>
  </fonts>
  <fills count="78">
    <fill>
      <patternFill patternType="none"/>
    </fill>
    <fill>
      <patternFill patternType="gray125"/>
    </fill>
    <fill>
      <patternFill patternType="solid">
        <fgColor rgb="FF1E3561"/>
        <bgColor rgb="FF3A5028"/>
      </patternFill>
    </fill>
    <fill>
      <patternFill patternType="solid">
        <fgColor rgb="FF2F5896"/>
        <bgColor rgb="FF004FAA"/>
      </patternFill>
    </fill>
    <fill>
      <patternFill patternType="darkGray">
        <fgColor rgb="FFF3F2F6"/>
        <bgColor rgb="FFF1EFEE"/>
      </patternFill>
    </fill>
    <fill>
      <patternFill patternType="solid">
        <fgColor rgb="FFFFFFFF"/>
        <bgColor rgb="FFFDFDFD"/>
      </patternFill>
    </fill>
    <fill>
      <patternFill patternType="solid">
        <fgColor rgb="FFFED402"/>
        <bgColor rgb="FFFFCC66"/>
      </patternFill>
    </fill>
    <fill>
      <patternFill patternType="solid">
        <fgColor rgb="FF92D050"/>
        <bgColor rgb="FFB8CCE4"/>
      </patternFill>
    </fill>
    <fill>
      <patternFill patternType="solid">
        <fgColor rgb="FFBDD7EE"/>
        <bgColor rgb="FFB8CCE4"/>
      </patternFill>
    </fill>
    <fill>
      <patternFill patternType="solid">
        <fgColor rgb="FFF4B8B8"/>
        <bgColor rgb="FFFFC7CE"/>
      </patternFill>
    </fill>
    <fill>
      <patternFill patternType="solid">
        <fgColor rgb="FFFFEB9C"/>
        <bgColor rgb="FFFFF2CC"/>
      </patternFill>
    </fill>
    <fill>
      <patternFill patternType="solid">
        <fgColor rgb="FF1F5B31"/>
        <bgColor rgb="FF276221"/>
      </patternFill>
    </fill>
    <fill>
      <patternFill patternType="solid">
        <fgColor rgb="FFE5EBE7"/>
        <bgColor rgb="FFE7EBF3"/>
      </patternFill>
    </fill>
    <fill>
      <patternFill patternType="solid">
        <fgColor rgb="FFEEF3FB"/>
        <bgColor rgb="FFF3F2F6"/>
      </patternFill>
    </fill>
    <fill>
      <patternFill patternType="darkGray">
        <fgColor rgb="FF587C5F"/>
        <bgColor rgb="FF276221"/>
      </patternFill>
    </fill>
    <fill>
      <patternFill patternType="darkGray">
        <fgColor rgb="FFE8F1E9"/>
        <bgColor rgb="FFE5EBE7"/>
      </patternFill>
    </fill>
    <fill>
      <patternFill patternType="darkGray">
        <fgColor rgb="FF530988"/>
        <bgColor rgb="FF1E3561"/>
      </patternFill>
    </fill>
    <fill>
      <patternFill patternType="solid">
        <fgColor rgb="FFEBE4F1"/>
        <bgColor rgb="FFEDE8E5"/>
      </patternFill>
    </fill>
    <fill>
      <patternFill patternType="darkGray">
        <fgColor rgb="FF1E3561"/>
        <bgColor rgb="FF4C240A"/>
      </patternFill>
    </fill>
    <fill>
      <patternFill patternType="mediumGray">
        <fgColor rgb="FFE5EBE7"/>
        <bgColor rgb="FFEBE4F1"/>
      </patternFill>
    </fill>
    <fill>
      <patternFill patternType="solid">
        <fgColor rgb="FF918394"/>
        <bgColor rgb="FF587C5F"/>
      </patternFill>
    </fill>
    <fill>
      <patternFill patternType="darkGray">
        <fgColor rgb="FF000000"/>
        <bgColor rgb="FF4C240A"/>
      </patternFill>
    </fill>
    <fill>
      <patternFill patternType="darkGray">
        <fgColor rgb="FFEBE4F1"/>
        <bgColor rgb="FFE5EBE7"/>
      </patternFill>
    </fill>
    <fill>
      <patternFill patternType="solid">
        <fgColor rgb="FF004FAA"/>
        <bgColor rgb="FF2F5896"/>
      </patternFill>
    </fill>
    <fill>
      <patternFill patternType="darkGray">
        <fgColor rgb="FFE0EDF3"/>
        <bgColor rgb="FFE7EBF3"/>
      </patternFill>
    </fill>
    <fill>
      <patternFill patternType="darkGray">
        <fgColor rgb="FFDDF4F8"/>
        <bgColor rgb="FFE0EDF3"/>
      </patternFill>
    </fill>
    <fill>
      <patternFill patternType="solid">
        <fgColor rgb="FFFAFDFE"/>
        <bgColor rgb="FFFAFCFE"/>
      </patternFill>
    </fill>
    <fill>
      <patternFill patternType="solid">
        <fgColor rgb="FF530988"/>
        <bgColor rgb="FF4C240A"/>
      </patternFill>
    </fill>
    <fill>
      <patternFill patternType="darkGray">
        <fgColor rgb="FFE88A1F"/>
        <bgColor rgb="FF9C5700"/>
      </patternFill>
    </fill>
    <fill>
      <patternFill patternType="solid">
        <fgColor rgb="FFFDECE3"/>
        <bgColor rgb="FFF9F3E3"/>
      </patternFill>
    </fill>
    <fill>
      <patternFill patternType="mediumGray">
        <fgColor rgb="FF029552"/>
        <bgColor rgb="FF276221"/>
      </patternFill>
    </fill>
    <fill>
      <patternFill patternType="darkGray">
        <fgColor rgb="FF918394"/>
        <bgColor rgb="FF587C5F"/>
      </patternFill>
    </fill>
    <fill>
      <patternFill patternType="solid">
        <fgColor rgb="FFF1EFEE"/>
        <bgColor rgb="FFF3F2F6"/>
      </patternFill>
    </fill>
    <fill>
      <patternFill patternType="solid">
        <fgColor rgb="FFCC0325"/>
        <bgColor rgb="FF9C0006"/>
      </patternFill>
    </fill>
    <fill>
      <patternFill patternType="solid">
        <fgColor rgb="FFF8E2E2"/>
        <bgColor rgb="FFF8E0EE"/>
      </patternFill>
    </fill>
    <fill>
      <patternFill patternType="solid">
        <fgColor rgb="FFB8CCE4"/>
        <bgColor rgb="FFBDD7EE"/>
      </patternFill>
    </fill>
    <fill>
      <patternFill patternType="solid">
        <fgColor rgb="FFF7F7F7"/>
        <bgColor rgb="FFFCF9F5"/>
      </patternFill>
    </fill>
    <fill>
      <patternFill patternType="darkGray">
        <fgColor rgb="FF029552"/>
        <bgColor rgb="FF004FAA"/>
      </patternFill>
    </fill>
    <fill>
      <patternFill patternType="solid">
        <fgColor rgb="FFE0EDF3"/>
        <bgColor rgb="FFE5EBE7"/>
      </patternFill>
    </fill>
    <fill>
      <patternFill patternType="darkGray">
        <fgColor rgb="FFF7F7F7"/>
        <bgColor rgb="FFF3F2F6"/>
      </patternFill>
    </fill>
    <fill>
      <patternFill patternType="solid">
        <fgColor rgb="FFFDFDFD"/>
        <bgColor rgb="FFFDFCFA"/>
      </patternFill>
    </fill>
    <fill>
      <patternFill patternType="darkGray">
        <fgColor rgb="FFFED402"/>
        <bgColor rgb="FFFFCC66"/>
      </patternFill>
    </fill>
    <fill>
      <patternFill patternType="solid">
        <fgColor rgb="FFFDF8E3"/>
        <bgColor rgb="FFF9F3E3"/>
      </patternFill>
    </fill>
    <fill>
      <patternFill patternType="darkGray">
        <fgColor rgb="FF587C5F"/>
        <bgColor rgb="FF918394"/>
      </patternFill>
    </fill>
    <fill>
      <patternFill patternType="mediumGray">
        <fgColor rgb="FFF1EFEE"/>
        <bgColor rgb="FFE8F1E9"/>
      </patternFill>
    </fill>
    <fill>
      <patternFill patternType="mediumGray">
        <fgColor rgb="FF804C00"/>
        <bgColor rgb="FF4C240A"/>
      </patternFill>
    </fill>
    <fill>
      <patternFill patternType="solid">
        <fgColor rgb="FFEDE8E5"/>
        <bgColor rgb="FFEBE4F1"/>
      </patternFill>
    </fill>
    <fill>
      <patternFill patternType="solid">
        <fgColor rgb="FFFAD2A5"/>
        <bgColor rgb="FFFFC7CE"/>
      </patternFill>
    </fill>
    <fill>
      <patternFill patternType="solid">
        <fgColor rgb="FFFCF9F5"/>
        <bgColor rgb="FFFFF8F2"/>
      </patternFill>
    </fill>
    <fill>
      <patternFill patternType="darkGray">
        <fgColor rgb="FF4C240A"/>
        <bgColor rgb="FF000000"/>
      </patternFill>
    </fill>
    <fill>
      <patternFill patternType="darkGray">
        <fgColor rgb="FFEDE8E5"/>
        <bgColor rgb="FFEBE4F1"/>
      </patternFill>
    </fill>
    <fill>
      <patternFill patternType="solid">
        <fgColor rgb="FFEDE8E5"/>
        <bgColor rgb="FFE5EBE7"/>
      </patternFill>
    </fill>
    <fill>
      <patternFill patternType="solid">
        <fgColor rgb="FFFDFCFA"/>
        <bgColor rgb="FFFDFDFD"/>
      </patternFill>
    </fill>
    <fill>
      <patternFill patternType="darkGray">
        <fgColor rgb="FFE88A1F"/>
        <bgColor rgb="FFFED402"/>
      </patternFill>
    </fill>
    <fill>
      <patternFill patternType="solid">
        <fgColor rgb="FFF9F3E3"/>
        <bgColor rgb="FFF7F2ED"/>
      </patternFill>
    </fill>
    <fill>
      <patternFill patternType="darkGray">
        <fgColor rgb="FF2F5896"/>
        <bgColor rgb="FF3A5028"/>
      </patternFill>
    </fill>
    <fill>
      <patternFill patternType="darkGray">
        <fgColor rgb="FFE7EBF3"/>
        <bgColor rgb="FFE5EBE7"/>
      </patternFill>
    </fill>
    <fill>
      <patternFill patternType="mediumGray">
        <fgColor rgb="FFE0EDF3"/>
        <bgColor rgb="FFDDF4F8"/>
      </patternFill>
    </fill>
    <fill>
      <patternFill patternType="solid">
        <fgColor rgb="FFFAFCFE"/>
        <bgColor rgb="FFFAFDFE"/>
      </patternFill>
    </fill>
    <fill>
      <patternFill patternType="mediumGray">
        <fgColor rgb="FFE88A1F"/>
        <bgColor rgb="FF918394"/>
      </patternFill>
    </fill>
    <fill>
      <patternFill patternType="solid">
        <fgColor rgb="FFF7F2ED"/>
        <bgColor rgb="FFF9F3E3"/>
      </patternFill>
    </fill>
    <fill>
      <patternFill patternType="solid">
        <fgColor rgb="FFF8E0EE"/>
        <bgColor rgb="FFF8E2E2"/>
      </patternFill>
    </fill>
    <fill>
      <patternFill patternType="solid">
        <fgColor rgb="FF82ECE8"/>
        <bgColor rgb="FFC6EFCE"/>
      </patternFill>
    </fill>
    <fill>
      <patternFill patternType="solid">
        <fgColor rgb="FFF0FCFC"/>
        <bgColor rgb="FFFAFDFE"/>
      </patternFill>
    </fill>
    <fill>
      <patternFill patternType="solid">
        <fgColor rgb="FF2F5896"/>
        <bgColor rgb="FF004FAA"/>
      </patternFill>
    </fill>
    <fill>
      <patternFill patternType="darkGray">
        <fgColor rgb="FFE7EBF3"/>
        <bgColor rgb="FFE0EDF3"/>
      </patternFill>
    </fill>
    <fill>
      <patternFill patternType="solid">
        <fgColor rgb="FFFF69B4"/>
        <bgColor rgb="FFE88A1F"/>
      </patternFill>
    </fill>
    <fill>
      <patternFill patternType="solid">
        <fgColor rgb="FFFFEDF6"/>
        <bgColor rgb="FFFDECE3"/>
      </patternFill>
    </fill>
    <fill>
      <patternFill patternType="darkGray">
        <fgColor rgb="FFFAD2A5"/>
        <bgColor rgb="FFFFCC66"/>
      </patternFill>
    </fill>
    <fill>
      <patternFill patternType="solid">
        <fgColor rgb="FFFFF8F2"/>
        <bgColor rgb="FFFCF9F5"/>
      </patternFill>
    </fill>
    <fill>
      <patternFill patternType="mediumGray">
        <fgColor rgb="FF82ECE8"/>
        <bgColor rgb="FFB8CCE4"/>
      </patternFill>
    </fill>
    <fill>
      <patternFill patternType="darkGray">
        <fgColor rgb="FFF0FCFC"/>
        <bgColor rgb="FFF7F7F7"/>
      </patternFill>
    </fill>
    <fill>
      <patternFill patternType="solid">
        <fgColor rgb="FF029552"/>
        <bgColor rgb="FF587C5F"/>
      </patternFill>
    </fill>
    <fill>
      <patternFill patternType="solid">
        <fgColor rgb="FFDDF4F8"/>
        <bgColor rgb="FFE0EDF3"/>
      </patternFill>
    </fill>
    <fill>
      <patternFill patternType="mediumGray">
        <fgColor rgb="FF1F5B31"/>
        <bgColor rgb="FF276221"/>
      </patternFill>
    </fill>
    <fill>
      <patternFill patternType="darkGray">
        <fgColor rgb="FF918394"/>
        <bgColor rgb="FF9C5700"/>
      </patternFill>
    </fill>
    <fill>
      <patternFill patternType="darkGray">
        <fgColor rgb="FFF1EFEE"/>
        <bgColor rgb="FFF7F2ED"/>
      </patternFill>
    </fill>
    <fill>
      <patternFill patternType="solid">
        <fgColor rgb="FFFFF2CC"/>
        <bgColor rgb="FFF9F3E3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11" fillId="29" borderId="1" xfId="0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11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11" fillId="46" borderId="1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11" fillId="48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11" fillId="50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11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11" fillId="54" borderId="1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11" fillId="56" borderId="1" xfId="0" applyFont="1" applyFill="1" applyBorder="1" applyAlignment="1">
      <alignment horizontal="center" vertical="center" wrapText="1"/>
    </xf>
    <xf numFmtId="0" fontId="5" fillId="57" borderId="1" xfId="0" applyFont="1" applyFill="1" applyBorder="1" applyAlignment="1">
      <alignment horizontal="center" vertical="center" wrapText="1"/>
    </xf>
    <xf numFmtId="0" fontId="11" fillId="58" borderId="1" xfId="0" applyFont="1" applyFill="1" applyBorder="1" applyAlignment="1">
      <alignment horizontal="center" vertical="center" wrapText="1"/>
    </xf>
    <xf numFmtId="0" fontId="5" fillId="59" borderId="1" xfId="0" applyFont="1" applyFill="1" applyBorder="1" applyAlignment="1">
      <alignment horizontal="center" vertical="center" wrapText="1"/>
    </xf>
    <xf numFmtId="0" fontId="11" fillId="60" borderId="1" xfId="0" applyFont="1" applyFill="1" applyBorder="1" applyAlignment="1">
      <alignment horizontal="center" vertical="center" wrapText="1"/>
    </xf>
    <xf numFmtId="0" fontId="11" fillId="61" borderId="1" xfId="0" applyFont="1" applyFill="1" applyBorder="1" applyAlignment="1">
      <alignment horizontal="center" vertical="center" wrapText="1"/>
    </xf>
    <xf numFmtId="0" fontId="5" fillId="62" borderId="1" xfId="0" applyFont="1" applyFill="1" applyBorder="1" applyAlignment="1">
      <alignment horizontal="center" vertical="center" wrapText="1"/>
    </xf>
    <xf numFmtId="0" fontId="11" fillId="63" borderId="1" xfId="0" applyFont="1" applyFill="1" applyBorder="1" applyAlignment="1">
      <alignment horizontal="center" vertical="center" wrapText="1"/>
    </xf>
    <xf numFmtId="0" fontId="5" fillId="64" borderId="1" xfId="0" applyFont="1" applyFill="1" applyBorder="1" applyAlignment="1">
      <alignment horizontal="center" vertical="center" wrapText="1"/>
    </xf>
    <xf numFmtId="0" fontId="11" fillId="65" borderId="1" xfId="0" applyFont="1" applyFill="1" applyBorder="1" applyAlignment="1">
      <alignment horizontal="center" vertical="center" wrapText="1"/>
    </xf>
    <xf numFmtId="0" fontId="5" fillId="66" borderId="1" xfId="0" applyFont="1" applyFill="1" applyBorder="1" applyAlignment="1">
      <alignment horizontal="center" vertical="center" wrapText="1"/>
    </xf>
    <xf numFmtId="0" fontId="11" fillId="67" borderId="1" xfId="0" applyFont="1" applyFill="1" applyBorder="1" applyAlignment="1">
      <alignment horizontal="center" vertical="center" wrapText="1"/>
    </xf>
    <xf numFmtId="0" fontId="5" fillId="68" borderId="1" xfId="0" applyFont="1" applyFill="1" applyBorder="1" applyAlignment="1">
      <alignment horizontal="center" vertical="center" wrapText="1"/>
    </xf>
    <xf numFmtId="0" fontId="11" fillId="69" borderId="1" xfId="0" applyFont="1" applyFill="1" applyBorder="1" applyAlignment="1">
      <alignment horizontal="center" vertical="center" wrapText="1"/>
    </xf>
    <xf numFmtId="0" fontId="5" fillId="70" borderId="1" xfId="0" applyFont="1" applyFill="1" applyBorder="1" applyAlignment="1">
      <alignment horizontal="center" vertical="center" wrapText="1"/>
    </xf>
    <xf numFmtId="0" fontId="11" fillId="71" borderId="1" xfId="0" applyFont="1" applyFill="1" applyBorder="1" applyAlignment="1">
      <alignment horizontal="center" vertical="center" wrapText="1"/>
    </xf>
    <xf numFmtId="0" fontId="5" fillId="72" borderId="1" xfId="0" applyFont="1" applyFill="1" applyBorder="1" applyAlignment="1">
      <alignment horizontal="center" vertical="center" wrapText="1"/>
    </xf>
    <xf numFmtId="0" fontId="11" fillId="73" borderId="1" xfId="0" applyFont="1" applyFill="1" applyBorder="1" applyAlignment="1">
      <alignment horizontal="center" vertical="center" wrapText="1"/>
    </xf>
    <xf numFmtId="0" fontId="5" fillId="74" borderId="1" xfId="0" applyFont="1" applyFill="1" applyBorder="1" applyAlignment="1">
      <alignment horizontal="center" vertical="center" wrapText="1"/>
    </xf>
    <xf numFmtId="0" fontId="5" fillId="75" borderId="1" xfId="0" applyFont="1" applyFill="1" applyBorder="1" applyAlignment="1">
      <alignment horizontal="center" vertical="center" wrapText="1"/>
    </xf>
    <xf numFmtId="0" fontId="11" fillId="7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7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7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7F4F00"/>
        <name val="Arial"/>
        <charset val="1"/>
      </font>
      <fill>
        <patternFill>
          <bgColor rgb="FFFFCC66"/>
        </patternFill>
      </fill>
    </dxf>
    <dxf>
      <font>
        <color rgb="FF9C0006"/>
        <name val="Arial"/>
        <charset val="1"/>
      </font>
      <fill>
        <patternFill>
          <bgColor rgb="FFF4B8B8"/>
        </patternFill>
      </fill>
    </dxf>
    <dxf>
      <font>
        <color rgb="FF1F3864"/>
        <name val="Arial"/>
        <charset val="1"/>
      </font>
      <fill>
        <patternFill>
          <bgColor rgb="FFBDD7EE"/>
        </patternFill>
      </fill>
    </dxf>
    <dxf>
      <font>
        <color rgb="FF276221"/>
        <name val="Arial"/>
        <charset val="1"/>
      </font>
      <fill>
        <patternFill>
          <bgColor rgb="FF92D050"/>
        </patternFill>
      </fill>
    </dxf>
    <dxf>
      <font>
        <color rgb="FF7F6000"/>
        <name val="Arial"/>
        <charset val="1"/>
      </font>
      <fill>
        <patternFill>
          <bgColor rgb="FFFFD700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276221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325"/>
      <rgbColor rgb="FFF0FCFC"/>
      <rgbColor rgb="FFFAFCFE"/>
      <rgbColor rgb="FFFFCC66"/>
      <rgbColor rgb="FFF7F2ED"/>
      <rgbColor rgb="FFE8F1E9"/>
      <rgbColor rgb="FF9C0006"/>
      <rgbColor rgb="FF276221"/>
      <rgbColor rgb="FFFDFCFA"/>
      <rgbColor rgb="FF9C5700"/>
      <rgbColor rgb="FFF7F7F7"/>
      <rgbColor rgb="FF029552"/>
      <rgbColor rgb="FFB8CCE4"/>
      <rgbColor rgb="FF918394"/>
      <rgbColor rgb="FFEBE4F1"/>
      <rgbColor rgb="FFFDECE3"/>
      <rgbColor rgb="FFFDF8E3"/>
      <rgbColor rgb="FFDDF4F8"/>
      <rgbColor rgb="FF530988"/>
      <rgbColor rgb="FFFF69B4"/>
      <rgbColor rgb="FF004FAA"/>
      <rgbColor rgb="FFBDD7EE"/>
      <rgbColor rgb="FFFDFDFD"/>
      <rgbColor rgb="FFF9F3E3"/>
      <rgbColor rgb="FFFFF2CC"/>
      <rgbColor rgb="FFEEF3FB"/>
      <rgbColor rgb="FFFFF8F2"/>
      <rgbColor rgb="FFFCF9F5"/>
      <rgbColor rgb="FFF3F2F6"/>
      <rgbColor rgb="FFFAFDFE"/>
      <rgbColor rgb="FFF1EFEE"/>
      <rgbColor rgb="FFE0EDF3"/>
      <rgbColor rgb="FFC6EFCE"/>
      <rgbColor rgb="FFFFEB9C"/>
      <rgbColor rgb="FF82ECE8"/>
      <rgbColor rgb="FFF4B8B8"/>
      <rgbColor rgb="FFFFC7CE"/>
      <rgbColor rgb="FFFAD2A5"/>
      <rgbColor rgb="FFF8E0EE"/>
      <rgbColor rgb="FFE7EBF3"/>
      <rgbColor rgb="FF92D050"/>
      <rgbColor rgb="FFFED402"/>
      <rgbColor rgb="FFE88A1F"/>
      <rgbColor rgb="FFF8E2E2"/>
      <rgbColor rgb="FF587C5F"/>
      <rgbColor rgb="FFE5EBE7"/>
      <rgbColor rgb="FF1E3561"/>
      <rgbColor rgb="FFEDE8E5"/>
      <rgbColor rgb="FF1F5B31"/>
      <rgbColor rgb="FF4C240A"/>
      <rgbColor rgb="FF804C00"/>
      <rgbColor rgb="FFFFEDF6"/>
      <rgbColor rgb="FF2F5896"/>
      <rgbColor rgb="FF3A50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29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3" spans="1:8" ht="18" customHeight="1" x14ac:dyDescent="0.25">
      <c r="A3" s="6" t="s">
        <v>1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8" t="s">
        <v>2</v>
      </c>
      <c r="B4" s="9">
        <f>COUNTA(Catalog!C3:C1000)-COUNTIF(Catalog!T3:T1000,"~[DISCONTINUED~]*")</f>
        <v>54</v>
      </c>
    </row>
    <row r="5" spans="1:8" ht="18" customHeight="1" x14ac:dyDescent="0.25">
      <c r="A5" s="8" t="s">
        <v>3</v>
      </c>
      <c r="B5" s="10">
        <f>COUNTIF(Catalog!R3:R1000,"S")</f>
        <v>0</v>
      </c>
    </row>
    <row r="6" spans="1:8" ht="18" customHeight="1" x14ac:dyDescent="0.25">
      <c r="A6" s="8" t="s">
        <v>4</v>
      </c>
      <c r="B6" s="11">
        <f>COUNTIF(Catalog!R3:R1000,"A")</f>
        <v>0</v>
      </c>
    </row>
    <row r="7" spans="1:8" ht="18" customHeight="1" x14ac:dyDescent="0.25">
      <c r="A7" s="8" t="s">
        <v>5</v>
      </c>
      <c r="B7" s="12">
        <f>COUNTIF(Catalog!R3:R1000,"B")</f>
        <v>54</v>
      </c>
    </row>
    <row r="8" spans="1:8" ht="18" customHeight="1" x14ac:dyDescent="0.25">
      <c r="A8" s="8" t="s">
        <v>6</v>
      </c>
      <c r="B8" s="13">
        <f>COUNTIF(Catalog!R3:R1000,"C")</f>
        <v>0</v>
      </c>
    </row>
    <row r="9" spans="1:8" ht="18" customHeight="1" x14ac:dyDescent="0.25">
      <c r="A9" s="8" t="s">
        <v>7</v>
      </c>
      <c r="B9" s="14">
        <f>COUNTIF(Catalog!J3:J1000,"Yes")</f>
        <v>0</v>
      </c>
    </row>
    <row r="11" spans="1:8" ht="18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18" customHeight="1" x14ac:dyDescent="0.25">
      <c r="A12" s="15" t="s">
        <v>9</v>
      </c>
      <c r="B12" s="5" t="s">
        <v>10</v>
      </c>
      <c r="C12" s="5"/>
      <c r="D12" s="5"/>
      <c r="E12" s="5"/>
      <c r="F12" s="5"/>
      <c r="G12" s="5"/>
      <c r="H12" s="5"/>
    </row>
    <row r="13" spans="1:8" ht="18" customHeight="1" x14ac:dyDescent="0.25">
      <c r="A13" s="16" t="s">
        <v>11</v>
      </c>
      <c r="B13" s="5" t="s">
        <v>12</v>
      </c>
      <c r="C13" s="5"/>
      <c r="D13" s="5"/>
      <c r="E13" s="5"/>
      <c r="F13" s="5"/>
      <c r="G13" s="5"/>
      <c r="H13" s="5"/>
    </row>
    <row r="14" spans="1:8" ht="18" customHeight="1" x14ac:dyDescent="0.25">
      <c r="A14" s="17" t="s">
        <v>13</v>
      </c>
      <c r="B14" s="5" t="s">
        <v>14</v>
      </c>
      <c r="C14" s="5"/>
      <c r="D14" s="5"/>
      <c r="E14" s="5"/>
      <c r="F14" s="5"/>
      <c r="G14" s="5"/>
      <c r="H14" s="5"/>
    </row>
    <row r="15" spans="1:8" ht="18" customHeight="1" x14ac:dyDescent="0.25">
      <c r="A15" s="18" t="s">
        <v>15</v>
      </c>
      <c r="B15" s="5" t="s">
        <v>16</v>
      </c>
      <c r="C15" s="5"/>
      <c r="D15" s="5"/>
      <c r="E15" s="5"/>
      <c r="F15" s="5"/>
      <c r="G15" s="5"/>
      <c r="H15" s="5"/>
    </row>
    <row r="17" spans="1:8" ht="18" customHeight="1" x14ac:dyDescent="0.25">
      <c r="A17" s="6" t="s">
        <v>17</v>
      </c>
      <c r="B17" s="6"/>
      <c r="C17" s="6"/>
      <c r="D17" s="6"/>
      <c r="E17" s="6"/>
      <c r="F17" s="6"/>
      <c r="G17" s="6"/>
      <c r="H17" s="6"/>
    </row>
    <row r="18" spans="1:8" ht="15" customHeight="1" x14ac:dyDescent="0.25">
      <c r="A18" s="4" t="s">
        <v>18</v>
      </c>
      <c r="B18" s="4"/>
      <c r="C18" s="4"/>
      <c r="D18" s="4"/>
      <c r="E18" s="4"/>
      <c r="F18" s="4"/>
      <c r="G18" s="4"/>
      <c r="H18" s="4"/>
    </row>
    <row r="19" spans="1:8" ht="18" customHeight="1" x14ac:dyDescent="0.25">
      <c r="A19" s="8" t="s">
        <v>19</v>
      </c>
      <c r="B19" s="19" t="str">
        <f>Config!$B$5</f>
        <v>2026-09-19</v>
      </c>
    </row>
    <row r="21" spans="1:8" ht="18" customHeight="1" x14ac:dyDescent="0.25">
      <c r="A21" s="6" t="s">
        <v>20</v>
      </c>
      <c r="B21" s="6"/>
      <c r="C21" s="6"/>
      <c r="D21" s="6"/>
      <c r="E21" s="6"/>
      <c r="F21" s="6"/>
      <c r="G21" s="6"/>
      <c r="H21" s="6"/>
    </row>
    <row r="22" spans="1:8" ht="19.5" customHeight="1" x14ac:dyDescent="0.25">
      <c r="A22" s="3" t="str">
        <f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3"/>
      <c r="C22" s="3"/>
      <c r="D22" s="3"/>
      <c r="E22" s="3"/>
      <c r="F22" s="3"/>
      <c r="G22" s="3"/>
      <c r="H22" s="3"/>
    </row>
    <row r="24" spans="1:8" ht="18" customHeight="1" x14ac:dyDescent="0.25">
      <c r="A24" s="6" t="s">
        <v>21</v>
      </c>
      <c r="B24" s="6"/>
      <c r="C24" s="6"/>
      <c r="D24" s="6"/>
      <c r="E24" s="6"/>
      <c r="F24" s="6"/>
      <c r="G24" s="6"/>
      <c r="H24" s="6"/>
    </row>
    <row r="25" spans="1:8" ht="21.75" customHeight="1" x14ac:dyDescent="0.25">
      <c r="A25" s="20" t="s">
        <v>22</v>
      </c>
      <c r="B25" s="20" t="s">
        <v>23</v>
      </c>
    </row>
    <row r="26" spans="1:8" ht="18" customHeight="1" x14ac:dyDescent="0.25">
      <c r="A26" s="21" t="s">
        <v>24</v>
      </c>
      <c r="B26" s="22">
        <f>COUNTIF(Catalog!A3:A700,"Galaxy PETG+ HS")</f>
        <v>4</v>
      </c>
    </row>
    <row r="27" spans="1:8" ht="18" customHeight="1" x14ac:dyDescent="0.25">
      <c r="A27" s="21" t="s">
        <v>25</v>
      </c>
      <c r="B27" s="22">
        <f>COUNTIF(Catalog!A3:A700,"Galaxy PLA+ HS")</f>
        <v>4</v>
      </c>
    </row>
    <row r="28" spans="1:8" ht="18" customHeight="1" x14ac:dyDescent="0.25">
      <c r="A28" s="21" t="s">
        <v>26</v>
      </c>
      <c r="B28" s="22">
        <f>COUNTIF(Catalog!A3:A700,"PETG+ HS")</f>
        <v>16</v>
      </c>
    </row>
    <row r="29" spans="1:8" ht="18" customHeight="1" x14ac:dyDescent="0.25">
      <c r="A29" s="21" t="s">
        <v>27</v>
      </c>
      <c r="B29" s="22">
        <f>COUNTIF(Catalog!A3:A700,"PLA+ HS")</f>
        <v>30</v>
      </c>
    </row>
  </sheetData>
  <mergeCells count="12">
    <mergeCell ref="A22:H22"/>
    <mergeCell ref="A24:H24"/>
    <mergeCell ref="B14:H14"/>
    <mergeCell ref="B15:H15"/>
    <mergeCell ref="A17:H17"/>
    <mergeCell ref="A18:H18"/>
    <mergeCell ref="A21:H21"/>
    <mergeCell ref="A1:H1"/>
    <mergeCell ref="A3:H3"/>
    <mergeCell ref="A11:H11"/>
    <mergeCell ref="B12:H12"/>
    <mergeCell ref="B13:H13"/>
  </mergeCells>
  <conditionalFormatting sqref="A22:H22">
    <cfRule type="expression" dxfId="22" priority="2">
      <formula>NOT(ISERROR(SEARCH("⚠",A22)))</formula>
    </cfRule>
    <cfRule type="expression" dxfId="21" priority="3">
      <formula>NOT(ISERROR(SEARCH("✓",A22)))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56"/>
  <sheetViews>
    <sheetView zoomScaleNormal="100" workbookViewId="0">
      <pane ySplit="2" topLeftCell="A3" activePane="bottomLeft" state="frozen"/>
      <selection pane="bottomLeft" activeCell="T7" sqref="T7"/>
    </sheetView>
  </sheetViews>
  <sheetFormatPr defaultColWidth="8.7109375" defaultRowHeight="15" outlineLevelCol="1" x14ac:dyDescent="0.25"/>
  <cols>
    <col min="1" max="1" width="18.140625" bestFit="1" customWidth="1"/>
    <col min="2" max="2" width="18.5703125" bestFit="1" customWidth="1"/>
    <col min="3" max="3" width="25.140625" bestFit="1" customWidth="1"/>
    <col min="4" max="4" width="16.285156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16.140625" bestFit="1" customWidth="1"/>
    <col min="12" max="12" width="15.4257812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11.85546875" bestFit="1" customWidth="1" outlineLevel="1"/>
    <col min="17" max="17" width="12.7109375" bestFit="1" customWidth="1" outlineLevel="1"/>
    <col min="18" max="18" width="9.140625" bestFit="1" customWidth="1"/>
    <col min="19" max="19" width="223.42578125" bestFit="1" customWidth="1"/>
    <col min="20" max="20" width="255.5703125" customWidth="1"/>
  </cols>
  <sheetData>
    <row r="1" spans="1:20" ht="30" customHeight="1" x14ac:dyDescent="0.25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3.75" customHeight="1" x14ac:dyDescent="0.25">
      <c r="A2" s="23" t="s">
        <v>22</v>
      </c>
      <c r="B2" s="23" t="s">
        <v>29</v>
      </c>
      <c r="C2" s="23" t="s">
        <v>30</v>
      </c>
      <c r="D2" s="23" t="s">
        <v>31</v>
      </c>
      <c r="E2" s="23" t="s">
        <v>32</v>
      </c>
      <c r="F2" s="23" t="s">
        <v>33</v>
      </c>
      <c r="G2" s="23" t="s">
        <v>34</v>
      </c>
      <c r="H2" s="23" t="s">
        <v>35</v>
      </c>
      <c r="I2" s="23" t="s">
        <v>36</v>
      </c>
      <c r="J2" s="23" t="s">
        <v>37</v>
      </c>
      <c r="K2" s="23" t="s">
        <v>38</v>
      </c>
      <c r="L2" s="23" t="s">
        <v>39</v>
      </c>
      <c r="M2" s="23" t="s">
        <v>40</v>
      </c>
      <c r="N2" s="23" t="s">
        <v>41</v>
      </c>
      <c r="O2" s="23" t="s">
        <v>42</v>
      </c>
      <c r="P2" s="23" t="s">
        <v>43</v>
      </c>
      <c r="Q2" s="23" t="s">
        <v>44</v>
      </c>
      <c r="R2" s="23" t="s">
        <v>45</v>
      </c>
      <c r="S2" s="23" t="s">
        <v>46</v>
      </c>
      <c r="T2" s="23" t="s">
        <v>47</v>
      </c>
    </row>
    <row r="3" spans="1:20" ht="19.5" customHeight="1" x14ac:dyDescent="0.25">
      <c r="A3" s="24" t="s">
        <v>24</v>
      </c>
      <c r="B3" s="24" t="s">
        <v>48</v>
      </c>
      <c r="C3" s="24" t="s">
        <v>49</v>
      </c>
      <c r="D3" s="24" t="s">
        <v>50</v>
      </c>
      <c r="E3" s="25"/>
      <c r="F3" s="26" t="s">
        <v>51</v>
      </c>
      <c r="G3" s="19" t="s">
        <v>52</v>
      </c>
      <c r="H3" s="19" t="s">
        <v>53</v>
      </c>
      <c r="I3" s="19" t="s">
        <v>54</v>
      </c>
      <c r="J3" s="19" t="s">
        <v>55</v>
      </c>
      <c r="K3" s="19" t="s">
        <v>56</v>
      </c>
      <c r="L3" s="19" t="s">
        <v>57</v>
      </c>
      <c r="M3" s="19" t="s">
        <v>58</v>
      </c>
      <c r="N3" s="19" t="s">
        <v>59</v>
      </c>
      <c r="O3" s="19" t="s">
        <v>59</v>
      </c>
      <c r="P3" s="19" t="s">
        <v>59</v>
      </c>
      <c r="Q3" s="19" t="s">
        <v>59</v>
      </c>
      <c r="R3" s="19" t="s">
        <v>60</v>
      </c>
      <c r="S3" s="24" t="s">
        <v>61</v>
      </c>
      <c r="T3" s="24" t="s">
        <v>62</v>
      </c>
    </row>
    <row r="4" spans="1:20" ht="19.5" customHeight="1" x14ac:dyDescent="0.25">
      <c r="A4" s="27" t="s">
        <v>24</v>
      </c>
      <c r="B4" s="27" t="s">
        <v>63</v>
      </c>
      <c r="C4" s="27" t="s">
        <v>49</v>
      </c>
      <c r="D4" s="27" t="s">
        <v>64</v>
      </c>
      <c r="E4" s="28"/>
      <c r="F4" s="29" t="s">
        <v>65</v>
      </c>
      <c r="G4" s="30" t="s">
        <v>52</v>
      </c>
      <c r="H4" s="30" t="s">
        <v>53</v>
      </c>
      <c r="I4" s="30" t="s">
        <v>54</v>
      </c>
      <c r="J4" s="30" t="s">
        <v>55</v>
      </c>
      <c r="K4" s="30" t="s">
        <v>56</v>
      </c>
      <c r="L4" s="30" t="s">
        <v>57</v>
      </c>
      <c r="M4" s="30" t="s">
        <v>58</v>
      </c>
      <c r="N4" s="30" t="s">
        <v>59</v>
      </c>
      <c r="O4" s="30" t="s">
        <v>59</v>
      </c>
      <c r="P4" s="30" t="s">
        <v>59</v>
      </c>
      <c r="Q4" s="30" t="s">
        <v>59</v>
      </c>
      <c r="R4" s="30" t="s">
        <v>60</v>
      </c>
      <c r="S4" s="27" t="s">
        <v>61</v>
      </c>
      <c r="T4" s="27" t="s">
        <v>62</v>
      </c>
    </row>
    <row r="5" spans="1:20" ht="19.5" customHeight="1" x14ac:dyDescent="0.25">
      <c r="A5" s="24" t="s">
        <v>24</v>
      </c>
      <c r="B5" s="24" t="s">
        <v>66</v>
      </c>
      <c r="C5" s="24" t="s">
        <v>49</v>
      </c>
      <c r="D5" s="24" t="s">
        <v>67</v>
      </c>
      <c r="E5" s="31"/>
      <c r="F5" s="32" t="s">
        <v>68</v>
      </c>
      <c r="G5" s="19" t="s">
        <v>52</v>
      </c>
      <c r="H5" s="19" t="s">
        <v>53</v>
      </c>
      <c r="I5" s="19" t="s">
        <v>54</v>
      </c>
      <c r="J5" s="19" t="s">
        <v>55</v>
      </c>
      <c r="K5" s="19" t="s">
        <v>56</v>
      </c>
      <c r="L5" s="19" t="s">
        <v>57</v>
      </c>
      <c r="M5" s="19" t="s">
        <v>58</v>
      </c>
      <c r="N5" s="19" t="s">
        <v>59</v>
      </c>
      <c r="O5" s="19" t="s">
        <v>59</v>
      </c>
      <c r="P5" s="19" t="s">
        <v>59</v>
      </c>
      <c r="Q5" s="19" t="s">
        <v>59</v>
      </c>
      <c r="R5" s="19" t="s">
        <v>60</v>
      </c>
      <c r="S5" s="24" t="s">
        <v>61</v>
      </c>
      <c r="T5" s="24" t="s">
        <v>62</v>
      </c>
    </row>
    <row r="6" spans="1:20" ht="19.5" customHeight="1" x14ac:dyDescent="0.25">
      <c r="A6" s="27" t="s">
        <v>24</v>
      </c>
      <c r="B6" s="27" t="s">
        <v>69</v>
      </c>
      <c r="C6" s="27" t="s">
        <v>49</v>
      </c>
      <c r="D6" s="27" t="s">
        <v>70</v>
      </c>
      <c r="E6" s="33"/>
      <c r="F6" s="34" t="s">
        <v>71</v>
      </c>
      <c r="G6" s="30" t="s">
        <v>52</v>
      </c>
      <c r="H6" s="30" t="s">
        <v>53</v>
      </c>
      <c r="I6" s="30" t="s">
        <v>54</v>
      </c>
      <c r="J6" s="30" t="s">
        <v>55</v>
      </c>
      <c r="K6" s="30" t="s">
        <v>56</v>
      </c>
      <c r="L6" s="30" t="s">
        <v>57</v>
      </c>
      <c r="M6" s="30" t="s">
        <v>58</v>
      </c>
      <c r="N6" s="30" t="s">
        <v>59</v>
      </c>
      <c r="O6" s="30" t="s">
        <v>59</v>
      </c>
      <c r="P6" s="30" t="s">
        <v>59</v>
      </c>
      <c r="Q6" s="30" t="s">
        <v>59</v>
      </c>
      <c r="R6" s="30" t="s">
        <v>60</v>
      </c>
      <c r="S6" s="27" t="s">
        <v>61</v>
      </c>
      <c r="T6" s="27" t="s">
        <v>62</v>
      </c>
    </row>
    <row r="7" spans="1:20" ht="19.5" customHeight="1" x14ac:dyDescent="0.25">
      <c r="A7" s="24" t="s">
        <v>25</v>
      </c>
      <c r="B7" s="24" t="s">
        <v>72</v>
      </c>
      <c r="C7" s="24" t="s">
        <v>73</v>
      </c>
      <c r="D7" s="24" t="s">
        <v>50</v>
      </c>
      <c r="E7" s="35"/>
      <c r="F7" s="36" t="s">
        <v>74</v>
      </c>
      <c r="G7" s="19" t="s">
        <v>52</v>
      </c>
      <c r="H7" s="19" t="s">
        <v>53</v>
      </c>
      <c r="I7" s="19" t="s">
        <v>54</v>
      </c>
      <c r="J7" s="19" t="s">
        <v>55</v>
      </c>
      <c r="K7" s="19" t="s">
        <v>75</v>
      </c>
      <c r="L7" s="19" t="s">
        <v>76</v>
      </c>
      <c r="M7" s="19" t="s">
        <v>77</v>
      </c>
      <c r="N7" s="19" t="s">
        <v>59</v>
      </c>
      <c r="O7" s="19" t="s">
        <v>59</v>
      </c>
      <c r="P7" s="19" t="s">
        <v>59</v>
      </c>
      <c r="Q7" s="19" t="s">
        <v>59</v>
      </c>
      <c r="R7" s="19" t="s">
        <v>60</v>
      </c>
      <c r="S7" s="24" t="s">
        <v>78</v>
      </c>
      <c r="T7" s="24" t="s">
        <v>79</v>
      </c>
    </row>
    <row r="8" spans="1:20" ht="19.5" customHeight="1" x14ac:dyDescent="0.25">
      <c r="A8" s="27" t="s">
        <v>25</v>
      </c>
      <c r="B8" s="27" t="s">
        <v>80</v>
      </c>
      <c r="C8" s="27" t="s">
        <v>73</v>
      </c>
      <c r="D8" s="27" t="s">
        <v>64</v>
      </c>
      <c r="E8" s="35"/>
      <c r="F8" s="36" t="s">
        <v>74</v>
      </c>
      <c r="G8" s="30" t="s">
        <v>52</v>
      </c>
      <c r="H8" s="30" t="s">
        <v>53</v>
      </c>
      <c r="I8" s="30" t="s">
        <v>54</v>
      </c>
      <c r="J8" s="30" t="s">
        <v>55</v>
      </c>
      <c r="K8" s="30" t="s">
        <v>75</v>
      </c>
      <c r="L8" s="30" t="s">
        <v>76</v>
      </c>
      <c r="M8" s="30" t="s">
        <v>77</v>
      </c>
      <c r="N8" s="30" t="s">
        <v>59</v>
      </c>
      <c r="O8" s="30" t="s">
        <v>59</v>
      </c>
      <c r="P8" s="30" t="s">
        <v>59</v>
      </c>
      <c r="Q8" s="30" t="s">
        <v>59</v>
      </c>
      <c r="R8" s="30" t="s">
        <v>60</v>
      </c>
      <c r="S8" s="27" t="s">
        <v>78</v>
      </c>
      <c r="T8" s="27" t="s">
        <v>79</v>
      </c>
    </row>
    <row r="9" spans="1:20" ht="19.5" customHeight="1" x14ac:dyDescent="0.25">
      <c r="A9" s="24" t="s">
        <v>25</v>
      </c>
      <c r="B9" s="24" t="s">
        <v>81</v>
      </c>
      <c r="C9" s="24" t="s">
        <v>73</v>
      </c>
      <c r="D9" s="24" t="s">
        <v>67</v>
      </c>
      <c r="E9" s="35"/>
      <c r="F9" s="36" t="s">
        <v>74</v>
      </c>
      <c r="G9" s="19" t="s">
        <v>52</v>
      </c>
      <c r="H9" s="19" t="s">
        <v>53</v>
      </c>
      <c r="I9" s="19" t="s">
        <v>54</v>
      </c>
      <c r="J9" s="19" t="s">
        <v>55</v>
      </c>
      <c r="K9" s="19" t="s">
        <v>75</v>
      </c>
      <c r="L9" s="19" t="s">
        <v>76</v>
      </c>
      <c r="M9" s="19" t="s">
        <v>77</v>
      </c>
      <c r="N9" s="19" t="s">
        <v>59</v>
      </c>
      <c r="O9" s="19" t="s">
        <v>59</v>
      </c>
      <c r="P9" s="19" t="s">
        <v>59</v>
      </c>
      <c r="Q9" s="19" t="s">
        <v>59</v>
      </c>
      <c r="R9" s="19" t="s">
        <v>60</v>
      </c>
      <c r="S9" s="24" t="s">
        <v>78</v>
      </c>
      <c r="T9" s="24" t="s">
        <v>79</v>
      </c>
    </row>
    <row r="10" spans="1:20" ht="19.5" customHeight="1" x14ac:dyDescent="0.25">
      <c r="A10" s="27" t="s">
        <v>25</v>
      </c>
      <c r="B10" s="27" t="s">
        <v>82</v>
      </c>
      <c r="C10" s="27" t="s">
        <v>73</v>
      </c>
      <c r="D10" s="27" t="s">
        <v>70</v>
      </c>
      <c r="E10" s="35"/>
      <c r="F10" s="36" t="s">
        <v>74</v>
      </c>
      <c r="G10" s="30" t="s">
        <v>52</v>
      </c>
      <c r="H10" s="30" t="s">
        <v>53</v>
      </c>
      <c r="I10" s="30" t="s">
        <v>54</v>
      </c>
      <c r="J10" s="30" t="s">
        <v>55</v>
      </c>
      <c r="K10" s="30" t="s">
        <v>75</v>
      </c>
      <c r="L10" s="30" t="s">
        <v>76</v>
      </c>
      <c r="M10" s="30" t="s">
        <v>77</v>
      </c>
      <c r="N10" s="30" t="s">
        <v>59</v>
      </c>
      <c r="O10" s="30" t="s">
        <v>59</v>
      </c>
      <c r="P10" s="30" t="s">
        <v>59</v>
      </c>
      <c r="Q10" s="30" t="s">
        <v>59</v>
      </c>
      <c r="R10" s="30" t="s">
        <v>60</v>
      </c>
      <c r="S10" s="27" t="s">
        <v>78</v>
      </c>
      <c r="T10" s="27" t="s">
        <v>79</v>
      </c>
    </row>
    <row r="11" spans="1:20" ht="19.5" customHeight="1" x14ac:dyDescent="0.25">
      <c r="A11" s="24" t="s">
        <v>26</v>
      </c>
      <c r="B11" s="24" t="s">
        <v>83</v>
      </c>
      <c r="C11" s="24" t="s">
        <v>84</v>
      </c>
      <c r="D11" s="24" t="s">
        <v>85</v>
      </c>
      <c r="E11" s="37"/>
      <c r="F11" s="38" t="s">
        <v>86</v>
      </c>
      <c r="G11" s="19" t="s">
        <v>52</v>
      </c>
      <c r="H11" s="19" t="s">
        <v>53</v>
      </c>
      <c r="I11" s="19" t="s">
        <v>54</v>
      </c>
      <c r="J11" s="19" t="s">
        <v>55</v>
      </c>
      <c r="K11" s="19" t="s">
        <v>56</v>
      </c>
      <c r="L11" s="19" t="s">
        <v>57</v>
      </c>
      <c r="M11" s="19" t="s">
        <v>58</v>
      </c>
      <c r="N11" s="19" t="s">
        <v>59</v>
      </c>
      <c r="O11" s="19" t="s">
        <v>59</v>
      </c>
      <c r="P11" s="19" t="s">
        <v>59</v>
      </c>
      <c r="Q11" s="19" t="s">
        <v>59</v>
      </c>
      <c r="R11" s="19" t="s">
        <v>60</v>
      </c>
      <c r="S11" s="24" t="s">
        <v>87</v>
      </c>
      <c r="T11" s="24" t="s">
        <v>88</v>
      </c>
    </row>
    <row r="12" spans="1:20" ht="19.5" customHeight="1" x14ac:dyDescent="0.25">
      <c r="A12" s="27" t="s">
        <v>26</v>
      </c>
      <c r="B12" s="27" t="s">
        <v>89</v>
      </c>
      <c r="C12" s="27" t="s">
        <v>84</v>
      </c>
      <c r="D12" s="27" t="s">
        <v>90</v>
      </c>
      <c r="E12" s="39"/>
      <c r="F12" s="40" t="s">
        <v>91</v>
      </c>
      <c r="G12" s="30" t="s">
        <v>52</v>
      </c>
      <c r="H12" s="30" t="s">
        <v>53</v>
      </c>
      <c r="I12" s="30" t="s">
        <v>54</v>
      </c>
      <c r="J12" s="30" t="s">
        <v>55</v>
      </c>
      <c r="K12" s="30" t="s">
        <v>56</v>
      </c>
      <c r="L12" s="30" t="s">
        <v>57</v>
      </c>
      <c r="M12" s="30" t="s">
        <v>58</v>
      </c>
      <c r="N12" s="30" t="s">
        <v>59</v>
      </c>
      <c r="O12" s="30" t="s">
        <v>59</v>
      </c>
      <c r="P12" s="30" t="s">
        <v>59</v>
      </c>
      <c r="Q12" s="30" t="s">
        <v>59</v>
      </c>
      <c r="R12" s="30" t="s">
        <v>60</v>
      </c>
      <c r="S12" s="27" t="s">
        <v>87</v>
      </c>
      <c r="T12" s="27" t="s">
        <v>88</v>
      </c>
    </row>
    <row r="13" spans="1:20" ht="19.5" customHeight="1" x14ac:dyDescent="0.25">
      <c r="A13" s="24" t="s">
        <v>26</v>
      </c>
      <c r="B13" s="24" t="s">
        <v>92</v>
      </c>
      <c r="C13" s="24" t="s">
        <v>84</v>
      </c>
      <c r="D13" s="24" t="s">
        <v>93</v>
      </c>
      <c r="E13" s="41"/>
      <c r="F13" s="42" t="s">
        <v>94</v>
      </c>
      <c r="G13" s="19" t="s">
        <v>52</v>
      </c>
      <c r="H13" s="19" t="s">
        <v>53</v>
      </c>
      <c r="I13" s="19" t="s">
        <v>54</v>
      </c>
      <c r="J13" s="19" t="s">
        <v>55</v>
      </c>
      <c r="K13" s="19" t="s">
        <v>56</v>
      </c>
      <c r="L13" s="19" t="s">
        <v>57</v>
      </c>
      <c r="M13" s="19" t="s">
        <v>58</v>
      </c>
      <c r="N13" s="19" t="s">
        <v>59</v>
      </c>
      <c r="O13" s="19" t="s">
        <v>59</v>
      </c>
      <c r="P13" s="19" t="s">
        <v>59</v>
      </c>
      <c r="Q13" s="19" t="s">
        <v>59</v>
      </c>
      <c r="R13" s="19" t="s">
        <v>60</v>
      </c>
      <c r="S13" s="24" t="s">
        <v>87</v>
      </c>
      <c r="T13" s="24" t="s">
        <v>95</v>
      </c>
    </row>
    <row r="14" spans="1:20" ht="19.5" customHeight="1" x14ac:dyDescent="0.25">
      <c r="A14" s="27" t="s">
        <v>26</v>
      </c>
      <c r="B14" s="27" t="s">
        <v>96</v>
      </c>
      <c r="C14" s="27" t="s">
        <v>84</v>
      </c>
      <c r="D14" s="27" t="s">
        <v>97</v>
      </c>
      <c r="E14" s="35"/>
      <c r="F14" s="36" t="s">
        <v>74</v>
      </c>
      <c r="G14" s="30" t="s">
        <v>52</v>
      </c>
      <c r="H14" s="30" t="s">
        <v>53</v>
      </c>
      <c r="I14" s="30" t="s">
        <v>54</v>
      </c>
      <c r="J14" s="30" t="s">
        <v>55</v>
      </c>
      <c r="K14" s="30" t="s">
        <v>56</v>
      </c>
      <c r="L14" s="30" t="s">
        <v>57</v>
      </c>
      <c r="M14" s="30" t="s">
        <v>58</v>
      </c>
      <c r="N14" s="30" t="s">
        <v>59</v>
      </c>
      <c r="O14" s="30" t="s">
        <v>59</v>
      </c>
      <c r="P14" s="30" t="s">
        <v>59</v>
      </c>
      <c r="Q14" s="30" t="s">
        <v>59</v>
      </c>
      <c r="R14" s="30" t="s">
        <v>60</v>
      </c>
      <c r="S14" s="27" t="s">
        <v>87</v>
      </c>
      <c r="T14" s="27" t="s">
        <v>98</v>
      </c>
    </row>
    <row r="15" spans="1:20" ht="19.5" customHeight="1" x14ac:dyDescent="0.25">
      <c r="A15" s="24" t="s">
        <v>26</v>
      </c>
      <c r="B15" s="24" t="s">
        <v>99</v>
      </c>
      <c r="C15" s="24" t="s">
        <v>84</v>
      </c>
      <c r="D15" s="24" t="s">
        <v>100</v>
      </c>
      <c r="E15" s="43"/>
      <c r="F15" s="32" t="s">
        <v>101</v>
      </c>
      <c r="G15" s="19" t="s">
        <v>52</v>
      </c>
      <c r="H15" s="19" t="s">
        <v>53</v>
      </c>
      <c r="I15" s="19" t="s">
        <v>54</v>
      </c>
      <c r="J15" s="19" t="s">
        <v>55</v>
      </c>
      <c r="K15" s="19" t="s">
        <v>56</v>
      </c>
      <c r="L15" s="19" t="s">
        <v>57</v>
      </c>
      <c r="M15" s="19" t="s">
        <v>58</v>
      </c>
      <c r="N15" s="19" t="s">
        <v>59</v>
      </c>
      <c r="O15" s="19" t="s">
        <v>59</v>
      </c>
      <c r="P15" s="19" t="s">
        <v>59</v>
      </c>
      <c r="Q15" s="19" t="s">
        <v>59</v>
      </c>
      <c r="R15" s="19" t="s">
        <v>60</v>
      </c>
      <c r="S15" s="24" t="s">
        <v>87</v>
      </c>
      <c r="T15" s="24" t="s">
        <v>88</v>
      </c>
    </row>
    <row r="16" spans="1:20" ht="19.5" customHeight="1" x14ac:dyDescent="0.25">
      <c r="A16" s="27" t="s">
        <v>26</v>
      </c>
      <c r="B16" s="27" t="s">
        <v>102</v>
      </c>
      <c r="C16" s="27" t="s">
        <v>84</v>
      </c>
      <c r="D16" s="27" t="s">
        <v>103</v>
      </c>
      <c r="E16" s="44"/>
      <c r="F16" s="45" t="s">
        <v>104</v>
      </c>
      <c r="G16" s="30" t="s">
        <v>52</v>
      </c>
      <c r="H16" s="30" t="s">
        <v>53</v>
      </c>
      <c r="I16" s="30" t="s">
        <v>54</v>
      </c>
      <c r="J16" s="30" t="s">
        <v>55</v>
      </c>
      <c r="K16" s="30" t="s">
        <v>56</v>
      </c>
      <c r="L16" s="30" t="s">
        <v>57</v>
      </c>
      <c r="M16" s="30" t="s">
        <v>58</v>
      </c>
      <c r="N16" s="30" t="s">
        <v>59</v>
      </c>
      <c r="O16" s="30" t="s">
        <v>59</v>
      </c>
      <c r="P16" s="30" t="s">
        <v>59</v>
      </c>
      <c r="Q16" s="30" t="s">
        <v>59</v>
      </c>
      <c r="R16" s="30" t="s">
        <v>60</v>
      </c>
      <c r="S16" s="27" t="s">
        <v>87</v>
      </c>
      <c r="T16" s="27" t="s">
        <v>88</v>
      </c>
    </row>
    <row r="17" spans="1:20" ht="19.5" customHeight="1" x14ac:dyDescent="0.25">
      <c r="A17" s="24" t="s">
        <v>26</v>
      </c>
      <c r="B17" s="24" t="s">
        <v>105</v>
      </c>
      <c r="C17" s="24" t="s">
        <v>84</v>
      </c>
      <c r="D17" s="24" t="s">
        <v>106</v>
      </c>
      <c r="E17" s="46"/>
      <c r="F17" s="29" t="s">
        <v>107</v>
      </c>
      <c r="G17" s="19" t="s">
        <v>52</v>
      </c>
      <c r="H17" s="19" t="s">
        <v>53</v>
      </c>
      <c r="I17" s="19" t="s">
        <v>54</v>
      </c>
      <c r="J17" s="19" t="s">
        <v>55</v>
      </c>
      <c r="K17" s="19" t="s">
        <v>56</v>
      </c>
      <c r="L17" s="19" t="s">
        <v>57</v>
      </c>
      <c r="M17" s="19" t="s">
        <v>58</v>
      </c>
      <c r="N17" s="19" t="s">
        <v>59</v>
      </c>
      <c r="O17" s="19" t="s">
        <v>59</v>
      </c>
      <c r="P17" s="19" t="s">
        <v>59</v>
      </c>
      <c r="Q17" s="19" t="s">
        <v>59</v>
      </c>
      <c r="R17" s="19" t="s">
        <v>60</v>
      </c>
      <c r="S17" s="24" t="s">
        <v>87</v>
      </c>
      <c r="T17" s="24" t="s">
        <v>88</v>
      </c>
    </row>
    <row r="18" spans="1:20" ht="19.5" customHeight="1" x14ac:dyDescent="0.25">
      <c r="A18" s="27" t="s">
        <v>26</v>
      </c>
      <c r="B18" s="27" t="s">
        <v>108</v>
      </c>
      <c r="C18" s="27" t="s">
        <v>84</v>
      </c>
      <c r="D18" s="27" t="s">
        <v>109</v>
      </c>
      <c r="E18" s="47"/>
      <c r="F18" s="48" t="s">
        <v>110</v>
      </c>
      <c r="G18" s="30" t="s">
        <v>52</v>
      </c>
      <c r="H18" s="30" t="s">
        <v>53</v>
      </c>
      <c r="I18" s="30" t="s">
        <v>54</v>
      </c>
      <c r="J18" s="30" t="s">
        <v>55</v>
      </c>
      <c r="K18" s="30" t="s">
        <v>56</v>
      </c>
      <c r="L18" s="30" t="s">
        <v>57</v>
      </c>
      <c r="M18" s="30" t="s">
        <v>58</v>
      </c>
      <c r="N18" s="30" t="s">
        <v>59</v>
      </c>
      <c r="O18" s="30" t="s">
        <v>59</v>
      </c>
      <c r="P18" s="30" t="s">
        <v>59</v>
      </c>
      <c r="Q18" s="30" t="s">
        <v>59</v>
      </c>
      <c r="R18" s="30" t="s">
        <v>60</v>
      </c>
      <c r="S18" s="27" t="s">
        <v>87</v>
      </c>
      <c r="T18" s="27" t="s">
        <v>88</v>
      </c>
    </row>
    <row r="19" spans="1:20" ht="19.5" customHeight="1" x14ac:dyDescent="0.25">
      <c r="A19" s="24" t="s">
        <v>26</v>
      </c>
      <c r="B19" s="24" t="s">
        <v>111</v>
      </c>
      <c r="C19" s="24" t="s">
        <v>84</v>
      </c>
      <c r="D19" s="24" t="s">
        <v>112</v>
      </c>
      <c r="E19" s="35"/>
      <c r="F19" s="36" t="s">
        <v>74</v>
      </c>
      <c r="G19" s="19" t="s">
        <v>52</v>
      </c>
      <c r="H19" s="19" t="s">
        <v>53</v>
      </c>
      <c r="I19" s="19" t="s">
        <v>54</v>
      </c>
      <c r="J19" s="19" t="s">
        <v>55</v>
      </c>
      <c r="K19" s="19" t="s">
        <v>56</v>
      </c>
      <c r="L19" s="19" t="s">
        <v>57</v>
      </c>
      <c r="M19" s="19" t="s">
        <v>58</v>
      </c>
      <c r="N19" s="19" t="s">
        <v>59</v>
      </c>
      <c r="O19" s="19" t="s">
        <v>59</v>
      </c>
      <c r="P19" s="19" t="s">
        <v>59</v>
      </c>
      <c r="Q19" s="19" t="s">
        <v>59</v>
      </c>
      <c r="R19" s="19" t="s">
        <v>60</v>
      </c>
      <c r="S19" s="24" t="s">
        <v>87</v>
      </c>
      <c r="T19" s="24" t="s">
        <v>98</v>
      </c>
    </row>
    <row r="20" spans="1:20" ht="19.5" customHeight="1" x14ac:dyDescent="0.25">
      <c r="A20" s="27" t="s">
        <v>26</v>
      </c>
      <c r="B20" s="27" t="s">
        <v>113</v>
      </c>
      <c r="C20" s="27" t="s">
        <v>84</v>
      </c>
      <c r="D20" s="27" t="s">
        <v>114</v>
      </c>
      <c r="E20" s="35"/>
      <c r="F20" s="36" t="s">
        <v>74</v>
      </c>
      <c r="G20" s="30" t="s">
        <v>52</v>
      </c>
      <c r="H20" s="30" t="s">
        <v>53</v>
      </c>
      <c r="I20" s="30" t="s">
        <v>54</v>
      </c>
      <c r="J20" s="30" t="s">
        <v>55</v>
      </c>
      <c r="K20" s="30" t="s">
        <v>56</v>
      </c>
      <c r="L20" s="30" t="s">
        <v>57</v>
      </c>
      <c r="M20" s="30" t="s">
        <v>58</v>
      </c>
      <c r="N20" s="30" t="s">
        <v>59</v>
      </c>
      <c r="O20" s="30" t="s">
        <v>59</v>
      </c>
      <c r="P20" s="30" t="s">
        <v>59</v>
      </c>
      <c r="Q20" s="30" t="s">
        <v>59</v>
      </c>
      <c r="R20" s="30" t="s">
        <v>60</v>
      </c>
      <c r="S20" s="27" t="s">
        <v>87</v>
      </c>
      <c r="T20" s="27" t="s">
        <v>98</v>
      </c>
    </row>
    <row r="21" spans="1:20" ht="19.5" customHeight="1" x14ac:dyDescent="0.25">
      <c r="A21" s="24" t="s">
        <v>26</v>
      </c>
      <c r="B21" s="24" t="s">
        <v>115</v>
      </c>
      <c r="C21" s="24" t="s">
        <v>84</v>
      </c>
      <c r="D21" s="24" t="s">
        <v>116</v>
      </c>
      <c r="E21" s="35"/>
      <c r="F21" s="36" t="s">
        <v>74</v>
      </c>
      <c r="G21" s="19" t="s">
        <v>52</v>
      </c>
      <c r="H21" s="19" t="s">
        <v>53</v>
      </c>
      <c r="I21" s="19" t="s">
        <v>54</v>
      </c>
      <c r="J21" s="19" t="s">
        <v>55</v>
      </c>
      <c r="K21" s="19" t="s">
        <v>56</v>
      </c>
      <c r="L21" s="19" t="s">
        <v>57</v>
      </c>
      <c r="M21" s="19" t="s">
        <v>58</v>
      </c>
      <c r="N21" s="19" t="s">
        <v>59</v>
      </c>
      <c r="O21" s="19" t="s">
        <v>59</v>
      </c>
      <c r="P21" s="19" t="s">
        <v>59</v>
      </c>
      <c r="Q21" s="19" t="s">
        <v>59</v>
      </c>
      <c r="R21" s="19" t="s">
        <v>60</v>
      </c>
      <c r="S21" s="24" t="s">
        <v>87</v>
      </c>
      <c r="T21" s="24" t="s">
        <v>98</v>
      </c>
    </row>
    <row r="22" spans="1:20" ht="19.5" customHeight="1" x14ac:dyDescent="0.25">
      <c r="A22" s="27" t="s">
        <v>26</v>
      </c>
      <c r="B22" s="27" t="s">
        <v>117</v>
      </c>
      <c r="C22" s="27" t="s">
        <v>84</v>
      </c>
      <c r="D22" s="27" t="s">
        <v>118</v>
      </c>
      <c r="E22" s="49"/>
      <c r="F22" s="50" t="s">
        <v>119</v>
      </c>
      <c r="G22" s="30" t="s">
        <v>52</v>
      </c>
      <c r="H22" s="30" t="s">
        <v>53</v>
      </c>
      <c r="I22" s="30" t="s">
        <v>54</v>
      </c>
      <c r="J22" s="30" t="s">
        <v>55</v>
      </c>
      <c r="K22" s="30" t="s">
        <v>56</v>
      </c>
      <c r="L22" s="30" t="s">
        <v>57</v>
      </c>
      <c r="M22" s="30" t="s">
        <v>58</v>
      </c>
      <c r="N22" s="30" t="s">
        <v>59</v>
      </c>
      <c r="O22" s="30" t="s">
        <v>59</v>
      </c>
      <c r="P22" s="30" t="s">
        <v>59</v>
      </c>
      <c r="Q22" s="30" t="s">
        <v>59</v>
      </c>
      <c r="R22" s="30" t="s">
        <v>60</v>
      </c>
      <c r="S22" s="27" t="s">
        <v>87</v>
      </c>
      <c r="T22" s="27" t="s">
        <v>88</v>
      </c>
    </row>
    <row r="23" spans="1:20" ht="19.5" customHeight="1" x14ac:dyDescent="0.25">
      <c r="A23" s="24" t="s">
        <v>26</v>
      </c>
      <c r="B23" s="24" t="s">
        <v>120</v>
      </c>
      <c r="C23" s="24" t="s">
        <v>84</v>
      </c>
      <c r="D23" s="24" t="s">
        <v>121</v>
      </c>
      <c r="E23" s="51"/>
      <c r="F23" s="52" t="s">
        <v>122</v>
      </c>
      <c r="G23" s="19" t="s">
        <v>52</v>
      </c>
      <c r="H23" s="19" t="s">
        <v>53</v>
      </c>
      <c r="I23" s="19" t="s">
        <v>54</v>
      </c>
      <c r="J23" s="19" t="s">
        <v>55</v>
      </c>
      <c r="K23" s="19" t="s">
        <v>56</v>
      </c>
      <c r="L23" s="19" t="s">
        <v>57</v>
      </c>
      <c r="M23" s="19" t="s">
        <v>58</v>
      </c>
      <c r="N23" s="19" t="s">
        <v>59</v>
      </c>
      <c r="O23" s="19" t="s">
        <v>59</v>
      </c>
      <c r="P23" s="19" t="s">
        <v>59</v>
      </c>
      <c r="Q23" s="19" t="s">
        <v>59</v>
      </c>
      <c r="R23" s="19" t="s">
        <v>60</v>
      </c>
      <c r="S23" s="24" t="s">
        <v>87</v>
      </c>
      <c r="T23" s="24" t="s">
        <v>88</v>
      </c>
    </row>
    <row r="24" spans="1:20" ht="19.5" customHeight="1" x14ac:dyDescent="0.25">
      <c r="A24" s="27" t="s">
        <v>26</v>
      </c>
      <c r="B24" s="27" t="s">
        <v>123</v>
      </c>
      <c r="C24" s="27" t="s">
        <v>84</v>
      </c>
      <c r="D24" s="27" t="s">
        <v>124</v>
      </c>
      <c r="E24" s="53"/>
      <c r="F24" s="54" t="s">
        <v>125</v>
      </c>
      <c r="G24" s="30" t="s">
        <v>52</v>
      </c>
      <c r="H24" s="30" t="s">
        <v>53</v>
      </c>
      <c r="I24" s="30" t="s">
        <v>54</v>
      </c>
      <c r="J24" s="30" t="s">
        <v>55</v>
      </c>
      <c r="K24" s="30" t="s">
        <v>56</v>
      </c>
      <c r="L24" s="30" t="s">
        <v>57</v>
      </c>
      <c r="M24" s="30" t="s">
        <v>58</v>
      </c>
      <c r="N24" s="30" t="s">
        <v>59</v>
      </c>
      <c r="O24" s="30" t="s">
        <v>59</v>
      </c>
      <c r="P24" s="30" t="s">
        <v>59</v>
      </c>
      <c r="Q24" s="30" t="s">
        <v>59</v>
      </c>
      <c r="R24" s="30" t="s">
        <v>60</v>
      </c>
      <c r="S24" s="27" t="s">
        <v>87</v>
      </c>
      <c r="T24" s="27" t="s">
        <v>88</v>
      </c>
    </row>
    <row r="25" spans="1:20" ht="19.5" customHeight="1" x14ac:dyDescent="0.25">
      <c r="A25" s="24" t="s">
        <v>26</v>
      </c>
      <c r="B25" s="24" t="s">
        <v>126</v>
      </c>
      <c r="C25" s="24" t="s">
        <v>84</v>
      </c>
      <c r="D25" s="24" t="s">
        <v>127</v>
      </c>
      <c r="E25" s="55"/>
      <c r="F25" s="56" t="s">
        <v>128</v>
      </c>
      <c r="G25" s="19" t="s">
        <v>52</v>
      </c>
      <c r="H25" s="19" t="s">
        <v>53</v>
      </c>
      <c r="I25" s="19" t="s">
        <v>54</v>
      </c>
      <c r="J25" s="19" t="s">
        <v>55</v>
      </c>
      <c r="K25" s="19" t="s">
        <v>56</v>
      </c>
      <c r="L25" s="19" t="s">
        <v>57</v>
      </c>
      <c r="M25" s="19" t="s">
        <v>58</v>
      </c>
      <c r="N25" s="19" t="s">
        <v>59</v>
      </c>
      <c r="O25" s="19" t="s">
        <v>59</v>
      </c>
      <c r="P25" s="19" t="s">
        <v>59</v>
      </c>
      <c r="Q25" s="19" t="s">
        <v>59</v>
      </c>
      <c r="R25" s="19" t="s">
        <v>60</v>
      </c>
      <c r="S25" s="24" t="s">
        <v>87</v>
      </c>
      <c r="T25" s="24" t="s">
        <v>88</v>
      </c>
    </row>
    <row r="26" spans="1:20" ht="19.5" customHeight="1" x14ac:dyDescent="0.25">
      <c r="A26" s="27" t="s">
        <v>26</v>
      </c>
      <c r="B26" s="27" t="s">
        <v>129</v>
      </c>
      <c r="C26" s="27" t="s">
        <v>84</v>
      </c>
      <c r="D26" s="27" t="s">
        <v>130</v>
      </c>
      <c r="E26" s="57"/>
      <c r="F26" s="58" t="s">
        <v>131</v>
      </c>
      <c r="G26" s="30" t="s">
        <v>52</v>
      </c>
      <c r="H26" s="30" t="s">
        <v>53</v>
      </c>
      <c r="I26" s="30" t="s">
        <v>54</v>
      </c>
      <c r="J26" s="30" t="s">
        <v>55</v>
      </c>
      <c r="K26" s="30" t="s">
        <v>56</v>
      </c>
      <c r="L26" s="30" t="s">
        <v>57</v>
      </c>
      <c r="M26" s="30" t="s">
        <v>58</v>
      </c>
      <c r="N26" s="30" t="s">
        <v>59</v>
      </c>
      <c r="O26" s="30" t="s">
        <v>59</v>
      </c>
      <c r="P26" s="30" t="s">
        <v>59</v>
      </c>
      <c r="Q26" s="30" t="s">
        <v>59</v>
      </c>
      <c r="R26" s="30" t="s">
        <v>60</v>
      </c>
      <c r="S26" s="27" t="s">
        <v>87</v>
      </c>
      <c r="T26" s="27" t="s">
        <v>88</v>
      </c>
    </row>
    <row r="27" spans="1:20" ht="19.5" customHeight="1" x14ac:dyDescent="0.25">
      <c r="A27" s="24" t="s">
        <v>27</v>
      </c>
      <c r="B27" s="24" t="s">
        <v>132</v>
      </c>
      <c r="C27" s="24" t="s">
        <v>133</v>
      </c>
      <c r="D27" s="24" t="s">
        <v>134</v>
      </c>
      <c r="E27" s="59"/>
      <c r="F27" s="60" t="s">
        <v>135</v>
      </c>
      <c r="G27" s="19" t="s">
        <v>52</v>
      </c>
      <c r="H27" s="19" t="s">
        <v>53</v>
      </c>
      <c r="I27" s="19" t="s">
        <v>54</v>
      </c>
      <c r="J27" s="19" t="s">
        <v>55</v>
      </c>
      <c r="K27" s="19" t="s">
        <v>75</v>
      </c>
      <c r="L27" s="19" t="s">
        <v>76</v>
      </c>
      <c r="M27" s="19" t="s">
        <v>77</v>
      </c>
      <c r="N27" s="19" t="s">
        <v>59</v>
      </c>
      <c r="O27" s="19" t="s">
        <v>59</v>
      </c>
      <c r="P27" s="19" t="s">
        <v>59</v>
      </c>
      <c r="Q27" s="19" t="s">
        <v>59</v>
      </c>
      <c r="R27" s="19" t="s">
        <v>60</v>
      </c>
      <c r="S27" s="24" t="s">
        <v>136</v>
      </c>
      <c r="T27" s="24" t="s">
        <v>137</v>
      </c>
    </row>
    <row r="28" spans="1:20" ht="19.5" customHeight="1" x14ac:dyDescent="0.25">
      <c r="A28" s="27" t="s">
        <v>27</v>
      </c>
      <c r="B28" s="27" t="s">
        <v>138</v>
      </c>
      <c r="C28" s="27" t="s">
        <v>133</v>
      </c>
      <c r="D28" s="27" t="s">
        <v>139</v>
      </c>
      <c r="E28" s="61"/>
      <c r="F28" s="62" t="s">
        <v>140</v>
      </c>
      <c r="G28" s="30" t="s">
        <v>52</v>
      </c>
      <c r="H28" s="30" t="s">
        <v>53</v>
      </c>
      <c r="I28" s="30" t="s">
        <v>54</v>
      </c>
      <c r="J28" s="30" t="s">
        <v>55</v>
      </c>
      <c r="K28" s="30" t="s">
        <v>75</v>
      </c>
      <c r="L28" s="30" t="s">
        <v>76</v>
      </c>
      <c r="M28" s="30" t="s">
        <v>77</v>
      </c>
      <c r="N28" s="30" t="s">
        <v>59</v>
      </c>
      <c r="O28" s="30" t="s">
        <v>59</v>
      </c>
      <c r="P28" s="30" t="s">
        <v>59</v>
      </c>
      <c r="Q28" s="30" t="s">
        <v>59</v>
      </c>
      <c r="R28" s="30" t="s">
        <v>60</v>
      </c>
      <c r="S28" s="27" t="s">
        <v>136</v>
      </c>
      <c r="T28" s="27" t="s">
        <v>141</v>
      </c>
    </row>
    <row r="29" spans="1:20" ht="19.5" customHeight="1" x14ac:dyDescent="0.25">
      <c r="A29" s="24" t="s">
        <v>27</v>
      </c>
      <c r="B29" s="24" t="s">
        <v>142</v>
      </c>
      <c r="C29" s="24" t="s">
        <v>133</v>
      </c>
      <c r="D29" s="24" t="s">
        <v>143</v>
      </c>
      <c r="E29" s="63"/>
      <c r="F29" s="64" t="s">
        <v>144</v>
      </c>
      <c r="G29" s="19" t="s">
        <v>52</v>
      </c>
      <c r="H29" s="19" t="s">
        <v>53</v>
      </c>
      <c r="I29" s="19" t="s">
        <v>54</v>
      </c>
      <c r="J29" s="19" t="s">
        <v>55</v>
      </c>
      <c r="K29" s="19" t="s">
        <v>75</v>
      </c>
      <c r="L29" s="19" t="s">
        <v>76</v>
      </c>
      <c r="M29" s="19" t="s">
        <v>77</v>
      </c>
      <c r="N29" s="19" t="s">
        <v>59</v>
      </c>
      <c r="O29" s="19" t="s">
        <v>59</v>
      </c>
      <c r="P29" s="19" t="s">
        <v>59</v>
      </c>
      <c r="Q29" s="19" t="s">
        <v>59</v>
      </c>
      <c r="R29" s="19" t="s">
        <v>60</v>
      </c>
      <c r="S29" s="24" t="s">
        <v>136</v>
      </c>
      <c r="T29" s="24" t="s">
        <v>141</v>
      </c>
    </row>
    <row r="30" spans="1:20" ht="19.5" customHeight="1" x14ac:dyDescent="0.25">
      <c r="A30" s="27" t="s">
        <v>27</v>
      </c>
      <c r="B30" s="27" t="s">
        <v>145</v>
      </c>
      <c r="C30" s="27" t="s">
        <v>133</v>
      </c>
      <c r="D30" s="27" t="s">
        <v>146</v>
      </c>
      <c r="E30" s="55"/>
      <c r="F30" s="56" t="s">
        <v>128</v>
      </c>
      <c r="G30" s="30" t="s">
        <v>52</v>
      </c>
      <c r="H30" s="30" t="s">
        <v>53</v>
      </c>
      <c r="I30" s="30" t="s">
        <v>54</v>
      </c>
      <c r="J30" s="30" t="s">
        <v>55</v>
      </c>
      <c r="K30" s="30" t="s">
        <v>75</v>
      </c>
      <c r="L30" s="30" t="s">
        <v>76</v>
      </c>
      <c r="M30" s="30" t="s">
        <v>77</v>
      </c>
      <c r="N30" s="30" t="s">
        <v>59</v>
      </c>
      <c r="O30" s="30" t="s">
        <v>59</v>
      </c>
      <c r="P30" s="30" t="s">
        <v>59</v>
      </c>
      <c r="Q30" s="30" t="s">
        <v>59</v>
      </c>
      <c r="R30" s="30" t="s">
        <v>60</v>
      </c>
      <c r="S30" s="27" t="s">
        <v>136</v>
      </c>
      <c r="T30" s="27" t="s">
        <v>141</v>
      </c>
    </row>
    <row r="31" spans="1:20" ht="19.5" customHeight="1" x14ac:dyDescent="0.25">
      <c r="A31" s="24" t="s">
        <v>27</v>
      </c>
      <c r="B31" s="24" t="s">
        <v>147</v>
      </c>
      <c r="C31" s="24" t="s">
        <v>133</v>
      </c>
      <c r="D31" s="24" t="s">
        <v>97</v>
      </c>
      <c r="E31" s="65"/>
      <c r="F31" s="66" t="s">
        <v>148</v>
      </c>
      <c r="G31" s="19" t="s">
        <v>52</v>
      </c>
      <c r="H31" s="19" t="s">
        <v>53</v>
      </c>
      <c r="I31" s="19" t="s">
        <v>54</v>
      </c>
      <c r="J31" s="19" t="s">
        <v>55</v>
      </c>
      <c r="K31" s="19" t="s">
        <v>75</v>
      </c>
      <c r="L31" s="19" t="s">
        <v>76</v>
      </c>
      <c r="M31" s="19" t="s">
        <v>77</v>
      </c>
      <c r="N31" s="19" t="s">
        <v>59</v>
      </c>
      <c r="O31" s="19" t="s">
        <v>59</v>
      </c>
      <c r="P31" s="19" t="s">
        <v>59</v>
      </c>
      <c r="Q31" s="19" t="s">
        <v>59</v>
      </c>
      <c r="R31" s="19" t="s">
        <v>60</v>
      </c>
      <c r="S31" s="24" t="s">
        <v>136</v>
      </c>
      <c r="T31" s="24" t="s">
        <v>141</v>
      </c>
    </row>
    <row r="32" spans="1:20" ht="19.5" customHeight="1" x14ac:dyDescent="0.25">
      <c r="A32" s="27" t="s">
        <v>27</v>
      </c>
      <c r="B32" s="27" t="s">
        <v>149</v>
      </c>
      <c r="C32" s="27" t="s">
        <v>133</v>
      </c>
      <c r="D32" s="27" t="s">
        <v>100</v>
      </c>
      <c r="E32" s="43"/>
      <c r="F32" s="32" t="s">
        <v>101</v>
      </c>
      <c r="G32" s="30" t="s">
        <v>52</v>
      </c>
      <c r="H32" s="30" t="s">
        <v>53</v>
      </c>
      <c r="I32" s="30" t="s">
        <v>54</v>
      </c>
      <c r="J32" s="30" t="s">
        <v>55</v>
      </c>
      <c r="K32" s="30" t="s">
        <v>75</v>
      </c>
      <c r="L32" s="30" t="s">
        <v>76</v>
      </c>
      <c r="M32" s="30" t="s">
        <v>77</v>
      </c>
      <c r="N32" s="30" t="s">
        <v>59</v>
      </c>
      <c r="O32" s="30" t="s">
        <v>59</v>
      </c>
      <c r="P32" s="30" t="s">
        <v>59</v>
      </c>
      <c r="Q32" s="30" t="s">
        <v>59</v>
      </c>
      <c r="R32" s="30" t="s">
        <v>60</v>
      </c>
      <c r="S32" s="27" t="s">
        <v>136</v>
      </c>
      <c r="T32" s="27" t="s">
        <v>141</v>
      </c>
    </row>
    <row r="33" spans="1:20" ht="19.5" customHeight="1" x14ac:dyDescent="0.25">
      <c r="A33" s="24" t="s">
        <v>27</v>
      </c>
      <c r="B33" s="24" t="s">
        <v>150</v>
      </c>
      <c r="C33" s="24" t="s">
        <v>133</v>
      </c>
      <c r="D33" s="24" t="s">
        <v>151</v>
      </c>
      <c r="E33" s="67"/>
      <c r="F33" s="68" t="s">
        <v>152</v>
      </c>
      <c r="G33" s="19" t="s">
        <v>52</v>
      </c>
      <c r="H33" s="19" t="s">
        <v>53</v>
      </c>
      <c r="I33" s="19" t="s">
        <v>54</v>
      </c>
      <c r="J33" s="19" t="s">
        <v>55</v>
      </c>
      <c r="K33" s="19" t="s">
        <v>75</v>
      </c>
      <c r="L33" s="19" t="s">
        <v>76</v>
      </c>
      <c r="M33" s="19" t="s">
        <v>77</v>
      </c>
      <c r="N33" s="19" t="s">
        <v>59</v>
      </c>
      <c r="O33" s="19" t="s">
        <v>59</v>
      </c>
      <c r="P33" s="19" t="s">
        <v>59</v>
      </c>
      <c r="Q33" s="19" t="s">
        <v>59</v>
      </c>
      <c r="R33" s="19" t="s">
        <v>60</v>
      </c>
      <c r="S33" s="24" t="s">
        <v>136</v>
      </c>
      <c r="T33" s="24" t="s">
        <v>141</v>
      </c>
    </row>
    <row r="34" spans="1:20" ht="19.5" customHeight="1" x14ac:dyDescent="0.25">
      <c r="A34" s="27" t="s">
        <v>27</v>
      </c>
      <c r="B34" s="27" t="s">
        <v>153</v>
      </c>
      <c r="C34" s="27" t="s">
        <v>133</v>
      </c>
      <c r="D34" s="27" t="s">
        <v>154</v>
      </c>
      <c r="E34" s="49"/>
      <c r="F34" s="50" t="s">
        <v>119</v>
      </c>
      <c r="G34" s="30" t="s">
        <v>52</v>
      </c>
      <c r="H34" s="30" t="s">
        <v>53</v>
      </c>
      <c r="I34" s="30" t="s">
        <v>54</v>
      </c>
      <c r="J34" s="30" t="s">
        <v>55</v>
      </c>
      <c r="K34" s="30" t="s">
        <v>75</v>
      </c>
      <c r="L34" s="30" t="s">
        <v>76</v>
      </c>
      <c r="M34" s="30" t="s">
        <v>77</v>
      </c>
      <c r="N34" s="30" t="s">
        <v>59</v>
      </c>
      <c r="O34" s="30" t="s">
        <v>59</v>
      </c>
      <c r="P34" s="30" t="s">
        <v>59</v>
      </c>
      <c r="Q34" s="30" t="s">
        <v>59</v>
      </c>
      <c r="R34" s="30" t="s">
        <v>60</v>
      </c>
      <c r="S34" s="27" t="s">
        <v>136</v>
      </c>
      <c r="T34" s="27" t="s">
        <v>141</v>
      </c>
    </row>
    <row r="35" spans="1:20" ht="19.5" customHeight="1" x14ac:dyDescent="0.25">
      <c r="A35" s="24" t="s">
        <v>27</v>
      </c>
      <c r="B35" s="24" t="s">
        <v>155</v>
      </c>
      <c r="C35" s="24" t="s">
        <v>133</v>
      </c>
      <c r="D35" s="24" t="s">
        <v>103</v>
      </c>
      <c r="E35" s="44"/>
      <c r="F35" s="45" t="s">
        <v>104</v>
      </c>
      <c r="G35" s="19" t="s">
        <v>52</v>
      </c>
      <c r="H35" s="19" t="s">
        <v>53</v>
      </c>
      <c r="I35" s="19" t="s">
        <v>54</v>
      </c>
      <c r="J35" s="19" t="s">
        <v>55</v>
      </c>
      <c r="K35" s="19" t="s">
        <v>75</v>
      </c>
      <c r="L35" s="19" t="s">
        <v>76</v>
      </c>
      <c r="M35" s="19" t="s">
        <v>77</v>
      </c>
      <c r="N35" s="19" t="s">
        <v>59</v>
      </c>
      <c r="O35" s="19" t="s">
        <v>59</v>
      </c>
      <c r="P35" s="19" t="s">
        <v>59</v>
      </c>
      <c r="Q35" s="19" t="s">
        <v>59</v>
      </c>
      <c r="R35" s="19" t="s">
        <v>60</v>
      </c>
      <c r="S35" s="24" t="s">
        <v>136</v>
      </c>
      <c r="T35" s="24" t="s">
        <v>141</v>
      </c>
    </row>
    <row r="36" spans="1:20" ht="19.5" customHeight="1" x14ac:dyDescent="0.25">
      <c r="A36" s="27" t="s">
        <v>27</v>
      </c>
      <c r="B36" s="27" t="s">
        <v>156</v>
      </c>
      <c r="C36" s="27" t="s">
        <v>133</v>
      </c>
      <c r="D36" s="27" t="s">
        <v>106</v>
      </c>
      <c r="E36" s="46"/>
      <c r="F36" s="29" t="s">
        <v>107</v>
      </c>
      <c r="G36" s="30" t="s">
        <v>52</v>
      </c>
      <c r="H36" s="30" t="s">
        <v>53</v>
      </c>
      <c r="I36" s="30" t="s">
        <v>54</v>
      </c>
      <c r="J36" s="30" t="s">
        <v>55</v>
      </c>
      <c r="K36" s="30" t="s">
        <v>75</v>
      </c>
      <c r="L36" s="30" t="s">
        <v>76</v>
      </c>
      <c r="M36" s="30" t="s">
        <v>77</v>
      </c>
      <c r="N36" s="30" t="s">
        <v>59</v>
      </c>
      <c r="O36" s="30" t="s">
        <v>59</v>
      </c>
      <c r="P36" s="30" t="s">
        <v>59</v>
      </c>
      <c r="Q36" s="30" t="s">
        <v>59</v>
      </c>
      <c r="R36" s="30" t="s">
        <v>60</v>
      </c>
      <c r="S36" s="27" t="s">
        <v>136</v>
      </c>
      <c r="T36" s="27" t="s">
        <v>141</v>
      </c>
    </row>
    <row r="37" spans="1:20" ht="19.5" customHeight="1" x14ac:dyDescent="0.25">
      <c r="A37" s="24" t="s">
        <v>27</v>
      </c>
      <c r="B37" s="24" t="s">
        <v>157</v>
      </c>
      <c r="C37" s="24" t="s">
        <v>133</v>
      </c>
      <c r="D37" s="24" t="s">
        <v>158</v>
      </c>
      <c r="E37" s="69"/>
      <c r="F37" s="70" t="s">
        <v>159</v>
      </c>
      <c r="G37" s="19" t="s">
        <v>52</v>
      </c>
      <c r="H37" s="19" t="s">
        <v>53</v>
      </c>
      <c r="I37" s="19" t="s">
        <v>54</v>
      </c>
      <c r="J37" s="19" t="s">
        <v>55</v>
      </c>
      <c r="K37" s="19" t="s">
        <v>75</v>
      </c>
      <c r="L37" s="19" t="s">
        <v>76</v>
      </c>
      <c r="M37" s="19" t="s">
        <v>77</v>
      </c>
      <c r="N37" s="19" t="s">
        <v>59</v>
      </c>
      <c r="O37" s="19" t="s">
        <v>59</v>
      </c>
      <c r="P37" s="19" t="s">
        <v>59</v>
      </c>
      <c r="Q37" s="19" t="s">
        <v>59</v>
      </c>
      <c r="R37" s="19" t="s">
        <v>60</v>
      </c>
      <c r="S37" s="24" t="s">
        <v>136</v>
      </c>
      <c r="T37" s="24" t="s">
        <v>141</v>
      </c>
    </row>
    <row r="38" spans="1:20" ht="19.5" customHeight="1" x14ac:dyDescent="0.25">
      <c r="A38" s="27" t="s">
        <v>27</v>
      </c>
      <c r="B38" s="27" t="s">
        <v>160</v>
      </c>
      <c r="C38" s="27" t="s">
        <v>133</v>
      </c>
      <c r="D38" s="27" t="s">
        <v>161</v>
      </c>
      <c r="E38" s="71"/>
      <c r="F38" s="72" t="s">
        <v>162</v>
      </c>
      <c r="G38" s="30" t="s">
        <v>52</v>
      </c>
      <c r="H38" s="30" t="s">
        <v>53</v>
      </c>
      <c r="I38" s="30" t="s">
        <v>54</v>
      </c>
      <c r="J38" s="30" t="s">
        <v>55</v>
      </c>
      <c r="K38" s="30" t="s">
        <v>75</v>
      </c>
      <c r="L38" s="30" t="s">
        <v>76</v>
      </c>
      <c r="M38" s="30" t="s">
        <v>77</v>
      </c>
      <c r="N38" s="30" t="s">
        <v>59</v>
      </c>
      <c r="O38" s="30" t="s">
        <v>59</v>
      </c>
      <c r="P38" s="30" t="s">
        <v>59</v>
      </c>
      <c r="Q38" s="30" t="s">
        <v>59</v>
      </c>
      <c r="R38" s="30" t="s">
        <v>60</v>
      </c>
      <c r="S38" s="27" t="s">
        <v>136</v>
      </c>
      <c r="T38" s="27" t="s">
        <v>141</v>
      </c>
    </row>
    <row r="39" spans="1:20" ht="19.5" customHeight="1" x14ac:dyDescent="0.25">
      <c r="A39" s="24" t="s">
        <v>27</v>
      </c>
      <c r="B39" s="24" t="s">
        <v>163</v>
      </c>
      <c r="C39" s="24" t="s">
        <v>133</v>
      </c>
      <c r="D39" s="24" t="s">
        <v>164</v>
      </c>
      <c r="E39" s="73"/>
      <c r="F39" s="74" t="s">
        <v>165</v>
      </c>
      <c r="G39" s="19" t="s">
        <v>52</v>
      </c>
      <c r="H39" s="19" t="s">
        <v>53</v>
      </c>
      <c r="I39" s="19" t="s">
        <v>54</v>
      </c>
      <c r="J39" s="19" t="s">
        <v>55</v>
      </c>
      <c r="K39" s="19" t="s">
        <v>75</v>
      </c>
      <c r="L39" s="19" t="s">
        <v>76</v>
      </c>
      <c r="M39" s="19" t="s">
        <v>77</v>
      </c>
      <c r="N39" s="19" t="s">
        <v>59</v>
      </c>
      <c r="O39" s="19" t="s">
        <v>59</v>
      </c>
      <c r="P39" s="19" t="s">
        <v>59</v>
      </c>
      <c r="Q39" s="19" t="s">
        <v>59</v>
      </c>
      <c r="R39" s="19" t="s">
        <v>60</v>
      </c>
      <c r="S39" s="24" t="s">
        <v>136</v>
      </c>
      <c r="T39" s="24" t="s">
        <v>166</v>
      </c>
    </row>
    <row r="40" spans="1:20" ht="19.5" customHeight="1" x14ac:dyDescent="0.25">
      <c r="A40" s="27" t="s">
        <v>27</v>
      </c>
      <c r="B40" s="27" t="s">
        <v>167</v>
      </c>
      <c r="C40" s="27" t="s">
        <v>133</v>
      </c>
      <c r="D40" s="27" t="s">
        <v>168</v>
      </c>
      <c r="E40" s="35"/>
      <c r="F40" s="36" t="s">
        <v>169</v>
      </c>
      <c r="G40" s="30" t="s">
        <v>52</v>
      </c>
      <c r="H40" s="30" t="s">
        <v>53</v>
      </c>
      <c r="I40" s="30" t="s">
        <v>54</v>
      </c>
      <c r="J40" s="30" t="s">
        <v>55</v>
      </c>
      <c r="K40" s="30" t="s">
        <v>75</v>
      </c>
      <c r="L40" s="30" t="s">
        <v>76</v>
      </c>
      <c r="M40" s="30" t="s">
        <v>77</v>
      </c>
      <c r="N40" s="30" t="s">
        <v>59</v>
      </c>
      <c r="O40" s="30" t="s">
        <v>59</v>
      </c>
      <c r="P40" s="30" t="s">
        <v>59</v>
      </c>
      <c r="Q40" s="30" t="s">
        <v>59</v>
      </c>
      <c r="R40" s="30" t="s">
        <v>60</v>
      </c>
      <c r="S40" s="27" t="s">
        <v>136</v>
      </c>
      <c r="T40" s="27" t="s">
        <v>141</v>
      </c>
    </row>
    <row r="41" spans="1:20" ht="19.5" customHeight="1" x14ac:dyDescent="0.25">
      <c r="A41" s="24" t="s">
        <v>27</v>
      </c>
      <c r="B41" s="24" t="s">
        <v>170</v>
      </c>
      <c r="C41" s="24" t="s">
        <v>133</v>
      </c>
      <c r="D41" s="24" t="s">
        <v>171</v>
      </c>
      <c r="E41" s="75"/>
      <c r="F41" s="76" t="s">
        <v>172</v>
      </c>
      <c r="G41" s="19" t="s">
        <v>52</v>
      </c>
      <c r="H41" s="19" t="s">
        <v>53</v>
      </c>
      <c r="I41" s="19" t="s">
        <v>54</v>
      </c>
      <c r="J41" s="19" t="s">
        <v>55</v>
      </c>
      <c r="K41" s="19" t="s">
        <v>75</v>
      </c>
      <c r="L41" s="19" t="s">
        <v>76</v>
      </c>
      <c r="M41" s="19" t="s">
        <v>77</v>
      </c>
      <c r="N41" s="19" t="s">
        <v>59</v>
      </c>
      <c r="O41" s="19" t="s">
        <v>59</v>
      </c>
      <c r="P41" s="19" t="s">
        <v>59</v>
      </c>
      <c r="Q41" s="19" t="s">
        <v>59</v>
      </c>
      <c r="R41" s="19" t="s">
        <v>60</v>
      </c>
      <c r="S41" s="24" t="s">
        <v>136</v>
      </c>
      <c r="T41" s="24" t="s">
        <v>141</v>
      </c>
    </row>
    <row r="42" spans="1:20" ht="19.5" customHeight="1" x14ac:dyDescent="0.25">
      <c r="A42" s="27" t="s">
        <v>27</v>
      </c>
      <c r="B42" s="27" t="s">
        <v>173</v>
      </c>
      <c r="C42" s="27" t="s">
        <v>133</v>
      </c>
      <c r="D42" s="27" t="s">
        <v>174</v>
      </c>
      <c r="E42" s="35"/>
      <c r="F42" s="36" t="s">
        <v>74</v>
      </c>
      <c r="G42" s="30" t="s">
        <v>52</v>
      </c>
      <c r="H42" s="30" t="s">
        <v>53</v>
      </c>
      <c r="I42" s="30" t="s">
        <v>54</v>
      </c>
      <c r="J42" s="30" t="s">
        <v>55</v>
      </c>
      <c r="K42" s="30" t="s">
        <v>75</v>
      </c>
      <c r="L42" s="30" t="s">
        <v>76</v>
      </c>
      <c r="M42" s="30" t="s">
        <v>77</v>
      </c>
      <c r="N42" s="30" t="s">
        <v>59</v>
      </c>
      <c r="O42" s="30" t="s">
        <v>59</v>
      </c>
      <c r="P42" s="30" t="s">
        <v>59</v>
      </c>
      <c r="Q42" s="30" t="s">
        <v>59</v>
      </c>
      <c r="R42" s="30" t="s">
        <v>60</v>
      </c>
      <c r="S42" s="27" t="s">
        <v>136</v>
      </c>
      <c r="T42" s="27" t="s">
        <v>141</v>
      </c>
    </row>
    <row r="43" spans="1:20" ht="19.5" customHeight="1" x14ac:dyDescent="0.25">
      <c r="A43" s="24" t="s">
        <v>27</v>
      </c>
      <c r="B43" s="24" t="s">
        <v>175</v>
      </c>
      <c r="C43" s="24" t="s">
        <v>133</v>
      </c>
      <c r="D43" s="24" t="s">
        <v>176</v>
      </c>
      <c r="E43" s="49"/>
      <c r="F43" s="77" t="s">
        <v>177</v>
      </c>
      <c r="G43" s="19" t="s">
        <v>52</v>
      </c>
      <c r="H43" s="19" t="s">
        <v>53</v>
      </c>
      <c r="I43" s="19" t="s">
        <v>54</v>
      </c>
      <c r="J43" s="19" t="s">
        <v>55</v>
      </c>
      <c r="K43" s="19" t="s">
        <v>75</v>
      </c>
      <c r="L43" s="19" t="s">
        <v>76</v>
      </c>
      <c r="M43" s="19" t="s">
        <v>77</v>
      </c>
      <c r="N43" s="19" t="s">
        <v>59</v>
      </c>
      <c r="O43" s="19" t="s">
        <v>59</v>
      </c>
      <c r="P43" s="19" t="s">
        <v>59</v>
      </c>
      <c r="Q43" s="19" t="s">
        <v>59</v>
      </c>
      <c r="R43" s="19" t="s">
        <v>60</v>
      </c>
      <c r="S43" s="24" t="s">
        <v>136</v>
      </c>
      <c r="T43" s="24" t="s">
        <v>141</v>
      </c>
    </row>
    <row r="44" spans="1:20" ht="19.5" customHeight="1" x14ac:dyDescent="0.25">
      <c r="A44" s="27" t="s">
        <v>27</v>
      </c>
      <c r="B44" s="27" t="s">
        <v>178</v>
      </c>
      <c r="C44" s="27" t="s">
        <v>133</v>
      </c>
      <c r="D44" s="27" t="s">
        <v>179</v>
      </c>
      <c r="E44" s="78"/>
      <c r="F44" s="79" t="s">
        <v>180</v>
      </c>
      <c r="G44" s="30" t="s">
        <v>52</v>
      </c>
      <c r="H44" s="30" t="s">
        <v>53</v>
      </c>
      <c r="I44" s="30" t="s">
        <v>54</v>
      </c>
      <c r="J44" s="30" t="s">
        <v>55</v>
      </c>
      <c r="K44" s="30" t="s">
        <v>75</v>
      </c>
      <c r="L44" s="30" t="s">
        <v>76</v>
      </c>
      <c r="M44" s="30" t="s">
        <v>77</v>
      </c>
      <c r="N44" s="30" t="s">
        <v>59</v>
      </c>
      <c r="O44" s="30" t="s">
        <v>59</v>
      </c>
      <c r="P44" s="30" t="s">
        <v>59</v>
      </c>
      <c r="Q44" s="30" t="s">
        <v>59</v>
      </c>
      <c r="R44" s="30" t="s">
        <v>60</v>
      </c>
      <c r="S44" s="27" t="s">
        <v>136</v>
      </c>
      <c r="T44" s="27" t="s">
        <v>181</v>
      </c>
    </row>
    <row r="45" spans="1:20" ht="19.5" customHeight="1" x14ac:dyDescent="0.25">
      <c r="A45" s="24" t="s">
        <v>27</v>
      </c>
      <c r="B45" s="24" t="s">
        <v>182</v>
      </c>
      <c r="C45" s="24" t="s">
        <v>133</v>
      </c>
      <c r="D45" s="24" t="s">
        <v>183</v>
      </c>
      <c r="E45" s="80"/>
      <c r="F45" s="81" t="s">
        <v>184</v>
      </c>
      <c r="G45" s="19" t="s">
        <v>52</v>
      </c>
      <c r="H45" s="19" t="s">
        <v>53</v>
      </c>
      <c r="I45" s="19" t="s">
        <v>54</v>
      </c>
      <c r="J45" s="19" t="s">
        <v>55</v>
      </c>
      <c r="K45" s="19" t="s">
        <v>75</v>
      </c>
      <c r="L45" s="19" t="s">
        <v>76</v>
      </c>
      <c r="M45" s="19" t="s">
        <v>77</v>
      </c>
      <c r="N45" s="19" t="s">
        <v>59</v>
      </c>
      <c r="O45" s="19" t="s">
        <v>59</v>
      </c>
      <c r="P45" s="19" t="s">
        <v>59</v>
      </c>
      <c r="Q45" s="19" t="s">
        <v>59</v>
      </c>
      <c r="R45" s="19" t="s">
        <v>60</v>
      </c>
      <c r="S45" s="24" t="s">
        <v>136</v>
      </c>
      <c r="T45" s="24" t="s">
        <v>141</v>
      </c>
    </row>
    <row r="46" spans="1:20" ht="19.5" customHeight="1" x14ac:dyDescent="0.25">
      <c r="A46" s="27" t="s">
        <v>27</v>
      </c>
      <c r="B46" s="27" t="s">
        <v>185</v>
      </c>
      <c r="C46" s="27" t="s">
        <v>133</v>
      </c>
      <c r="D46" s="27" t="s">
        <v>186</v>
      </c>
      <c r="E46" s="82"/>
      <c r="F46" s="83" t="s">
        <v>187</v>
      </c>
      <c r="G46" s="30" t="s">
        <v>52</v>
      </c>
      <c r="H46" s="30" t="s">
        <v>53</v>
      </c>
      <c r="I46" s="30" t="s">
        <v>54</v>
      </c>
      <c r="J46" s="30" t="s">
        <v>55</v>
      </c>
      <c r="K46" s="30" t="s">
        <v>75</v>
      </c>
      <c r="L46" s="30" t="s">
        <v>76</v>
      </c>
      <c r="M46" s="30" t="s">
        <v>77</v>
      </c>
      <c r="N46" s="30" t="s">
        <v>59</v>
      </c>
      <c r="O46" s="30" t="s">
        <v>59</v>
      </c>
      <c r="P46" s="30" t="s">
        <v>59</v>
      </c>
      <c r="Q46" s="30" t="s">
        <v>59</v>
      </c>
      <c r="R46" s="30" t="s">
        <v>60</v>
      </c>
      <c r="S46" s="27" t="s">
        <v>136</v>
      </c>
      <c r="T46" s="27" t="s">
        <v>141</v>
      </c>
    </row>
    <row r="47" spans="1:20" ht="19.5" customHeight="1" x14ac:dyDescent="0.25">
      <c r="A47" s="24" t="s">
        <v>27</v>
      </c>
      <c r="B47" s="24" t="s">
        <v>188</v>
      </c>
      <c r="C47" s="24" t="s">
        <v>133</v>
      </c>
      <c r="D47" s="24" t="s">
        <v>189</v>
      </c>
      <c r="E47" s="39"/>
      <c r="F47" s="40" t="s">
        <v>190</v>
      </c>
      <c r="G47" s="19" t="s">
        <v>52</v>
      </c>
      <c r="H47" s="19" t="s">
        <v>53</v>
      </c>
      <c r="I47" s="19" t="s">
        <v>54</v>
      </c>
      <c r="J47" s="19" t="s">
        <v>55</v>
      </c>
      <c r="K47" s="19" t="s">
        <v>75</v>
      </c>
      <c r="L47" s="19" t="s">
        <v>76</v>
      </c>
      <c r="M47" s="19" t="s">
        <v>77</v>
      </c>
      <c r="N47" s="19" t="s">
        <v>59</v>
      </c>
      <c r="O47" s="19" t="s">
        <v>59</v>
      </c>
      <c r="P47" s="19" t="s">
        <v>59</v>
      </c>
      <c r="Q47" s="19" t="s">
        <v>59</v>
      </c>
      <c r="R47" s="19" t="s">
        <v>60</v>
      </c>
      <c r="S47" s="24" t="s">
        <v>136</v>
      </c>
      <c r="T47" s="24" t="s">
        <v>141</v>
      </c>
    </row>
    <row r="48" spans="1:20" ht="19.5" customHeight="1" x14ac:dyDescent="0.25">
      <c r="A48" s="27" t="s">
        <v>27</v>
      </c>
      <c r="B48" s="27" t="s">
        <v>191</v>
      </c>
      <c r="C48" s="27" t="s">
        <v>133</v>
      </c>
      <c r="D48" s="27" t="s">
        <v>121</v>
      </c>
      <c r="E48" s="51"/>
      <c r="F48" s="52" t="s">
        <v>122</v>
      </c>
      <c r="G48" s="30" t="s">
        <v>52</v>
      </c>
      <c r="H48" s="30" t="s">
        <v>53</v>
      </c>
      <c r="I48" s="30" t="s">
        <v>54</v>
      </c>
      <c r="J48" s="30" t="s">
        <v>55</v>
      </c>
      <c r="K48" s="30" t="s">
        <v>75</v>
      </c>
      <c r="L48" s="30" t="s">
        <v>76</v>
      </c>
      <c r="M48" s="30" t="s">
        <v>77</v>
      </c>
      <c r="N48" s="30" t="s">
        <v>59</v>
      </c>
      <c r="O48" s="30" t="s">
        <v>59</v>
      </c>
      <c r="P48" s="30" t="s">
        <v>59</v>
      </c>
      <c r="Q48" s="30" t="s">
        <v>59</v>
      </c>
      <c r="R48" s="30" t="s">
        <v>60</v>
      </c>
      <c r="S48" s="27" t="s">
        <v>136</v>
      </c>
      <c r="T48" s="27" t="s">
        <v>141</v>
      </c>
    </row>
    <row r="49" spans="1:20" ht="19.5" customHeight="1" x14ac:dyDescent="0.25">
      <c r="A49" s="24" t="s">
        <v>27</v>
      </c>
      <c r="B49" s="24" t="s">
        <v>192</v>
      </c>
      <c r="C49" s="24" t="s">
        <v>133</v>
      </c>
      <c r="D49" s="24" t="s">
        <v>193</v>
      </c>
      <c r="E49" s="84"/>
      <c r="F49" s="85" t="s">
        <v>194</v>
      </c>
      <c r="G49" s="19" t="s">
        <v>52</v>
      </c>
      <c r="H49" s="19" t="s">
        <v>53</v>
      </c>
      <c r="I49" s="19" t="s">
        <v>54</v>
      </c>
      <c r="J49" s="19" t="s">
        <v>55</v>
      </c>
      <c r="K49" s="19" t="s">
        <v>75</v>
      </c>
      <c r="L49" s="19" t="s">
        <v>76</v>
      </c>
      <c r="M49" s="19" t="s">
        <v>77</v>
      </c>
      <c r="N49" s="19" t="s">
        <v>59</v>
      </c>
      <c r="O49" s="19" t="s">
        <v>59</v>
      </c>
      <c r="P49" s="19" t="s">
        <v>59</v>
      </c>
      <c r="Q49" s="19" t="s">
        <v>59</v>
      </c>
      <c r="R49" s="19" t="s">
        <v>60</v>
      </c>
      <c r="S49" s="24" t="s">
        <v>136</v>
      </c>
      <c r="T49" s="24" t="s">
        <v>141</v>
      </c>
    </row>
    <row r="50" spans="1:20" ht="19.5" customHeight="1" x14ac:dyDescent="0.25">
      <c r="A50" s="27" t="s">
        <v>27</v>
      </c>
      <c r="B50" s="27" t="s">
        <v>195</v>
      </c>
      <c r="C50" s="27" t="s">
        <v>133</v>
      </c>
      <c r="D50" s="27" t="s">
        <v>196</v>
      </c>
      <c r="E50" s="86"/>
      <c r="F50" s="87" t="s">
        <v>197</v>
      </c>
      <c r="G50" s="30" t="s">
        <v>52</v>
      </c>
      <c r="H50" s="30" t="s">
        <v>53</v>
      </c>
      <c r="I50" s="30" t="s">
        <v>54</v>
      </c>
      <c r="J50" s="30" t="s">
        <v>55</v>
      </c>
      <c r="K50" s="30" t="s">
        <v>75</v>
      </c>
      <c r="L50" s="30" t="s">
        <v>76</v>
      </c>
      <c r="M50" s="30" t="s">
        <v>77</v>
      </c>
      <c r="N50" s="30" t="s">
        <v>59</v>
      </c>
      <c r="O50" s="30" t="s">
        <v>59</v>
      </c>
      <c r="P50" s="30" t="s">
        <v>59</v>
      </c>
      <c r="Q50" s="30" t="s">
        <v>59</v>
      </c>
      <c r="R50" s="30" t="s">
        <v>60</v>
      </c>
      <c r="S50" s="27" t="s">
        <v>136</v>
      </c>
      <c r="T50" s="27" t="s">
        <v>141</v>
      </c>
    </row>
    <row r="51" spans="1:20" ht="19.5" customHeight="1" x14ac:dyDescent="0.25">
      <c r="A51" s="24" t="s">
        <v>27</v>
      </c>
      <c r="B51" s="24" t="s">
        <v>198</v>
      </c>
      <c r="C51" s="24" t="s">
        <v>133</v>
      </c>
      <c r="D51" s="24" t="s">
        <v>199</v>
      </c>
      <c r="E51" s="88"/>
      <c r="F51" s="89" t="s">
        <v>200</v>
      </c>
      <c r="G51" s="19" t="s">
        <v>52</v>
      </c>
      <c r="H51" s="19" t="s">
        <v>53</v>
      </c>
      <c r="I51" s="19" t="s">
        <v>54</v>
      </c>
      <c r="J51" s="19" t="s">
        <v>55</v>
      </c>
      <c r="K51" s="19" t="s">
        <v>75</v>
      </c>
      <c r="L51" s="19" t="s">
        <v>76</v>
      </c>
      <c r="M51" s="19" t="s">
        <v>77</v>
      </c>
      <c r="N51" s="19" t="s">
        <v>59</v>
      </c>
      <c r="O51" s="19" t="s">
        <v>59</v>
      </c>
      <c r="P51" s="19" t="s">
        <v>59</v>
      </c>
      <c r="Q51" s="19" t="s">
        <v>59</v>
      </c>
      <c r="R51" s="19" t="s">
        <v>60</v>
      </c>
      <c r="S51" s="24" t="s">
        <v>136</v>
      </c>
      <c r="T51" s="24" t="s">
        <v>141</v>
      </c>
    </row>
    <row r="52" spans="1:20" ht="19.5" customHeight="1" x14ac:dyDescent="0.25">
      <c r="A52" s="27" t="s">
        <v>27</v>
      </c>
      <c r="B52" s="27" t="s">
        <v>201</v>
      </c>
      <c r="C52" s="27" t="s">
        <v>133</v>
      </c>
      <c r="D52" s="27" t="s">
        <v>202</v>
      </c>
      <c r="E52" s="37"/>
      <c r="F52" s="38" t="s">
        <v>86</v>
      </c>
      <c r="G52" s="30" t="s">
        <v>52</v>
      </c>
      <c r="H52" s="30" t="s">
        <v>53</v>
      </c>
      <c r="I52" s="30" t="s">
        <v>54</v>
      </c>
      <c r="J52" s="30" t="s">
        <v>55</v>
      </c>
      <c r="K52" s="30" t="s">
        <v>75</v>
      </c>
      <c r="L52" s="30" t="s">
        <v>76</v>
      </c>
      <c r="M52" s="30" t="s">
        <v>77</v>
      </c>
      <c r="N52" s="30" t="s">
        <v>59</v>
      </c>
      <c r="O52" s="30" t="s">
        <v>59</v>
      </c>
      <c r="P52" s="30" t="s">
        <v>59</v>
      </c>
      <c r="Q52" s="30" t="s">
        <v>59</v>
      </c>
      <c r="R52" s="30" t="s">
        <v>60</v>
      </c>
      <c r="S52" s="27" t="s">
        <v>136</v>
      </c>
      <c r="T52" s="27" t="s">
        <v>141</v>
      </c>
    </row>
    <row r="53" spans="1:20" ht="19.5" customHeight="1" x14ac:dyDescent="0.25">
      <c r="A53" s="24" t="s">
        <v>27</v>
      </c>
      <c r="B53" s="24" t="s">
        <v>203</v>
      </c>
      <c r="C53" s="24" t="s">
        <v>133</v>
      </c>
      <c r="D53" s="24" t="s">
        <v>204</v>
      </c>
      <c r="E53" s="47"/>
      <c r="F53" s="48" t="s">
        <v>110</v>
      </c>
      <c r="G53" s="19" t="s">
        <v>52</v>
      </c>
      <c r="H53" s="19" t="s">
        <v>53</v>
      </c>
      <c r="I53" s="19" t="s">
        <v>54</v>
      </c>
      <c r="J53" s="19" t="s">
        <v>55</v>
      </c>
      <c r="K53" s="19" t="s">
        <v>75</v>
      </c>
      <c r="L53" s="19" t="s">
        <v>76</v>
      </c>
      <c r="M53" s="19" t="s">
        <v>77</v>
      </c>
      <c r="N53" s="19" t="s">
        <v>59</v>
      </c>
      <c r="O53" s="19" t="s">
        <v>59</v>
      </c>
      <c r="P53" s="19" t="s">
        <v>59</v>
      </c>
      <c r="Q53" s="19" t="s">
        <v>59</v>
      </c>
      <c r="R53" s="19" t="s">
        <v>60</v>
      </c>
      <c r="S53" s="24" t="s">
        <v>136</v>
      </c>
      <c r="T53" s="24" t="s">
        <v>141</v>
      </c>
    </row>
    <row r="54" spans="1:20" ht="19.5" customHeight="1" x14ac:dyDescent="0.25">
      <c r="A54" s="27" t="s">
        <v>27</v>
      </c>
      <c r="B54" s="27" t="s">
        <v>205</v>
      </c>
      <c r="C54" s="27" t="s">
        <v>133</v>
      </c>
      <c r="D54" s="27" t="s">
        <v>206</v>
      </c>
      <c r="E54" s="90"/>
      <c r="F54" s="26" t="s">
        <v>207</v>
      </c>
      <c r="G54" s="30" t="s">
        <v>52</v>
      </c>
      <c r="H54" s="30" t="s">
        <v>53</v>
      </c>
      <c r="I54" s="30" t="s">
        <v>54</v>
      </c>
      <c r="J54" s="30" t="s">
        <v>55</v>
      </c>
      <c r="K54" s="30" t="s">
        <v>75</v>
      </c>
      <c r="L54" s="30" t="s">
        <v>76</v>
      </c>
      <c r="M54" s="30" t="s">
        <v>77</v>
      </c>
      <c r="N54" s="30" t="s">
        <v>59</v>
      </c>
      <c r="O54" s="30" t="s">
        <v>59</v>
      </c>
      <c r="P54" s="30" t="s">
        <v>59</v>
      </c>
      <c r="Q54" s="30" t="s">
        <v>59</v>
      </c>
      <c r="R54" s="30" t="s">
        <v>60</v>
      </c>
      <c r="S54" s="27" t="s">
        <v>136</v>
      </c>
      <c r="T54" s="27" t="s">
        <v>141</v>
      </c>
    </row>
    <row r="55" spans="1:20" ht="19.5" customHeight="1" x14ac:dyDescent="0.25">
      <c r="A55" s="24" t="s">
        <v>27</v>
      </c>
      <c r="B55" s="24" t="s">
        <v>208</v>
      </c>
      <c r="C55" s="24" t="s">
        <v>133</v>
      </c>
      <c r="D55" s="24" t="s">
        <v>209</v>
      </c>
      <c r="E55" s="91"/>
      <c r="F55" s="92" t="s">
        <v>210</v>
      </c>
      <c r="G55" s="19" t="s">
        <v>52</v>
      </c>
      <c r="H55" s="19" t="s">
        <v>53</v>
      </c>
      <c r="I55" s="19" t="s">
        <v>54</v>
      </c>
      <c r="J55" s="19" t="s">
        <v>55</v>
      </c>
      <c r="K55" s="19" t="s">
        <v>75</v>
      </c>
      <c r="L55" s="19" t="s">
        <v>76</v>
      </c>
      <c r="M55" s="19" t="s">
        <v>77</v>
      </c>
      <c r="N55" s="19" t="s">
        <v>59</v>
      </c>
      <c r="O55" s="19" t="s">
        <v>59</v>
      </c>
      <c r="P55" s="19" t="s">
        <v>59</v>
      </c>
      <c r="Q55" s="19" t="s">
        <v>59</v>
      </c>
      <c r="R55" s="19" t="s">
        <v>60</v>
      </c>
      <c r="S55" s="24" t="s">
        <v>136</v>
      </c>
      <c r="T55" s="24" t="s">
        <v>211</v>
      </c>
    </row>
    <row r="56" spans="1:20" ht="19.5" customHeight="1" x14ac:dyDescent="0.25">
      <c r="A56" s="27" t="s">
        <v>27</v>
      </c>
      <c r="B56" s="27" t="s">
        <v>212</v>
      </c>
      <c r="C56" s="27" t="s">
        <v>133</v>
      </c>
      <c r="D56" s="27" t="s">
        <v>130</v>
      </c>
      <c r="E56" s="57"/>
      <c r="F56" s="58" t="s">
        <v>131</v>
      </c>
      <c r="G56" s="30" t="s">
        <v>52</v>
      </c>
      <c r="H56" s="30" t="s">
        <v>53</v>
      </c>
      <c r="I56" s="30" t="s">
        <v>54</v>
      </c>
      <c r="J56" s="30" t="s">
        <v>55</v>
      </c>
      <c r="K56" s="30" t="s">
        <v>75</v>
      </c>
      <c r="L56" s="30" t="s">
        <v>76</v>
      </c>
      <c r="M56" s="30" t="s">
        <v>77</v>
      </c>
      <c r="N56" s="30" t="s">
        <v>59</v>
      </c>
      <c r="O56" s="30" t="s">
        <v>59</v>
      </c>
      <c r="P56" s="30" t="s">
        <v>59</v>
      </c>
      <c r="Q56" s="30" t="s">
        <v>59</v>
      </c>
      <c r="R56" s="30" t="s">
        <v>60</v>
      </c>
      <c r="S56" s="27" t="s">
        <v>136</v>
      </c>
      <c r="T56" s="27" t="s">
        <v>141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8">
      <formula>$J3="Yes"</formula>
    </cfRule>
  </conditionalFormatting>
  <conditionalFormatting sqref="N3:N703">
    <cfRule type="expression" dxfId="19" priority="6">
      <formula>NOT(ISERROR(SEARCH("✓",$N3)))</formula>
    </cfRule>
    <cfRule type="expression" dxfId="18" priority="7">
      <formula>NOT(ISERROR(SEARCH("✗",$N3)))</formula>
    </cfRule>
    <cfRule type="expression" dxfId="17" priority="8">
      <formula>NOT(ISERROR(SEARCH("⚠",$N3)))</formula>
    </cfRule>
  </conditionalFormatting>
  <conditionalFormatting sqref="O3:O703">
    <cfRule type="expression" dxfId="16" priority="9">
      <formula>NOT(ISERROR(SEARCH("✓",$O3)))</formula>
    </cfRule>
    <cfRule type="expression" dxfId="15" priority="10">
      <formula>NOT(ISERROR(SEARCH("✗",$O3)))</formula>
    </cfRule>
    <cfRule type="expression" dxfId="14" priority="11">
      <formula>NOT(ISERROR(SEARCH("⚠",$O3)))</formula>
    </cfRule>
  </conditionalFormatting>
  <conditionalFormatting sqref="P3:P703">
    <cfRule type="expression" dxfId="13" priority="12">
      <formula>NOT(ISERROR(SEARCH("✓",$P3)))</formula>
    </cfRule>
    <cfRule type="expression" dxfId="12" priority="13">
      <formula>NOT(ISERROR(SEARCH("✗",$P3)))</formula>
    </cfRule>
    <cfRule type="expression" dxfId="11" priority="14">
      <formula>NOT(ISERROR(SEARCH("⚠",$P3)))</formula>
    </cfRule>
  </conditionalFormatting>
  <conditionalFormatting sqref="Q3:Q703">
    <cfRule type="expression" dxfId="10" priority="15">
      <formula>NOT(ISERROR(SEARCH("✓",$Q3)))</formula>
    </cfRule>
    <cfRule type="expression" dxfId="9" priority="16">
      <formula>NOT(ISERROR(SEARCH("✗",$Q3)))</formula>
    </cfRule>
    <cfRule type="expression" dxfId="8" priority="17">
      <formula>NOT(ISERROR(SEARCH("⚠",$Q3)))</formula>
    </cfRule>
  </conditionalFormatting>
  <conditionalFormatting sqref="R3:R703">
    <cfRule type="expression" dxfId="7" priority="2">
      <formula>$R3="S"</formula>
    </cfRule>
    <cfRule type="expression" dxfId="6" priority="3">
      <formula>$R3="A"</formula>
    </cfRule>
    <cfRule type="expression" dxfId="5" priority="4">
      <formula>$R3="B"</formula>
    </cfRule>
    <cfRule type="expression" dxfId="4" priority="5">
      <formula>$R3="C"</formula>
    </cfRule>
  </conditionalFormatting>
  <conditionalFormatting sqref="T3:T703">
    <cfRule type="expression" dxfId="3" priority="19">
      <formula>NOT(ISERROR(SEARCH("hardened nozzle",$T3)))</formula>
    </cfRule>
  </conditionalFormatting>
  <dataValidations count="5">
    <dataValidation type="list" allowBlank="1" sqref="R3:R157" xr:uid="{00000000-0002-0000-0100-000000000000}">
      <formula1>"S,A,B,C"</formula1>
      <formula2>0</formula2>
    </dataValidation>
    <dataValidation type="list" allowBlank="1" sqref="I3:I157" xr:uid="{00000000-0002-0000-0100-000001000000}">
      <formula1>"Cardboard,Plastic"</formula1>
      <formula2>0</formula2>
    </dataValidation>
    <dataValidation type="list" allowBlank="1" sqref="J3:J157" xr:uid="{00000000-0002-0000-0100-000002000000}">
      <formula1>"Yes,No"</formula1>
      <formula2>0</formula2>
    </dataValidation>
    <dataValidation type="list" allowBlank="1" sqref="G3:G157" xr:uid="{00000000-0002-0000-0100-000003000000}">
      <formula1>"1.75mm,2.85mm"</formula1>
      <formula2>0</formula2>
    </dataValidation>
    <dataValidation type="list" allowBlank="1" sqref="N3:Q157" xr:uid="{00000000-0002-0000-0100-000004000000}">
      <formula1>"✓,✗,⚠"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6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16.85546875" bestFit="1" customWidth="1"/>
    <col min="2" max="2" width="16.140625" bestFit="1" customWidth="1"/>
    <col min="3" max="3" width="15.42578125" bestFit="1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226.42578125" bestFit="1" customWidth="1"/>
  </cols>
  <sheetData>
    <row r="1" spans="1:8" ht="30" customHeight="1" x14ac:dyDescent="0.25">
      <c r="A1" s="2" t="s">
        <v>213</v>
      </c>
      <c r="B1" s="2"/>
      <c r="C1" s="2"/>
      <c r="D1" s="2"/>
      <c r="E1" s="2"/>
      <c r="F1" s="2"/>
      <c r="G1" s="2"/>
      <c r="H1" s="2"/>
    </row>
    <row r="2" spans="1:8" ht="33.75" customHeight="1" x14ac:dyDescent="0.25">
      <c r="A2" s="23" t="s">
        <v>214</v>
      </c>
      <c r="B2" s="23" t="s">
        <v>38</v>
      </c>
      <c r="C2" s="23" t="s">
        <v>39</v>
      </c>
      <c r="D2" s="23" t="s">
        <v>215</v>
      </c>
      <c r="E2" s="23" t="s">
        <v>216</v>
      </c>
      <c r="F2" s="23" t="s">
        <v>217</v>
      </c>
      <c r="G2" s="23" t="s">
        <v>40</v>
      </c>
      <c r="H2" s="23" t="s">
        <v>47</v>
      </c>
    </row>
    <row r="3" spans="1:8" ht="19.5" customHeight="1" x14ac:dyDescent="0.25">
      <c r="A3" s="24" t="s">
        <v>27</v>
      </c>
      <c r="B3" s="19" t="s">
        <v>75</v>
      </c>
      <c r="C3" s="19" t="s">
        <v>76</v>
      </c>
      <c r="D3" s="19" t="s">
        <v>55</v>
      </c>
      <c r="E3" s="19" t="s">
        <v>218</v>
      </c>
      <c r="F3" s="19" t="s">
        <v>219</v>
      </c>
      <c r="G3" s="19" t="s">
        <v>77</v>
      </c>
      <c r="H3" s="24" t="s">
        <v>220</v>
      </c>
    </row>
    <row r="4" spans="1:8" ht="19.5" customHeight="1" x14ac:dyDescent="0.25">
      <c r="A4" s="27" t="s">
        <v>26</v>
      </c>
      <c r="B4" s="30" t="s">
        <v>56</v>
      </c>
      <c r="C4" s="30" t="s">
        <v>57</v>
      </c>
      <c r="D4" s="30" t="s">
        <v>55</v>
      </c>
      <c r="E4" s="30" t="s">
        <v>218</v>
      </c>
      <c r="F4" s="30" t="s">
        <v>218</v>
      </c>
      <c r="G4" s="30" t="s">
        <v>58</v>
      </c>
      <c r="H4" s="27" t="s">
        <v>221</v>
      </c>
    </row>
    <row r="5" spans="1:8" ht="19.5" customHeight="1" x14ac:dyDescent="0.25">
      <c r="A5" s="24" t="s">
        <v>24</v>
      </c>
      <c r="B5" s="19" t="s">
        <v>56</v>
      </c>
      <c r="C5" s="19" t="s">
        <v>57</v>
      </c>
      <c r="D5" s="19" t="s">
        <v>55</v>
      </c>
      <c r="E5" s="19" t="s">
        <v>218</v>
      </c>
      <c r="F5" s="19" t="s">
        <v>218</v>
      </c>
      <c r="G5" s="19" t="s">
        <v>58</v>
      </c>
      <c r="H5" s="24" t="s">
        <v>222</v>
      </c>
    </row>
    <row r="6" spans="1:8" ht="19.5" customHeight="1" x14ac:dyDescent="0.25">
      <c r="A6" s="27" t="s">
        <v>25</v>
      </c>
      <c r="B6" s="30" t="s">
        <v>223</v>
      </c>
      <c r="C6" s="30" t="s">
        <v>224</v>
      </c>
      <c r="D6" s="30" t="s">
        <v>55</v>
      </c>
      <c r="E6" s="30" t="s">
        <v>218</v>
      </c>
      <c r="F6" s="30" t="s">
        <v>219</v>
      </c>
      <c r="G6" s="30" t="s">
        <v>77</v>
      </c>
      <c r="H6" s="27" t="s">
        <v>225</v>
      </c>
    </row>
  </sheetData>
  <autoFilter ref="A2:H63" xr:uid="{00000000-0009-0000-0000-000002000000}"/>
  <mergeCells count="1">
    <mergeCell ref="A1:H1"/>
  </mergeCells>
  <conditionalFormatting sqref="D3:D17">
    <cfRule type="expression" dxfId="2" priority="2">
      <formula>$D3="Yes"</formula>
    </cfRule>
  </conditionalFormatting>
  <conditionalFormatting sqref="E3:E17">
    <cfRule type="expression" dxfId="1" priority="3">
      <formula>$E3="No"</formula>
    </cfRule>
    <cfRule type="expression" dxfId="0" priority="4">
      <formula>NOT(ISERROR(SEARCH("⚠",$E3)))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zoomScaleNormal="100" workbookViewId="0">
      <selection sqref="A1:C1"/>
    </sheetView>
  </sheetViews>
  <sheetFormatPr defaultColWidth="8.7109375"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5.5" customHeight="1" x14ac:dyDescent="0.25">
      <c r="A1" s="1" t="s">
        <v>226</v>
      </c>
      <c r="B1" s="1"/>
      <c r="C1" s="1"/>
    </row>
    <row r="2" spans="1:3" ht="21.75" customHeight="1" x14ac:dyDescent="0.25">
      <c r="A2" s="20" t="s">
        <v>227</v>
      </c>
      <c r="B2" s="20" t="s">
        <v>228</v>
      </c>
      <c r="C2" s="20" t="s">
        <v>47</v>
      </c>
    </row>
    <row r="3" spans="1:3" ht="18" customHeight="1" x14ac:dyDescent="0.25">
      <c r="A3" s="93" t="s">
        <v>229</v>
      </c>
      <c r="B3" s="94" t="s">
        <v>230</v>
      </c>
      <c r="C3" s="95"/>
    </row>
    <row r="4" spans="1:3" ht="18" customHeight="1" x14ac:dyDescent="0.25">
      <c r="A4" s="93" t="s">
        <v>231</v>
      </c>
      <c r="B4" s="96" t="s">
        <v>232</v>
      </c>
      <c r="C4" s="95"/>
    </row>
    <row r="5" spans="1:3" ht="18" customHeight="1" x14ac:dyDescent="0.25">
      <c r="A5" s="93" t="s">
        <v>233</v>
      </c>
      <c r="B5" s="96" t="s">
        <v>234</v>
      </c>
      <c r="C5" s="95" t="s">
        <v>235</v>
      </c>
    </row>
    <row r="6" spans="1:3" ht="18" customHeight="1" x14ac:dyDescent="0.25">
      <c r="A6" s="93" t="s">
        <v>236</v>
      </c>
      <c r="B6" s="96" t="s">
        <v>237</v>
      </c>
      <c r="C6" s="95" t="s">
        <v>238</v>
      </c>
    </row>
    <row r="7" spans="1:3" ht="18" customHeight="1" x14ac:dyDescent="0.25">
      <c r="A7" s="93" t="s">
        <v>239</v>
      </c>
      <c r="B7" s="96" t="s">
        <v>240</v>
      </c>
      <c r="C7" s="95" t="s">
        <v>241</v>
      </c>
    </row>
    <row r="8" spans="1:3" ht="18" customHeight="1" x14ac:dyDescent="0.25">
      <c r="A8" s="93" t="s">
        <v>242</v>
      </c>
      <c r="B8" s="96" t="s">
        <v>243</v>
      </c>
      <c r="C8" s="95" t="s">
        <v>244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Wayne Varnado</cp:lastModifiedBy>
  <cp:revision>0</cp:revision>
  <dcterms:created xsi:type="dcterms:W3CDTF">2026-09-19T17:31:34Z</dcterms:created>
  <dcterms:modified xsi:type="dcterms:W3CDTF">2026-09-19T17:36:06Z</dcterms:modified>
  <dc:language>en-US</dc:language>
</cp:coreProperties>
</file>