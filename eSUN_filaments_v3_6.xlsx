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2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999999"/>
      </patternFill>
    </fill>
    <fill>
      <patternFill patternType="solid">
        <fgColor rgb="FFEEF3FB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373838"/>
      </patternFill>
    </fill>
    <fill>
      <patternFill patternType="solid">
        <fgColor rgb="FFE7E7E7"/>
      </patternFill>
    </fill>
    <fill>
      <patternFill patternType="solid">
        <fgColor rgb="FFC2BAA7"/>
      </patternFill>
    </fill>
    <fill>
      <patternFill patternType="solid">
        <fgColor rgb="FFF7F6F4"/>
      </patternFill>
    </fill>
    <fill>
      <patternFill patternType="solid">
        <fgColor rgb="FFE1E4E5"/>
      </patternFill>
    </fill>
    <fill>
      <patternFill patternType="solid">
        <fgColor rgb="FFFBFBFB"/>
      </patternFill>
    </fill>
    <fill>
      <patternFill patternType="solid">
        <fgColor rgb="FFA1DA7C"/>
      </patternFill>
    </fill>
    <fill>
      <patternFill patternType="solid">
        <fgColor rgb="FFF3FAE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11" fillId="2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2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eSUN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COUNTA(Catalog!C3:C1000)-COUNTIF(Catalog!T3:T1000,"~[DISCONTINUED~]*")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ABS+HS</t>
        </is>
      </c>
      <c r="B27" s="20">
        <f>COUNTIF(Catalog!A3:A700,"ABS+HS")</f>
        <v/>
      </c>
    </row>
    <row r="28" ht="18" customHeight="1">
      <c r="A28" s="19" t="inlineStr">
        <is>
          <t>ABS-CF</t>
        </is>
      </c>
      <c r="B28" s="20">
        <f>COUNTIF(Catalog!A3:A700,"ABS-CF")</f>
        <v/>
      </c>
    </row>
    <row r="29" ht="18" customHeight="1">
      <c r="A29" s="19" t="inlineStr">
        <is>
          <t>ABS-ESD</t>
        </is>
      </c>
      <c r="B29" s="20">
        <f>COUNTIF(Catalog!A3:A700,"ABS-ESD")</f>
        <v/>
      </c>
    </row>
    <row r="30" ht="18" customHeight="1">
      <c r="A30" s="19" t="inlineStr">
        <is>
          <t>ASA</t>
        </is>
      </c>
      <c r="B30" s="20">
        <f>COUNTIF(Catalog!A3:A700,"ASA")</f>
        <v/>
      </c>
    </row>
    <row r="31" ht="18" customHeight="1">
      <c r="A31" s="19" t="inlineStr">
        <is>
          <t>PA</t>
        </is>
      </c>
      <c r="B31" s="20">
        <f>COUNTIF(Catalog!A3:A700,"PA")</f>
        <v/>
      </c>
    </row>
    <row r="32" ht="18" customHeight="1">
      <c r="A32" s="19" t="inlineStr">
        <is>
          <t>PA-CF</t>
        </is>
      </c>
      <c r="B32" s="20">
        <f>COUNTIF(Catalog!A3:A700,"PA-CF")</f>
        <v/>
      </c>
    </row>
    <row r="33" ht="18" customHeight="1">
      <c r="A33" s="19" t="inlineStr">
        <is>
          <t>PA12-CF</t>
        </is>
      </c>
      <c r="B33" s="20">
        <f>COUNTIF(Catalog!A3:A700,"PA12-CF")</f>
        <v/>
      </c>
    </row>
    <row r="34" ht="18" customHeight="1">
      <c r="A34" s="19" t="inlineStr">
        <is>
          <t>PC</t>
        </is>
      </c>
      <c r="B34" s="20">
        <f>COUNTIF(Catalog!A3:A700,"PC")</f>
        <v/>
      </c>
    </row>
    <row r="35" ht="18" customHeight="1">
      <c r="A35" s="19" t="inlineStr">
        <is>
          <t>PET</t>
        </is>
      </c>
      <c r="B35" s="20">
        <f>COUNTIF(Catalog!A3:A700,"PET")</f>
        <v/>
      </c>
    </row>
    <row r="36" ht="18" customHeight="1">
      <c r="A36" s="19" t="inlineStr">
        <is>
          <t>PETG</t>
        </is>
      </c>
      <c r="B36" s="20">
        <f>COUNTIF(Catalog!A3:A700,"PETG")</f>
        <v/>
      </c>
    </row>
    <row r="37" ht="18" customHeight="1">
      <c r="A37" s="19" t="inlineStr">
        <is>
          <t>PETG+HS</t>
        </is>
      </c>
      <c r="B37" s="20">
        <f>COUNTIF(Catalog!A3:A700,"PETG+HS")</f>
        <v/>
      </c>
    </row>
    <row r="38" ht="18" customHeight="1">
      <c r="A38" s="19" t="inlineStr">
        <is>
          <t>PETG-Basic</t>
        </is>
      </c>
      <c r="B38" s="20">
        <f>COUNTIF(Catalog!A3:A700,"PETG-Basic")</f>
        <v/>
      </c>
    </row>
    <row r="39" ht="18" customHeight="1">
      <c r="A39" s="19" t="inlineStr">
        <is>
          <t>PETG-CF</t>
        </is>
      </c>
      <c r="B39" s="20">
        <f>COUNTIF(Catalog!A3:A700,"PETG-CF")</f>
        <v/>
      </c>
    </row>
    <row r="40" ht="18" customHeight="1">
      <c r="A40" s="19" t="inlineStr">
        <is>
          <t>PETG-ESD</t>
        </is>
      </c>
      <c r="B40" s="20">
        <f>COUNTIF(Catalog!A3:A700,"PETG-ESD")</f>
        <v/>
      </c>
    </row>
    <row r="41" ht="18" customHeight="1">
      <c r="A41" s="19" t="inlineStr">
        <is>
          <t>PLA+</t>
        </is>
      </c>
      <c r="B41" s="20">
        <f>COUNTIF(Catalog!A3:A700,"PLA+")</f>
        <v/>
      </c>
    </row>
    <row r="42" ht="18" customHeight="1">
      <c r="A42" s="19" t="inlineStr">
        <is>
          <t>PLA+HS</t>
        </is>
      </c>
      <c r="B42" s="20">
        <f>COUNTIF(Catalog!A3:A700,"PLA+HS")</f>
        <v/>
      </c>
    </row>
    <row r="43" ht="18" customHeight="1">
      <c r="A43" s="19" t="inlineStr">
        <is>
          <t>PLA-Basic</t>
        </is>
      </c>
      <c r="B43" s="20">
        <f>COUNTIF(Catalog!A3:A700,"PLA-Basic")</f>
        <v/>
      </c>
    </row>
    <row r="44" ht="18" customHeight="1">
      <c r="A44" s="19" t="inlineStr">
        <is>
          <t>PLA-CF</t>
        </is>
      </c>
      <c r="B44" s="20">
        <f>COUNTIF(Catalog!A3:A700,"PLA-CF")</f>
        <v/>
      </c>
    </row>
    <row r="45" ht="18" customHeight="1">
      <c r="A45" s="19" t="inlineStr">
        <is>
          <t>PLA-HF</t>
        </is>
      </c>
      <c r="B45" s="20">
        <f>COUNTIF(Catalog!A3:A700,"PLA-HF")</f>
        <v/>
      </c>
    </row>
    <row r="46" ht="18" customHeight="1">
      <c r="A46" s="19" t="inlineStr">
        <is>
          <t>PLA-LW</t>
        </is>
      </c>
      <c r="B46" s="20">
        <f>COUNTIF(Catalog!A3:A700,"PLA-LW")</f>
        <v/>
      </c>
    </row>
    <row r="47" ht="18" customHeight="1">
      <c r="A47" s="19" t="inlineStr">
        <is>
          <t>PLA-Lite</t>
        </is>
      </c>
      <c r="B47" s="20">
        <f>COUNTIF(Catalog!A3:A700,"PLA-Lite")</f>
        <v/>
      </c>
    </row>
    <row r="48" ht="18" customHeight="1">
      <c r="A48" s="19" t="inlineStr">
        <is>
          <t>PLA-Marble</t>
        </is>
      </c>
      <c r="B48" s="20">
        <f>COUNTIF(Catalog!A3:A700,"PLA-Marble")</f>
        <v/>
      </c>
    </row>
    <row r="49" ht="18" customHeight="1">
      <c r="A49" s="19" t="inlineStr">
        <is>
          <t>PLA-Matte</t>
        </is>
      </c>
      <c r="B49" s="20">
        <f>COUNTIF(Catalog!A3:A700,"PLA-Matte")</f>
        <v/>
      </c>
    </row>
    <row r="50" ht="18" customHeight="1">
      <c r="A50" s="19" t="inlineStr">
        <is>
          <t>PLA-Silk</t>
        </is>
      </c>
      <c r="B50" s="20">
        <f>COUNTIF(Catalog!A3:A700,"PLA-Silk")</f>
        <v/>
      </c>
    </row>
    <row r="51" ht="18" customHeight="1">
      <c r="A51" s="19" t="inlineStr">
        <is>
          <t>PLA-Wood</t>
        </is>
      </c>
      <c r="B51" s="20">
        <f>COUNTIF(Catalog!A3:A700,"PLA-Wood")</f>
        <v/>
      </c>
    </row>
    <row r="52" ht="18" customHeight="1">
      <c r="A52" s="19" t="inlineStr">
        <is>
          <t>TPU</t>
        </is>
      </c>
      <c r="B52" s="20">
        <f>COUNTIF(Catalog!A3:A700,"TPU")</f>
        <v/>
      </c>
    </row>
    <row r="53" ht="18" customHeight="1">
      <c r="A53" s="19" t="inlineStr">
        <is>
          <t>TPU-LW</t>
        </is>
      </c>
      <c r="B53" s="20">
        <f>COUNTIF(Catalog!A3:A700,"TPU-LW")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1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eSUN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E-ABSP-01</t>
        </is>
      </c>
      <c r="C3" s="23" t="inlineStr">
        <is>
          <t>eSUN ABS+</t>
        </is>
      </c>
      <c r="D3" s="23" t="inlineStr">
        <is>
          <t>Black</t>
        </is>
      </c>
      <c r="E3" s="24" t="inlineStr"/>
      <c r="F3" s="25" t="inlineStr">
        <is>
          <t>#999999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220–260°C</t>
        </is>
      </c>
      <c r="L3" s="16" t="inlineStr">
        <is>
          <t>90–110°C</t>
        </is>
      </c>
      <c r="M3" s="16" t="inlineStr">
        <is>
          <t>70°C / 4h</t>
        </is>
      </c>
      <c r="N3" s="16" t="inlineStr">
        <is>
          <t>✓</t>
        </is>
      </c>
      <c r="O3" s="16" t="inlineStr">
        <is>
          <t>✓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A</t>
        </is>
      </c>
      <c r="S3" s="23" t="inlineStr">
        <is>
          <t>Manufacturer-confirmed color list (esun3dstore.com official store, live product page)</t>
        </is>
      </c>
      <c r="T3" s="23" t="inlineStr">
        <is>
          <t>Deep-dive follow-up 2026-07-19</t>
        </is>
      </c>
    </row>
    <row r="4" ht="20" customHeight="1">
      <c r="A4" s="26" t="inlineStr">
        <is>
          <t>ABS</t>
        </is>
      </c>
      <c r="B4" s="26" t="inlineStr">
        <is>
          <t>E-ABSP-08</t>
        </is>
      </c>
      <c r="C4" s="26" t="inlineStr">
        <is>
          <t>eSUN ABS+</t>
        </is>
      </c>
      <c r="D4" s="26" t="inlineStr">
        <is>
          <t>Blue</t>
        </is>
      </c>
      <c r="E4" s="24" t="inlineStr"/>
      <c r="F4" s="25" t="inlineStr">
        <is>
          <t>#999999</t>
        </is>
      </c>
      <c r="G4" s="27" t="inlineStr">
        <is>
          <t>1.75mm</t>
        </is>
      </c>
      <c r="H4" s="27" t="inlineStr">
        <is>
          <t>±0.03mm</t>
        </is>
      </c>
      <c r="I4" s="27" t="inlineStr">
        <is>
          <t>Plastic</t>
        </is>
      </c>
      <c r="J4" s="27" t="inlineStr">
        <is>
          <t>No</t>
        </is>
      </c>
      <c r="K4" s="27" t="inlineStr">
        <is>
          <t>220–260°C</t>
        </is>
      </c>
      <c r="L4" s="27" t="inlineStr">
        <is>
          <t>90–110°C</t>
        </is>
      </c>
      <c r="M4" s="27" t="inlineStr">
        <is>
          <t>70°C / 4h</t>
        </is>
      </c>
      <c r="N4" s="27" t="inlineStr">
        <is>
          <t>✓</t>
        </is>
      </c>
      <c r="O4" s="27" t="inlineStr">
        <is>
          <t>✓</t>
        </is>
      </c>
      <c r="P4" s="27" t="inlineStr">
        <is>
          <t>✓</t>
        </is>
      </c>
      <c r="Q4" s="27" t="inlineStr">
        <is>
          <t>✓</t>
        </is>
      </c>
      <c r="R4" s="27" t="inlineStr">
        <is>
          <t>A</t>
        </is>
      </c>
      <c r="S4" s="26" t="inlineStr">
        <is>
          <t>Manufacturer-confirmed color list (esun3dstore.com official store, live product page)</t>
        </is>
      </c>
      <c r="T4" s="26" t="inlineStr">
        <is>
          <t>Deep-dive follow-up 2026-07-19</t>
        </is>
      </c>
    </row>
    <row r="5" ht="20" customHeight="1">
      <c r="A5" s="23" t="inlineStr">
        <is>
          <t>ABS</t>
        </is>
      </c>
      <c r="B5" s="23" t="inlineStr">
        <is>
          <t>E-ABSP-02</t>
        </is>
      </c>
      <c r="C5" s="23" t="inlineStr">
        <is>
          <t>eSUN ABS+</t>
        </is>
      </c>
      <c r="D5" s="23" t="inlineStr">
        <is>
          <t>Cold White</t>
        </is>
      </c>
      <c r="E5" s="24" t="inlineStr"/>
      <c r="F5" s="25" t="inlineStr">
        <is>
          <t>#999999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220–260°C</t>
        </is>
      </c>
      <c r="L5" s="16" t="inlineStr">
        <is>
          <t>90–110°C</t>
        </is>
      </c>
      <c r="M5" s="16" t="inlineStr">
        <is>
          <t>70°C / 4h</t>
        </is>
      </c>
      <c r="N5" s="16" t="inlineStr">
        <is>
          <t>✓</t>
        </is>
      </c>
      <c r="O5" s="16" t="inlineStr">
        <is>
          <t>✓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A</t>
        </is>
      </c>
      <c r="S5" s="23" t="inlineStr">
        <is>
          <t>Manufacturer-confirmed color list (esun3dstore.com official store, live product page)</t>
        </is>
      </c>
      <c r="T5" s="23" t="inlineStr">
        <is>
          <t>Deep-dive follow-up 2026-07-19</t>
        </is>
      </c>
    </row>
    <row r="6" ht="20" customHeight="1">
      <c r="A6" s="26" t="inlineStr">
        <is>
          <t>ABS</t>
        </is>
      </c>
      <c r="B6" s="26" t="inlineStr">
        <is>
          <t>E-ABSP-04</t>
        </is>
      </c>
      <c r="C6" s="26" t="inlineStr">
        <is>
          <t>eSUN ABS+</t>
        </is>
      </c>
      <c r="D6" s="26" t="inlineStr">
        <is>
          <t>Fire Engine Red</t>
        </is>
      </c>
      <c r="E6" s="24" t="inlineStr"/>
      <c r="F6" s="25" t="inlineStr">
        <is>
          <t>#999999</t>
        </is>
      </c>
      <c r="G6" s="27" t="inlineStr">
        <is>
          <t>1.75mm</t>
        </is>
      </c>
      <c r="H6" s="27" t="inlineStr">
        <is>
          <t>±0.03mm</t>
        </is>
      </c>
      <c r="I6" s="27" t="inlineStr">
        <is>
          <t>Plastic</t>
        </is>
      </c>
      <c r="J6" s="27" t="inlineStr">
        <is>
          <t>No</t>
        </is>
      </c>
      <c r="K6" s="27" t="inlineStr">
        <is>
          <t>220–260°C</t>
        </is>
      </c>
      <c r="L6" s="27" t="inlineStr">
        <is>
          <t>90–110°C</t>
        </is>
      </c>
      <c r="M6" s="27" t="inlineStr">
        <is>
          <t>70°C / 4h</t>
        </is>
      </c>
      <c r="N6" s="27" t="inlineStr">
        <is>
          <t>✓</t>
        </is>
      </c>
      <c r="O6" s="27" t="inlineStr">
        <is>
          <t>✓</t>
        </is>
      </c>
      <c r="P6" s="27" t="inlineStr">
        <is>
          <t>✓</t>
        </is>
      </c>
      <c r="Q6" s="27" t="inlineStr">
        <is>
          <t>✓</t>
        </is>
      </c>
      <c r="R6" s="27" t="inlineStr">
        <is>
          <t>A</t>
        </is>
      </c>
      <c r="S6" s="26" t="inlineStr">
        <is>
          <t>Manufacturer-confirmed color list (esun3dstore.com official store, live product page)</t>
        </is>
      </c>
      <c r="T6" s="26" t="inlineStr">
        <is>
          <t>Deep-dive follow-up 2026-07-19</t>
        </is>
      </c>
    </row>
    <row r="7" ht="20" customHeight="1">
      <c r="A7" s="23" t="inlineStr">
        <is>
          <t>ABS</t>
        </is>
      </c>
      <c r="B7" s="23" t="inlineStr">
        <is>
          <t>E-ABSP-10</t>
        </is>
      </c>
      <c r="C7" s="23" t="inlineStr">
        <is>
          <t>eSUN ABS+</t>
        </is>
      </c>
      <c r="D7" s="23" t="inlineStr">
        <is>
          <t>Green</t>
        </is>
      </c>
      <c r="E7" s="24" t="inlineStr"/>
      <c r="F7" s="25" t="inlineStr">
        <is>
          <t>#999999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220–260°C</t>
        </is>
      </c>
      <c r="L7" s="16" t="inlineStr">
        <is>
          <t>90–110°C</t>
        </is>
      </c>
      <c r="M7" s="16" t="inlineStr">
        <is>
          <t>70°C / 4h</t>
        </is>
      </c>
      <c r="N7" s="16" t="inlineStr">
        <is>
          <t>✓</t>
        </is>
      </c>
      <c r="O7" s="16" t="inlineStr">
        <is>
          <t>✓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A</t>
        </is>
      </c>
      <c r="S7" s="23" t="inlineStr">
        <is>
          <t>Manufacturer-confirmed color list (esun3dstore.com official store, live product page)</t>
        </is>
      </c>
      <c r="T7" s="23" t="inlineStr">
        <is>
          <t>Deep-dive follow-up 2026-07-19</t>
        </is>
      </c>
    </row>
    <row r="8" ht="20" customHeight="1">
      <c r="A8" s="26" t="inlineStr">
        <is>
          <t>ABS</t>
        </is>
      </c>
      <c r="B8" s="26" t="inlineStr">
        <is>
          <t>E-ABSP-03</t>
        </is>
      </c>
      <c r="C8" s="26" t="inlineStr">
        <is>
          <t>eSUN ABS+</t>
        </is>
      </c>
      <c r="D8" s="26" t="inlineStr">
        <is>
          <t>Grey</t>
        </is>
      </c>
      <c r="E8" s="24" t="inlineStr"/>
      <c r="F8" s="25" t="inlineStr">
        <is>
          <t>#999999</t>
        </is>
      </c>
      <c r="G8" s="27" t="inlineStr">
        <is>
          <t>1.75mm</t>
        </is>
      </c>
      <c r="H8" s="27" t="inlineStr">
        <is>
          <t>±0.03mm</t>
        </is>
      </c>
      <c r="I8" s="27" t="inlineStr">
        <is>
          <t>Plastic</t>
        </is>
      </c>
      <c r="J8" s="27" t="inlineStr">
        <is>
          <t>No</t>
        </is>
      </c>
      <c r="K8" s="27" t="inlineStr">
        <is>
          <t>220–260°C</t>
        </is>
      </c>
      <c r="L8" s="27" t="inlineStr">
        <is>
          <t>90–110°C</t>
        </is>
      </c>
      <c r="M8" s="27" t="inlineStr">
        <is>
          <t>70°C / 4h</t>
        </is>
      </c>
      <c r="N8" s="27" t="inlineStr">
        <is>
          <t>✓</t>
        </is>
      </c>
      <c r="O8" s="27" t="inlineStr">
        <is>
          <t>✓</t>
        </is>
      </c>
      <c r="P8" s="27" t="inlineStr">
        <is>
          <t>✓</t>
        </is>
      </c>
      <c r="Q8" s="27" t="inlineStr">
        <is>
          <t>✓</t>
        </is>
      </c>
      <c r="R8" s="27" t="inlineStr">
        <is>
          <t>A</t>
        </is>
      </c>
      <c r="S8" s="26" t="inlineStr">
        <is>
          <t>Manufacturer-confirmed color list (esun3dstore.com official store, live product page)</t>
        </is>
      </c>
      <c r="T8" s="26" t="inlineStr">
        <is>
          <t>Deep-dive follow-up 2026-07-19</t>
        </is>
      </c>
    </row>
    <row r="9" ht="20" customHeight="1">
      <c r="A9" s="23" t="inlineStr">
        <is>
          <t>ABS</t>
        </is>
      </c>
      <c r="B9" s="23" t="inlineStr">
        <is>
          <t>E-ABSP-06</t>
        </is>
      </c>
      <c r="C9" s="23" t="inlineStr">
        <is>
          <t>eSUN ABS+</t>
        </is>
      </c>
      <c r="D9" s="23" t="inlineStr">
        <is>
          <t>Natural</t>
        </is>
      </c>
      <c r="E9" s="24" t="inlineStr"/>
      <c r="F9" s="25" t="inlineStr">
        <is>
          <t>#999999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220–260°C</t>
        </is>
      </c>
      <c r="L9" s="16" t="inlineStr">
        <is>
          <t>90–110°C</t>
        </is>
      </c>
      <c r="M9" s="16" t="inlineStr">
        <is>
          <t>70°C / 4h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A</t>
        </is>
      </c>
      <c r="S9" s="23" t="inlineStr">
        <is>
          <t>Manufacturer-confirmed color list (esun3dstore.com official store, live product page)</t>
        </is>
      </c>
      <c r="T9" s="23" t="inlineStr">
        <is>
          <t>Deep-dive follow-up 2026-07-19</t>
        </is>
      </c>
    </row>
    <row r="10" ht="20" customHeight="1">
      <c r="A10" s="26" t="inlineStr">
        <is>
          <t>ABS</t>
        </is>
      </c>
      <c r="B10" s="26" t="inlineStr">
        <is>
          <t>E-ABSP-09</t>
        </is>
      </c>
      <c r="C10" s="26" t="inlineStr">
        <is>
          <t>eSUN ABS+</t>
        </is>
      </c>
      <c r="D10" s="26" t="inlineStr">
        <is>
          <t>Orange</t>
        </is>
      </c>
      <c r="E10" s="24" t="inlineStr"/>
      <c r="F10" s="25" t="inlineStr">
        <is>
          <t>#999999</t>
        </is>
      </c>
      <c r="G10" s="27" t="inlineStr">
        <is>
          <t>1.75mm</t>
        </is>
      </c>
      <c r="H10" s="27" t="inlineStr">
        <is>
          <t>±0.03mm</t>
        </is>
      </c>
      <c r="I10" s="27" t="inlineStr">
        <is>
          <t>Plastic</t>
        </is>
      </c>
      <c r="J10" s="27" t="inlineStr">
        <is>
          <t>No</t>
        </is>
      </c>
      <c r="K10" s="27" t="inlineStr">
        <is>
          <t>220–260°C</t>
        </is>
      </c>
      <c r="L10" s="27" t="inlineStr">
        <is>
          <t>90–110°C</t>
        </is>
      </c>
      <c r="M10" s="27" t="inlineStr">
        <is>
          <t>70°C / 4h</t>
        </is>
      </c>
      <c r="N10" s="27" t="inlineStr">
        <is>
          <t>✓</t>
        </is>
      </c>
      <c r="O10" s="27" t="inlineStr">
        <is>
          <t>✓</t>
        </is>
      </c>
      <c r="P10" s="27" t="inlineStr">
        <is>
          <t>✓</t>
        </is>
      </c>
      <c r="Q10" s="27" t="inlineStr">
        <is>
          <t>✓</t>
        </is>
      </c>
      <c r="R10" s="27" t="inlineStr">
        <is>
          <t>A</t>
        </is>
      </c>
      <c r="S10" s="26" t="inlineStr">
        <is>
          <t>Manufacturer-confirmed color list (esun3dstore.com official store, live product page)</t>
        </is>
      </c>
      <c r="T10" s="26" t="inlineStr">
        <is>
          <t>Deep-dive follow-up 2026-07-19</t>
        </is>
      </c>
    </row>
    <row r="11" ht="20" customHeight="1">
      <c r="A11" s="23" t="inlineStr">
        <is>
          <t>ABS</t>
        </is>
      </c>
      <c r="B11" s="23" t="inlineStr">
        <is>
          <t>E-ABSP-11</t>
        </is>
      </c>
      <c r="C11" s="23" t="inlineStr">
        <is>
          <t>eSUN ABS+</t>
        </is>
      </c>
      <c r="D11" s="23" t="inlineStr">
        <is>
          <t>Red</t>
        </is>
      </c>
      <c r="E11" s="24" t="inlineStr"/>
      <c r="F11" s="25" t="inlineStr">
        <is>
          <t>#999999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220–260°C</t>
        </is>
      </c>
      <c r="L11" s="16" t="inlineStr">
        <is>
          <t>90–110°C</t>
        </is>
      </c>
      <c r="M11" s="16" t="inlineStr">
        <is>
          <t>70°C / 4h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A</t>
        </is>
      </c>
      <c r="S11" s="23" t="inlineStr">
        <is>
          <t>Manufacturer-confirmed color list (esun3dstore.com official store, live product page)</t>
        </is>
      </c>
      <c r="T11" s="23" t="inlineStr">
        <is>
          <t>Deep-dive follow-up 2026-07-19</t>
        </is>
      </c>
    </row>
    <row r="12" ht="20" customHeight="1">
      <c r="A12" s="26" t="inlineStr">
        <is>
          <t>ABS</t>
        </is>
      </c>
      <c r="B12" s="26" t="inlineStr">
        <is>
          <t>E-ABSP-05</t>
        </is>
      </c>
      <c r="C12" s="26" t="inlineStr">
        <is>
          <t>eSUN ABS+</t>
        </is>
      </c>
      <c r="D12" s="26" t="inlineStr">
        <is>
          <t>Silver</t>
        </is>
      </c>
      <c r="E12" s="24" t="inlineStr"/>
      <c r="F12" s="25" t="inlineStr">
        <is>
          <t>#999999</t>
        </is>
      </c>
      <c r="G12" s="27" t="inlineStr">
        <is>
          <t>1.75mm</t>
        </is>
      </c>
      <c r="H12" s="27" t="inlineStr">
        <is>
          <t>±0.03mm</t>
        </is>
      </c>
      <c r="I12" s="27" t="inlineStr">
        <is>
          <t>Plastic</t>
        </is>
      </c>
      <c r="J12" s="27" t="inlineStr">
        <is>
          <t>No</t>
        </is>
      </c>
      <c r="K12" s="27" t="inlineStr">
        <is>
          <t>220–260°C</t>
        </is>
      </c>
      <c r="L12" s="27" t="inlineStr">
        <is>
          <t>90–110°C</t>
        </is>
      </c>
      <c r="M12" s="27" t="inlineStr">
        <is>
          <t>70°C / 4h</t>
        </is>
      </c>
      <c r="N12" s="27" t="inlineStr">
        <is>
          <t>✓</t>
        </is>
      </c>
      <c r="O12" s="27" t="inlineStr">
        <is>
          <t>✓</t>
        </is>
      </c>
      <c r="P12" s="27" t="inlineStr">
        <is>
          <t>✓</t>
        </is>
      </c>
      <c r="Q12" s="27" t="inlineStr">
        <is>
          <t>✓</t>
        </is>
      </c>
      <c r="R12" s="27" t="inlineStr">
        <is>
          <t>A</t>
        </is>
      </c>
      <c r="S12" s="26" t="inlineStr">
        <is>
          <t>Manufacturer-confirmed color list (esun3dstore.com official store, live product page)</t>
        </is>
      </c>
      <c r="T12" s="26" t="inlineStr">
        <is>
          <t>Deep-dive follow-up 2026-07-19</t>
        </is>
      </c>
    </row>
    <row r="13" ht="20" customHeight="1">
      <c r="A13" s="23" t="inlineStr">
        <is>
          <t>ABS</t>
        </is>
      </c>
      <c r="B13" s="23" t="inlineStr">
        <is>
          <t>E-ABSP-07</t>
        </is>
      </c>
      <c r="C13" s="23" t="inlineStr">
        <is>
          <t>eSUN ABS+</t>
        </is>
      </c>
      <c r="D13" s="23" t="inlineStr">
        <is>
          <t>Yellow</t>
        </is>
      </c>
      <c r="E13" s="24" t="inlineStr"/>
      <c r="F13" s="25" t="inlineStr">
        <is>
          <t>#999999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220–260°C</t>
        </is>
      </c>
      <c r="L13" s="16" t="inlineStr">
        <is>
          <t>90–110°C</t>
        </is>
      </c>
      <c r="M13" s="16" t="inlineStr">
        <is>
          <t>70°C / 4h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Manufacturer-confirmed color list (esun3dstore.com official store, live product page)</t>
        </is>
      </c>
      <c r="T13" s="23" t="inlineStr">
        <is>
          <t>Deep-dive follow-up 2026-07-19</t>
        </is>
      </c>
    </row>
    <row r="14" ht="20" customHeight="1">
      <c r="A14" s="26" t="inlineStr">
        <is>
          <t>ABS+HS</t>
        </is>
      </c>
      <c r="B14" s="26" t="inlineStr">
        <is>
          <t>E-PH-06</t>
        </is>
      </c>
      <c r="C14" s="26" t="inlineStr">
        <is>
          <t>eSUN ABS+HS (High Speed)</t>
        </is>
      </c>
      <c r="D14" s="26" t="inlineStr">
        <is>
          <t>Black</t>
        </is>
      </c>
      <c r="E14" s="28" t="inlineStr"/>
      <c r="F14" s="29" t="inlineStr">
        <is>
          <t>#0D0D0D</t>
        </is>
      </c>
      <c r="G14" s="27" t="inlineStr">
        <is>
          <t>1.75mm</t>
        </is>
      </c>
      <c r="H14" s="27" t="inlineStr">
        <is>
          <t>±0.03mm</t>
        </is>
      </c>
      <c r="I14" s="27" t="inlineStr">
        <is>
          <t>Plastic</t>
        </is>
      </c>
      <c r="J14" s="27" t="inlineStr">
        <is>
          <t>No</t>
        </is>
      </c>
      <c r="K14" s="27" t="inlineStr">
        <is>
          <t>230–260°C</t>
        </is>
      </c>
      <c r="L14" s="27" t="inlineStr">
        <is>
          <t>90–110°C</t>
        </is>
      </c>
      <c r="M14" s="27" t="inlineStr">
        <is>
          <t>70°C / 4h</t>
        </is>
      </c>
      <c r="N14" s="27" t="inlineStr">
        <is>
          <t>✓</t>
        </is>
      </c>
      <c r="O14" s="27" t="inlineStr">
        <is>
          <t>✓</t>
        </is>
      </c>
      <c r="P14" s="27" t="inlineStr">
        <is>
          <t>✓</t>
        </is>
      </c>
      <c r="Q14" s="27" t="inlineStr">
        <is>
          <t>✓</t>
        </is>
      </c>
      <c r="R14" s="27" t="inlineStr">
        <is>
          <t>C</t>
        </is>
      </c>
      <c r="S14" s="26" t="inlineStr">
        <is>
          <t>Line existence confirmed via official eSUN Product Manual; specs estimated from the closest sibling material, not individually TDS-confirmed</t>
        </is>
      </c>
      <c r="T14" s="26" t="inlineStr">
        <is>
          <t>PLACEHOLDER — line confirmed to exist in official eSUN Product Manual (esun3d.com/uploads/eSUN-3D-Product-Manual) but color list not verified this pass</t>
        </is>
      </c>
    </row>
    <row r="15" ht="20" customHeight="1">
      <c r="A15" s="23" t="inlineStr">
        <is>
          <t>ABS-CF</t>
        </is>
      </c>
      <c r="B15" s="23" t="inlineStr">
        <is>
          <t>E-PH-11</t>
        </is>
      </c>
      <c r="C15" s="23" t="inlineStr">
        <is>
          <t>eSUN ABS-CF</t>
        </is>
      </c>
      <c r="D15" s="23" t="inlineStr">
        <is>
          <t>Black</t>
        </is>
      </c>
      <c r="E15" s="28" t="inlineStr"/>
      <c r="F15" s="29" t="inlineStr">
        <is>
          <t>#0D0D0D</t>
        </is>
      </c>
      <c r="G15" s="16" t="inlineStr">
        <is>
          <t>1.75mm</t>
        </is>
      </c>
      <c r="H15" s="16" t="inlineStr">
        <is>
          <t>±0.05mm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240–260°C</t>
        </is>
      </c>
      <c r="L15" s="16" t="inlineStr">
        <is>
          <t>90–110°C</t>
        </is>
      </c>
      <c r="M15" s="16" t="inlineStr">
        <is>
          <t>70°C / 4h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C</t>
        </is>
      </c>
      <c r="S15" s="23" t="inlineStr">
        <is>
          <t>Line existence confirmed via official eSUN Product Manual; specs estimated from the closest sibling material, not individually TDS-confirmed</t>
        </is>
      </c>
      <c r="T15" s="23" t="inlineStr">
        <is>
          <t>PLACEHOLDER — line confirmed to exist in official eSUN Product Manual (esun3d.com/uploads/eSUN-3D-Product-Manual) but color list not verified this pass</t>
        </is>
      </c>
    </row>
    <row r="16" ht="20" customHeight="1">
      <c r="A16" s="26" t="inlineStr">
        <is>
          <t>ABS-ESD</t>
        </is>
      </c>
      <c r="B16" s="26" t="inlineStr">
        <is>
          <t>E-PH-15</t>
        </is>
      </c>
      <c r="C16" s="26" t="inlineStr">
        <is>
          <t>eSUN ABS-ESD</t>
        </is>
      </c>
      <c r="D16" s="26" t="inlineStr">
        <is>
          <t>Black</t>
        </is>
      </c>
      <c r="E16" s="28" t="inlineStr"/>
      <c r="F16" s="29" t="inlineStr">
        <is>
          <t>#0D0D0D</t>
        </is>
      </c>
      <c r="G16" s="27" t="inlineStr">
        <is>
          <t>1.75mm</t>
        </is>
      </c>
      <c r="H16" s="27" t="inlineStr">
        <is>
          <t>±0.05mm</t>
        </is>
      </c>
      <c r="I16" s="27" t="inlineStr">
        <is>
          <t>Plastic</t>
        </is>
      </c>
      <c r="J16" s="27" t="inlineStr">
        <is>
          <t>No</t>
        </is>
      </c>
      <c r="K16" s="27" t="inlineStr">
        <is>
          <t>230–260°C</t>
        </is>
      </c>
      <c r="L16" s="27" t="inlineStr">
        <is>
          <t>90–110°C</t>
        </is>
      </c>
      <c r="M16" s="27" t="inlineStr">
        <is>
          <t>70°C / 4h</t>
        </is>
      </c>
      <c r="N16" s="27" t="inlineStr">
        <is>
          <t>✓</t>
        </is>
      </c>
      <c r="O16" s="27" t="inlineStr">
        <is>
          <t>✓</t>
        </is>
      </c>
      <c r="P16" s="27" t="inlineStr">
        <is>
          <t>✓</t>
        </is>
      </c>
      <c r="Q16" s="27" t="inlineStr">
        <is>
          <t>✓</t>
        </is>
      </c>
      <c r="R16" s="27" t="inlineStr">
        <is>
          <t>C</t>
        </is>
      </c>
      <c r="S16" s="26" t="inlineStr">
        <is>
          <t>Line existence confirmed via official eSUN Product Manual; specs estimated from the closest sibling material, not individually TDS-confirmed</t>
        </is>
      </c>
      <c r="T16" s="26" t="inlineStr">
        <is>
          <t>PLACEHOLDER — line confirmed to exist in official eSUN Product Manual (esun3d.com/uploads/eSUN-3D-Product-Manual) but color list not verified this pass</t>
        </is>
      </c>
    </row>
    <row r="17" ht="20" customHeight="1">
      <c r="A17" s="23" t="inlineStr">
        <is>
          <t>ASA</t>
        </is>
      </c>
      <c r="B17" s="23" t="inlineStr">
        <is>
          <t>E-ASAP-01</t>
        </is>
      </c>
      <c r="C17" s="23" t="inlineStr">
        <is>
          <t>eSUN ASA+</t>
        </is>
      </c>
      <c r="D17" s="23" t="inlineStr">
        <is>
          <t>Black</t>
        </is>
      </c>
      <c r="E17" s="24" t="inlineStr"/>
      <c r="F17" s="25" t="inlineStr">
        <is>
          <t>#999999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240–270°C</t>
        </is>
      </c>
      <c r="L17" s="16" t="inlineStr">
        <is>
          <t>90–110°C</t>
        </is>
      </c>
      <c r="M17" s="16" t="inlineStr">
        <is>
          <t>70°C / 4h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A</t>
        </is>
      </c>
      <c r="S17" s="23" t="inlineStr">
        <is>
          <t>Manufacturer-confirmed color list (esun3dstore.com official store, live product page)</t>
        </is>
      </c>
      <c r="T17" s="23" t="inlineStr">
        <is>
          <t>Deep-dive follow-up 2026-07-19</t>
        </is>
      </c>
    </row>
    <row r="18" ht="20" customHeight="1">
      <c r="A18" s="26" t="inlineStr">
        <is>
          <t>ASA</t>
        </is>
      </c>
      <c r="B18" s="26" t="inlineStr">
        <is>
          <t>E-ASAP-08</t>
        </is>
      </c>
      <c r="C18" s="26" t="inlineStr">
        <is>
          <t>eSUN ASA+</t>
        </is>
      </c>
      <c r="D18" s="26" t="inlineStr">
        <is>
          <t>Blue</t>
        </is>
      </c>
      <c r="E18" s="24" t="inlineStr"/>
      <c r="F18" s="25" t="inlineStr">
        <is>
          <t>#999999</t>
        </is>
      </c>
      <c r="G18" s="27" t="inlineStr">
        <is>
          <t>1.75mm</t>
        </is>
      </c>
      <c r="H18" s="27" t="inlineStr">
        <is>
          <t>±0.03mm</t>
        </is>
      </c>
      <c r="I18" s="27" t="inlineStr">
        <is>
          <t>Plastic</t>
        </is>
      </c>
      <c r="J18" s="27" t="inlineStr">
        <is>
          <t>No</t>
        </is>
      </c>
      <c r="K18" s="27" t="inlineStr">
        <is>
          <t>240–270°C</t>
        </is>
      </c>
      <c r="L18" s="27" t="inlineStr">
        <is>
          <t>90–110°C</t>
        </is>
      </c>
      <c r="M18" s="27" t="inlineStr">
        <is>
          <t>70°C / 4h</t>
        </is>
      </c>
      <c r="N18" s="27" t="inlineStr">
        <is>
          <t>✓</t>
        </is>
      </c>
      <c r="O18" s="27" t="inlineStr">
        <is>
          <t>✓</t>
        </is>
      </c>
      <c r="P18" s="27" t="inlineStr">
        <is>
          <t>✓</t>
        </is>
      </c>
      <c r="Q18" s="27" t="inlineStr">
        <is>
          <t>✓</t>
        </is>
      </c>
      <c r="R18" s="27" t="inlineStr">
        <is>
          <t>A</t>
        </is>
      </c>
      <c r="S18" s="26" t="inlineStr">
        <is>
          <t>Manufacturer-confirmed color list (esun3dstore.com official store, live product page)</t>
        </is>
      </c>
      <c r="T18" s="26" t="inlineStr">
        <is>
          <t>Deep-dive follow-up 2026-07-19</t>
        </is>
      </c>
    </row>
    <row r="19" ht="20" customHeight="1">
      <c r="A19" s="23" t="inlineStr">
        <is>
          <t>ASA</t>
        </is>
      </c>
      <c r="B19" s="23" t="inlineStr">
        <is>
          <t>E-ASAP-02</t>
        </is>
      </c>
      <c r="C19" s="23" t="inlineStr">
        <is>
          <t>eSUN ASA+</t>
        </is>
      </c>
      <c r="D19" s="23" t="inlineStr">
        <is>
          <t>Cold White</t>
        </is>
      </c>
      <c r="E19" s="24" t="inlineStr"/>
      <c r="F19" s="25" t="inlineStr">
        <is>
          <t>#999999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240–270°C</t>
        </is>
      </c>
      <c r="L19" s="16" t="inlineStr">
        <is>
          <t>90–110°C</t>
        </is>
      </c>
      <c r="M19" s="16" t="inlineStr">
        <is>
          <t>70°C / 4h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A</t>
        </is>
      </c>
      <c r="S19" s="23" t="inlineStr">
        <is>
          <t>Manufacturer-confirmed color list (esun3dstore.com official store, live product page)</t>
        </is>
      </c>
      <c r="T19" s="23" t="inlineStr">
        <is>
          <t>Deep-dive follow-up 2026-07-19</t>
        </is>
      </c>
    </row>
    <row r="20" ht="20" customHeight="1">
      <c r="A20" s="26" t="inlineStr">
        <is>
          <t>ASA</t>
        </is>
      </c>
      <c r="B20" s="26" t="inlineStr">
        <is>
          <t>E-ASAP-05</t>
        </is>
      </c>
      <c r="C20" s="26" t="inlineStr">
        <is>
          <t>eSUN ASA+</t>
        </is>
      </c>
      <c r="D20" s="26" t="inlineStr">
        <is>
          <t>Green</t>
        </is>
      </c>
      <c r="E20" s="24" t="inlineStr"/>
      <c r="F20" s="25" t="inlineStr">
        <is>
          <t>#999999</t>
        </is>
      </c>
      <c r="G20" s="27" t="inlineStr">
        <is>
          <t>1.75mm</t>
        </is>
      </c>
      <c r="H20" s="27" t="inlineStr">
        <is>
          <t>±0.03mm</t>
        </is>
      </c>
      <c r="I20" s="27" t="inlineStr">
        <is>
          <t>Plastic</t>
        </is>
      </c>
      <c r="J20" s="27" t="inlineStr">
        <is>
          <t>No</t>
        </is>
      </c>
      <c r="K20" s="27" t="inlineStr">
        <is>
          <t>240–270°C</t>
        </is>
      </c>
      <c r="L20" s="27" t="inlineStr">
        <is>
          <t>90–110°C</t>
        </is>
      </c>
      <c r="M20" s="27" t="inlineStr">
        <is>
          <t>70°C / 4h</t>
        </is>
      </c>
      <c r="N20" s="27" t="inlineStr">
        <is>
          <t>✓</t>
        </is>
      </c>
      <c r="O20" s="27" t="inlineStr">
        <is>
          <t>✓</t>
        </is>
      </c>
      <c r="P20" s="27" t="inlineStr">
        <is>
          <t>✓</t>
        </is>
      </c>
      <c r="Q20" s="27" t="inlineStr">
        <is>
          <t>✓</t>
        </is>
      </c>
      <c r="R20" s="27" t="inlineStr">
        <is>
          <t>A</t>
        </is>
      </c>
      <c r="S20" s="26" t="inlineStr">
        <is>
          <t>Manufacturer-confirmed color list (esun3dstore.com official store, live product page)</t>
        </is>
      </c>
      <c r="T20" s="26" t="inlineStr">
        <is>
          <t>Deep-dive follow-up 2026-07-19</t>
        </is>
      </c>
    </row>
    <row r="21" ht="20" customHeight="1">
      <c r="A21" s="23" t="inlineStr">
        <is>
          <t>ASA</t>
        </is>
      </c>
      <c r="B21" s="23" t="inlineStr">
        <is>
          <t>E-ASAP-04</t>
        </is>
      </c>
      <c r="C21" s="23" t="inlineStr">
        <is>
          <t>eSUN ASA+</t>
        </is>
      </c>
      <c r="D21" s="23" t="inlineStr">
        <is>
          <t>Grey</t>
        </is>
      </c>
      <c r="E21" s="24" t="inlineStr"/>
      <c r="F21" s="25" t="inlineStr">
        <is>
          <t>#999999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240–270°C</t>
        </is>
      </c>
      <c r="L21" s="16" t="inlineStr">
        <is>
          <t>90–110°C</t>
        </is>
      </c>
      <c r="M21" s="16" t="inlineStr">
        <is>
          <t>70°C / 4h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A</t>
        </is>
      </c>
      <c r="S21" s="23" t="inlineStr">
        <is>
          <t>Manufacturer-confirmed color list (esun3dstore.com official store, live product page)</t>
        </is>
      </c>
      <c r="T21" s="23" t="inlineStr">
        <is>
          <t>Deep-dive follow-up 2026-07-19</t>
        </is>
      </c>
    </row>
    <row r="22" ht="20" customHeight="1">
      <c r="A22" s="26" t="inlineStr">
        <is>
          <t>ASA</t>
        </is>
      </c>
      <c r="B22" s="26" t="inlineStr">
        <is>
          <t>E-ASAP-06</t>
        </is>
      </c>
      <c r="C22" s="26" t="inlineStr">
        <is>
          <t>eSUN ASA+</t>
        </is>
      </c>
      <c r="D22" s="26" t="inlineStr">
        <is>
          <t>Red</t>
        </is>
      </c>
      <c r="E22" s="24" t="inlineStr"/>
      <c r="F22" s="25" t="inlineStr">
        <is>
          <t>#999999</t>
        </is>
      </c>
      <c r="G22" s="27" t="inlineStr">
        <is>
          <t>1.75mm</t>
        </is>
      </c>
      <c r="H22" s="27" t="inlineStr">
        <is>
          <t>±0.03mm</t>
        </is>
      </c>
      <c r="I22" s="27" t="inlineStr">
        <is>
          <t>Plastic</t>
        </is>
      </c>
      <c r="J22" s="27" t="inlineStr">
        <is>
          <t>No</t>
        </is>
      </c>
      <c r="K22" s="27" t="inlineStr">
        <is>
          <t>240–270°C</t>
        </is>
      </c>
      <c r="L22" s="27" t="inlineStr">
        <is>
          <t>90–110°C</t>
        </is>
      </c>
      <c r="M22" s="27" t="inlineStr">
        <is>
          <t>70°C / 4h</t>
        </is>
      </c>
      <c r="N22" s="27" t="inlineStr">
        <is>
          <t>✓</t>
        </is>
      </c>
      <c r="O22" s="27" t="inlineStr">
        <is>
          <t>✓</t>
        </is>
      </c>
      <c r="P22" s="27" t="inlineStr">
        <is>
          <t>✓</t>
        </is>
      </c>
      <c r="Q22" s="27" t="inlineStr">
        <is>
          <t>✓</t>
        </is>
      </c>
      <c r="R22" s="27" t="inlineStr">
        <is>
          <t>A</t>
        </is>
      </c>
      <c r="S22" s="26" t="inlineStr">
        <is>
          <t>Manufacturer-confirmed color list (esun3dstore.com official store, live product page)</t>
        </is>
      </c>
      <c r="T22" s="26" t="inlineStr">
        <is>
          <t>Deep-dive follow-up 2026-07-19</t>
        </is>
      </c>
    </row>
    <row r="23" ht="20" customHeight="1">
      <c r="A23" s="23" t="inlineStr">
        <is>
          <t>ASA</t>
        </is>
      </c>
      <c r="B23" s="23" t="inlineStr">
        <is>
          <t>E-ASAP-09</t>
        </is>
      </c>
      <c r="C23" s="23" t="inlineStr">
        <is>
          <t>eSUN ASA+</t>
        </is>
      </c>
      <c r="D23" s="23" t="inlineStr">
        <is>
          <t>Silver</t>
        </is>
      </c>
      <c r="E23" s="24" t="inlineStr"/>
      <c r="F23" s="25" t="inlineStr">
        <is>
          <t>#999999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240–270°C</t>
        </is>
      </c>
      <c r="L23" s="16" t="inlineStr">
        <is>
          <t>90–110°C</t>
        </is>
      </c>
      <c r="M23" s="16" t="inlineStr">
        <is>
          <t>70°C / 4h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A</t>
        </is>
      </c>
      <c r="S23" s="23" t="inlineStr">
        <is>
          <t>Manufacturer-confirmed color list (esun3dstore.com official store, live product page)</t>
        </is>
      </c>
      <c r="T23" s="23" t="inlineStr">
        <is>
          <t>Deep-dive follow-up 2026-07-19</t>
        </is>
      </c>
    </row>
    <row r="24" ht="20" customHeight="1">
      <c r="A24" s="26" t="inlineStr">
        <is>
          <t>ASA</t>
        </is>
      </c>
      <c r="B24" s="26" t="inlineStr">
        <is>
          <t>E-ASAP-03</t>
        </is>
      </c>
      <c r="C24" s="26" t="inlineStr">
        <is>
          <t>eSUN ASA+</t>
        </is>
      </c>
      <c r="D24" s="26" t="inlineStr">
        <is>
          <t>Warm White</t>
        </is>
      </c>
      <c r="E24" s="24" t="inlineStr"/>
      <c r="F24" s="25" t="inlineStr">
        <is>
          <t>#999999</t>
        </is>
      </c>
      <c r="G24" s="27" t="inlineStr">
        <is>
          <t>1.75mm</t>
        </is>
      </c>
      <c r="H24" s="27" t="inlineStr">
        <is>
          <t>±0.03mm</t>
        </is>
      </c>
      <c r="I24" s="27" t="inlineStr">
        <is>
          <t>Plastic</t>
        </is>
      </c>
      <c r="J24" s="27" t="inlineStr">
        <is>
          <t>No</t>
        </is>
      </c>
      <c r="K24" s="27" t="inlineStr">
        <is>
          <t>240–270°C</t>
        </is>
      </c>
      <c r="L24" s="27" t="inlineStr">
        <is>
          <t>90–110°C</t>
        </is>
      </c>
      <c r="M24" s="27" t="inlineStr">
        <is>
          <t>70°C / 4h</t>
        </is>
      </c>
      <c r="N24" s="27" t="inlineStr">
        <is>
          <t>✓</t>
        </is>
      </c>
      <c r="O24" s="27" t="inlineStr">
        <is>
          <t>✓</t>
        </is>
      </c>
      <c r="P24" s="27" t="inlineStr">
        <is>
          <t>✓</t>
        </is>
      </c>
      <c r="Q24" s="27" t="inlineStr">
        <is>
          <t>✓</t>
        </is>
      </c>
      <c r="R24" s="27" t="inlineStr">
        <is>
          <t>A</t>
        </is>
      </c>
      <c r="S24" s="26" t="inlineStr">
        <is>
          <t>Manufacturer-confirmed color list (esun3dstore.com official store, live product page)</t>
        </is>
      </c>
      <c r="T24" s="26" t="inlineStr">
        <is>
          <t>Deep-dive follow-up 2026-07-19</t>
        </is>
      </c>
    </row>
    <row r="25" ht="20" customHeight="1">
      <c r="A25" s="23" t="inlineStr">
        <is>
          <t>ASA</t>
        </is>
      </c>
      <c r="B25" s="23" t="inlineStr">
        <is>
          <t>E-ASAP-07</t>
        </is>
      </c>
      <c r="C25" s="23" t="inlineStr">
        <is>
          <t>eSUN ASA+</t>
        </is>
      </c>
      <c r="D25" s="23" t="inlineStr">
        <is>
          <t>Yellow</t>
        </is>
      </c>
      <c r="E25" s="24" t="inlineStr"/>
      <c r="F25" s="25" t="inlineStr">
        <is>
          <t>#999999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240–270°C</t>
        </is>
      </c>
      <c r="L25" s="16" t="inlineStr">
        <is>
          <t>90–110°C</t>
        </is>
      </c>
      <c r="M25" s="16" t="inlineStr">
        <is>
          <t>70°C / 4h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A</t>
        </is>
      </c>
      <c r="S25" s="23" t="inlineStr">
        <is>
          <t>Manufacturer-confirmed color list (esun3dstore.com official store, live product page)</t>
        </is>
      </c>
      <c r="T25" s="23" t="inlineStr">
        <is>
          <t>Deep-dive follow-up 2026-07-19</t>
        </is>
      </c>
    </row>
    <row r="26" ht="20" customHeight="1">
      <c r="A26" s="26" t="inlineStr">
        <is>
          <t>PA</t>
        </is>
      </c>
      <c r="B26" s="26" t="inlineStr">
        <is>
          <t>E-PA-01</t>
        </is>
      </c>
      <c r="C26" s="26" t="inlineStr">
        <is>
          <t>eSUN PA</t>
        </is>
      </c>
      <c r="D26" s="26" t="inlineStr">
        <is>
          <t>Natural</t>
        </is>
      </c>
      <c r="E26" s="24" t="inlineStr"/>
      <c r="F26" s="25" t="inlineStr">
        <is>
          <t>#999999</t>
        </is>
      </c>
      <c r="G26" s="27" t="inlineStr">
        <is>
          <t>1.75mm</t>
        </is>
      </c>
      <c r="H26" s="27" t="inlineStr">
        <is>
          <t>±0.05mm</t>
        </is>
      </c>
      <c r="I26" s="27" t="inlineStr">
        <is>
          <t>Plastic</t>
        </is>
      </c>
      <c r="J26" s="27" t="inlineStr">
        <is>
          <t>No</t>
        </is>
      </c>
      <c r="K26" s="27" t="inlineStr">
        <is>
          <t>260–270°C</t>
        </is>
      </c>
      <c r="L26" s="27" t="inlineStr">
        <is>
          <t>45–65°C</t>
        </is>
      </c>
      <c r="M26" s="27" t="inlineStr">
        <is>
          <t>80°C / 12h</t>
        </is>
      </c>
      <c r="N26" s="27" t="inlineStr">
        <is>
          <t>✓</t>
        </is>
      </c>
      <c r="O26" s="27" t="inlineStr">
        <is>
          <t>✓</t>
        </is>
      </c>
      <c r="P26" s="27" t="inlineStr">
        <is>
          <t>✓</t>
        </is>
      </c>
      <c r="Q26" s="27" t="inlineStr">
        <is>
          <t>✓</t>
        </is>
      </c>
      <c r="R26" s="27" t="inlineStr">
        <is>
          <t>B</t>
        </is>
      </c>
      <c r="S26" s="26" t="inlineStr">
        <is>
          <t>Existing catalog entry — not re-verified this deep-dive pass</t>
        </is>
      </c>
      <c r="T26" s="26" t="inlineStr">
        <is>
          <t>Not independently re-verified this pass</t>
        </is>
      </c>
    </row>
    <row r="27" ht="20" customHeight="1">
      <c r="A27" s="23" t="inlineStr">
        <is>
          <t>PA-CF</t>
        </is>
      </c>
      <c r="B27" s="23" t="inlineStr">
        <is>
          <t>E-PH-08</t>
        </is>
      </c>
      <c r="C27" s="23" t="inlineStr">
        <is>
          <t>eSUN PA-CF</t>
        </is>
      </c>
      <c r="D27" s="23" t="inlineStr">
        <is>
          <t>Black</t>
        </is>
      </c>
      <c r="E27" s="28" t="inlineStr"/>
      <c r="F27" s="29" t="inlineStr">
        <is>
          <t>#0D0D0D</t>
        </is>
      </c>
      <c r="G27" s="16" t="inlineStr">
        <is>
          <t>1.75mm</t>
        </is>
      </c>
      <c r="H27" s="16" t="inlineStr">
        <is>
          <t>±0.05mm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260–280°C</t>
        </is>
      </c>
      <c r="L27" s="16" t="inlineStr">
        <is>
          <t>80–100°C</t>
        </is>
      </c>
      <c r="M27" s="16" t="inlineStr">
        <is>
          <t>80°C / 24h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C</t>
        </is>
      </c>
      <c r="S27" s="23" t="inlineStr">
        <is>
          <t>Line existence confirmed via official eSUN Product Manual; specs estimated from the closest sibling material, not individually TDS-confirmed</t>
        </is>
      </c>
      <c r="T27" s="23" t="inlineStr">
        <is>
          <t>PLACEHOLDER — line confirmed to exist in official eSUN Product Manual (esun3d.com/uploads/eSUN-3D-Product-Manual) but color list not verified this pass</t>
        </is>
      </c>
    </row>
    <row r="28" ht="20" customHeight="1">
      <c r="A28" s="26" t="inlineStr">
        <is>
          <t>PA12-CF</t>
        </is>
      </c>
      <c r="B28" s="26" t="inlineStr">
        <is>
          <t>E-PH-09</t>
        </is>
      </c>
      <c r="C28" s="26" t="inlineStr">
        <is>
          <t>eSUN PA12-CF</t>
        </is>
      </c>
      <c r="D28" s="26" t="inlineStr">
        <is>
          <t>Black</t>
        </is>
      </c>
      <c r="E28" s="28" t="inlineStr"/>
      <c r="F28" s="29" t="inlineStr">
        <is>
          <t>#0D0D0D</t>
        </is>
      </c>
      <c r="G28" s="27" t="inlineStr">
        <is>
          <t>1.75mm</t>
        </is>
      </c>
      <c r="H28" s="27" t="inlineStr">
        <is>
          <t>±0.05mm</t>
        </is>
      </c>
      <c r="I28" s="27" t="inlineStr">
        <is>
          <t>Plastic</t>
        </is>
      </c>
      <c r="J28" s="27" t="inlineStr">
        <is>
          <t>No</t>
        </is>
      </c>
      <c r="K28" s="27" t="inlineStr">
        <is>
          <t>260–280°C</t>
        </is>
      </c>
      <c r="L28" s="27" t="inlineStr">
        <is>
          <t>80–100°C</t>
        </is>
      </c>
      <c r="M28" s="27" t="inlineStr">
        <is>
          <t>80°C / 24h</t>
        </is>
      </c>
      <c r="N28" s="27" t="inlineStr">
        <is>
          <t>✓</t>
        </is>
      </c>
      <c r="O28" s="27" t="inlineStr">
        <is>
          <t>✓</t>
        </is>
      </c>
      <c r="P28" s="27" t="inlineStr">
        <is>
          <t>✓</t>
        </is>
      </c>
      <c r="Q28" s="27" t="inlineStr">
        <is>
          <t>✓</t>
        </is>
      </c>
      <c r="R28" s="27" t="inlineStr">
        <is>
          <t>C</t>
        </is>
      </c>
      <c r="S28" s="26" t="inlineStr">
        <is>
          <t>Line existence confirmed via official eSUN Product Manual; specs estimated from the closest sibling material, not individually TDS-confirmed</t>
        </is>
      </c>
      <c r="T28" s="26" t="inlineStr">
        <is>
          <t>PLACEHOLDER — line confirmed to exist in official eSUN Product Manual (esun3d.com/uploads/eSUN-3D-Product-Manual) but color list not verified this pass</t>
        </is>
      </c>
    </row>
    <row r="29" ht="20" customHeight="1">
      <c r="A29" s="23" t="inlineStr">
        <is>
          <t>PC</t>
        </is>
      </c>
      <c r="B29" s="23" t="inlineStr">
        <is>
          <t>E-PH-10</t>
        </is>
      </c>
      <c r="C29" s="23" t="inlineStr">
        <is>
          <t>eSUN ePC</t>
        </is>
      </c>
      <c r="D29" s="23" t="inlineStr">
        <is>
          <t>Black</t>
        </is>
      </c>
      <c r="E29" s="28" t="inlineStr"/>
      <c r="F29" s="29" t="inlineStr">
        <is>
          <t>#0D0D0D</t>
        </is>
      </c>
      <c r="G29" s="16" t="inlineStr">
        <is>
          <t>1.75mm</t>
        </is>
      </c>
      <c r="H29" s="16" t="inlineStr">
        <is>
          <t>±0.05mm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255°C</t>
        </is>
      </c>
      <c r="L29" s="16" t="inlineStr">
        <is>
          <t>80–90°C</t>
        </is>
      </c>
      <c r="M29" s="16" t="inlineStr">
        <is>
          <t>80°C / 8h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C</t>
        </is>
      </c>
      <c r="S29" s="23" t="inlineStr">
        <is>
          <t>Line existence confirmed via official eSUN Product Manual; specs estimated from the closest sibling material, not individually TDS-confirmed</t>
        </is>
      </c>
      <c r="T29" s="23" t="inlineStr">
        <is>
          <t>PLACEHOLDER — line confirmed to exist in official eSUN Product Manual (esun3d.com/uploads/eSUN-3D-Product-Manual) but color list not verified this pass</t>
        </is>
      </c>
    </row>
    <row r="30" ht="20" customHeight="1">
      <c r="A30" s="26" t="inlineStr">
        <is>
          <t>PET</t>
        </is>
      </c>
      <c r="B30" s="26" t="inlineStr">
        <is>
          <t>E-PH-07</t>
        </is>
      </c>
      <c r="C30" s="26" t="inlineStr">
        <is>
          <t>eSUN PET</t>
        </is>
      </c>
      <c r="D30" s="26" t="inlineStr">
        <is>
          <t>Black</t>
        </is>
      </c>
      <c r="E30" s="28" t="inlineStr"/>
      <c r="F30" s="29" t="inlineStr">
        <is>
          <t>#0D0D0D</t>
        </is>
      </c>
      <c r="G30" s="27" t="inlineStr">
        <is>
          <t>1.75mm</t>
        </is>
      </c>
      <c r="H30" s="27" t="inlineStr">
        <is>
          <t>±0.05mm</t>
        </is>
      </c>
      <c r="I30" s="27" t="inlineStr">
        <is>
          <t>Plastic</t>
        </is>
      </c>
      <c r="J30" s="27" t="inlineStr">
        <is>
          <t>No</t>
        </is>
      </c>
      <c r="K30" s="27" t="inlineStr">
        <is>
          <t>230–250°C</t>
        </is>
      </c>
      <c r="L30" s="27" t="inlineStr">
        <is>
          <t>0–60°C</t>
        </is>
      </c>
      <c r="M30" s="27" t="inlineStr">
        <is>
          <t>65°C / 6h</t>
        </is>
      </c>
      <c r="N30" s="27" t="inlineStr">
        <is>
          <t>✓</t>
        </is>
      </c>
      <c r="O30" s="27" t="inlineStr">
        <is>
          <t>✓</t>
        </is>
      </c>
      <c r="P30" s="27" t="inlineStr">
        <is>
          <t>✓</t>
        </is>
      </c>
      <c r="Q30" s="27" t="inlineStr">
        <is>
          <t>✓</t>
        </is>
      </c>
      <c r="R30" s="27" t="inlineStr">
        <is>
          <t>C</t>
        </is>
      </c>
      <c r="S30" s="26" t="inlineStr">
        <is>
          <t>Line existence confirmed via official eSUN Product Manual; specs estimated from the closest sibling material, not individually TDS-confirmed</t>
        </is>
      </c>
      <c r="T30" s="26" t="inlineStr">
        <is>
          <t>PLACEHOLDER — line confirmed to exist in official eSUN Product Manual (esun3d.com/uploads/eSUN-3D-Product-Manual) but color list not verified this pass</t>
        </is>
      </c>
    </row>
    <row r="31" ht="20" customHeight="1">
      <c r="A31" s="23" t="inlineStr">
        <is>
          <t>PETG</t>
        </is>
      </c>
      <c r="B31" s="23" t="inlineStr">
        <is>
          <t>E-PETG-01</t>
        </is>
      </c>
      <c r="C31" s="23" t="inlineStr">
        <is>
          <t>eSUN PETG</t>
        </is>
      </c>
      <c r="D31" s="23" t="inlineStr">
        <is>
          <t>Black</t>
        </is>
      </c>
      <c r="E31" s="24" t="inlineStr"/>
      <c r="F31" s="25" t="inlineStr">
        <is>
          <t>#999999</t>
        </is>
      </c>
      <c r="G31" s="16" t="inlineStr">
        <is>
          <t>1.75mm</t>
        </is>
      </c>
      <c r="H31" s="16" t="inlineStr">
        <is>
          <t>±0.05mm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230–250°C</t>
        </is>
      </c>
      <c r="L31" s="16" t="inlineStr">
        <is>
          <t>60–80°C (optional)</t>
        </is>
      </c>
      <c r="M31" s="16" t="inlineStr">
        <is>
          <t>65°C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Color list confirmed via multiple official-eSUN reseller listings (INTSERVO, digitmakers); tolerance confirmed on esun3dstore.com product page</t>
        </is>
      </c>
      <c r="T31" s="23" t="inlineStr">
        <is>
          <t>Deep-dive follow-up 2026-07-19</t>
        </is>
      </c>
    </row>
    <row r="32" ht="20" customHeight="1">
      <c r="A32" s="26" t="inlineStr">
        <is>
          <t>PETG</t>
        </is>
      </c>
      <c r="B32" s="26" t="inlineStr">
        <is>
          <t>E-PETG-04</t>
        </is>
      </c>
      <c r="C32" s="26" t="inlineStr">
        <is>
          <t>eSUN PETG</t>
        </is>
      </c>
      <c r="D32" s="26" t="inlineStr">
        <is>
          <t>Blue</t>
        </is>
      </c>
      <c r="E32" s="24" t="inlineStr"/>
      <c r="F32" s="25" t="inlineStr">
        <is>
          <t>#999999</t>
        </is>
      </c>
      <c r="G32" s="27" t="inlineStr">
        <is>
          <t>1.75mm</t>
        </is>
      </c>
      <c r="H32" s="27" t="inlineStr">
        <is>
          <t>±0.05mm</t>
        </is>
      </c>
      <c r="I32" s="27" t="inlineStr">
        <is>
          <t>Plastic</t>
        </is>
      </c>
      <c r="J32" s="27" t="inlineStr">
        <is>
          <t>No</t>
        </is>
      </c>
      <c r="K32" s="27" t="inlineStr">
        <is>
          <t>230–250°C</t>
        </is>
      </c>
      <c r="L32" s="27" t="inlineStr">
        <is>
          <t>60–80°C (optional)</t>
        </is>
      </c>
      <c r="M32" s="27" t="inlineStr">
        <is>
          <t>65°C / 6h</t>
        </is>
      </c>
      <c r="N32" s="27" t="inlineStr">
        <is>
          <t>✓</t>
        </is>
      </c>
      <c r="O32" s="27" t="inlineStr">
        <is>
          <t>✓</t>
        </is>
      </c>
      <c r="P32" s="27" t="inlineStr">
        <is>
          <t>✓</t>
        </is>
      </c>
      <c r="Q32" s="27" t="inlineStr">
        <is>
          <t>✓</t>
        </is>
      </c>
      <c r="R32" s="27" t="inlineStr">
        <is>
          <t>A</t>
        </is>
      </c>
      <c r="S32" s="26" t="inlineStr">
        <is>
          <t>Color list confirmed via multiple official-eSUN reseller listings (INTSERVO, digitmakers); tolerance confirmed on esun3dstore.com product page</t>
        </is>
      </c>
      <c r="T32" s="26" t="inlineStr">
        <is>
          <t>Deep-dive follow-up 2026-07-19</t>
        </is>
      </c>
    </row>
    <row r="33" ht="20" customHeight="1">
      <c r="A33" s="23" t="inlineStr">
        <is>
          <t>PETG</t>
        </is>
      </c>
      <c r="B33" s="23" t="inlineStr">
        <is>
          <t>E-PETG-12</t>
        </is>
      </c>
      <c r="C33" s="23" t="inlineStr">
        <is>
          <t>eSUN PETG</t>
        </is>
      </c>
      <c r="D33" s="23" t="inlineStr">
        <is>
          <t>Fire Engine Red</t>
        </is>
      </c>
      <c r="E33" s="24" t="inlineStr"/>
      <c r="F33" s="25" t="inlineStr">
        <is>
          <t>#999999</t>
        </is>
      </c>
      <c r="G33" s="16" t="inlineStr">
        <is>
          <t>1.75mm</t>
        </is>
      </c>
      <c r="H33" s="16" t="inlineStr">
        <is>
          <t>±0.05mm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230–250°C</t>
        </is>
      </c>
      <c r="L33" s="16" t="inlineStr">
        <is>
          <t>60–80°C (optional)</t>
        </is>
      </c>
      <c r="M33" s="16" t="inlineStr">
        <is>
          <t>65°C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A</t>
        </is>
      </c>
      <c r="S33" s="23" t="inlineStr">
        <is>
          <t>Color list confirmed via multiple official-eSUN reseller listings (INTSERVO, digitmakers); tolerance confirmed on esun3dstore.com product page</t>
        </is>
      </c>
      <c r="T33" s="23" t="inlineStr">
        <is>
          <t>Deep-dive follow-up 2026-07-19</t>
        </is>
      </c>
    </row>
    <row r="34" ht="20" customHeight="1">
      <c r="A34" s="26" t="inlineStr">
        <is>
          <t>PETG</t>
        </is>
      </c>
      <c r="B34" s="26" t="inlineStr">
        <is>
          <t>E-PETG-09</t>
        </is>
      </c>
      <c r="C34" s="26" t="inlineStr">
        <is>
          <t>eSUN PETG</t>
        </is>
      </c>
      <c r="D34" s="26" t="inlineStr">
        <is>
          <t>Gold</t>
        </is>
      </c>
      <c r="E34" s="24" t="inlineStr"/>
      <c r="F34" s="25" t="inlineStr">
        <is>
          <t>#999999</t>
        </is>
      </c>
      <c r="G34" s="27" t="inlineStr">
        <is>
          <t>1.75mm</t>
        </is>
      </c>
      <c r="H34" s="27" t="inlineStr">
        <is>
          <t>±0.05mm</t>
        </is>
      </c>
      <c r="I34" s="27" t="inlineStr">
        <is>
          <t>Plastic</t>
        </is>
      </c>
      <c r="J34" s="27" t="inlineStr">
        <is>
          <t>No</t>
        </is>
      </c>
      <c r="K34" s="27" t="inlineStr">
        <is>
          <t>230–250°C</t>
        </is>
      </c>
      <c r="L34" s="27" t="inlineStr">
        <is>
          <t>60–80°C (optional)</t>
        </is>
      </c>
      <c r="M34" s="27" t="inlineStr">
        <is>
          <t>65°C / 6h</t>
        </is>
      </c>
      <c r="N34" s="27" t="inlineStr">
        <is>
          <t>✓</t>
        </is>
      </c>
      <c r="O34" s="27" t="inlineStr">
        <is>
          <t>✓</t>
        </is>
      </c>
      <c r="P34" s="27" t="inlineStr">
        <is>
          <t>✓</t>
        </is>
      </c>
      <c r="Q34" s="27" t="inlineStr">
        <is>
          <t>✓</t>
        </is>
      </c>
      <c r="R34" s="27" t="inlineStr">
        <is>
          <t>A</t>
        </is>
      </c>
      <c r="S34" s="26" t="inlineStr">
        <is>
          <t>Color list confirmed via multiple official-eSUN reseller listings (INTSERVO, digitmakers); tolerance confirmed on esun3dstore.com product page</t>
        </is>
      </c>
      <c r="T34" s="26" t="inlineStr">
        <is>
          <t>Deep-dive follow-up 2026-07-19</t>
        </is>
      </c>
    </row>
    <row r="35" ht="20" customHeight="1">
      <c r="A35" s="23" t="inlineStr">
        <is>
          <t>PETG</t>
        </is>
      </c>
      <c r="B35" s="23" t="inlineStr">
        <is>
          <t>E-PETG-05</t>
        </is>
      </c>
      <c r="C35" s="23" t="inlineStr">
        <is>
          <t>eSUN PETG</t>
        </is>
      </c>
      <c r="D35" s="23" t="inlineStr">
        <is>
          <t>Gray</t>
        </is>
      </c>
      <c r="E35" s="24" t="inlineStr"/>
      <c r="F35" s="25" t="inlineStr">
        <is>
          <t>#999999</t>
        </is>
      </c>
      <c r="G35" s="16" t="inlineStr">
        <is>
          <t>1.75mm</t>
        </is>
      </c>
      <c r="H35" s="16" t="inlineStr">
        <is>
          <t>±0.05mm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230–250°C</t>
        </is>
      </c>
      <c r="L35" s="16" t="inlineStr">
        <is>
          <t>60–80°C (optional)</t>
        </is>
      </c>
      <c r="M35" s="16" t="inlineStr">
        <is>
          <t>65°C / 6h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A</t>
        </is>
      </c>
      <c r="S35" s="23" t="inlineStr">
        <is>
          <t>Color list confirmed via multiple official-eSUN reseller listings (INTSERVO, digitmakers); tolerance confirmed on esun3dstore.com product page</t>
        </is>
      </c>
      <c r="T35" s="23" t="inlineStr">
        <is>
          <t>Deep-dive follow-up 2026-07-19</t>
        </is>
      </c>
    </row>
    <row r="36" ht="20" customHeight="1">
      <c r="A36" s="26" t="inlineStr">
        <is>
          <t>PETG</t>
        </is>
      </c>
      <c r="B36" s="26" t="inlineStr">
        <is>
          <t>E-PETG-06</t>
        </is>
      </c>
      <c r="C36" s="26" t="inlineStr">
        <is>
          <t>eSUN PETG</t>
        </is>
      </c>
      <c r="D36" s="26" t="inlineStr">
        <is>
          <t>Green</t>
        </is>
      </c>
      <c r="E36" s="24" t="inlineStr"/>
      <c r="F36" s="25" t="inlineStr">
        <is>
          <t>#999999</t>
        </is>
      </c>
      <c r="G36" s="27" t="inlineStr">
        <is>
          <t>1.75mm</t>
        </is>
      </c>
      <c r="H36" s="27" t="inlineStr">
        <is>
          <t>±0.05mm</t>
        </is>
      </c>
      <c r="I36" s="27" t="inlineStr">
        <is>
          <t>Plastic</t>
        </is>
      </c>
      <c r="J36" s="27" t="inlineStr">
        <is>
          <t>No</t>
        </is>
      </c>
      <c r="K36" s="27" t="inlineStr">
        <is>
          <t>230–250°C</t>
        </is>
      </c>
      <c r="L36" s="27" t="inlineStr">
        <is>
          <t>60–80°C (optional)</t>
        </is>
      </c>
      <c r="M36" s="27" t="inlineStr">
        <is>
          <t>65°C / 6h</t>
        </is>
      </c>
      <c r="N36" s="27" t="inlineStr">
        <is>
          <t>✓</t>
        </is>
      </c>
      <c r="O36" s="27" t="inlineStr">
        <is>
          <t>✓</t>
        </is>
      </c>
      <c r="P36" s="27" t="inlineStr">
        <is>
          <t>✓</t>
        </is>
      </c>
      <c r="Q36" s="27" t="inlineStr">
        <is>
          <t>✓</t>
        </is>
      </c>
      <c r="R36" s="27" t="inlineStr">
        <is>
          <t>A</t>
        </is>
      </c>
      <c r="S36" s="26" t="inlineStr">
        <is>
          <t>Color list confirmed via multiple official-eSUN reseller listings (INTSERVO, digitmakers); tolerance confirmed on esun3dstore.com product page</t>
        </is>
      </c>
      <c r="T36" s="26" t="inlineStr">
        <is>
          <t>Deep-dive follow-up 2026-07-19</t>
        </is>
      </c>
    </row>
    <row r="37" ht="20" customHeight="1">
      <c r="A37" s="23" t="inlineStr">
        <is>
          <t>PETG</t>
        </is>
      </c>
      <c r="B37" s="23" t="inlineStr">
        <is>
          <t>E-PETG-13</t>
        </is>
      </c>
      <c r="C37" s="23" t="inlineStr">
        <is>
          <t>eSUN PETG</t>
        </is>
      </c>
      <c r="D37" s="23" t="inlineStr">
        <is>
          <t>Natural (Transparent)</t>
        </is>
      </c>
      <c r="E37" s="24" t="inlineStr"/>
      <c r="F37" s="25" t="inlineStr">
        <is>
          <t>#999999</t>
        </is>
      </c>
      <c r="G37" s="16" t="inlineStr">
        <is>
          <t>1.75mm</t>
        </is>
      </c>
      <c r="H37" s="16" t="inlineStr">
        <is>
          <t>±0.05mm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230–250°C</t>
        </is>
      </c>
      <c r="L37" s="16" t="inlineStr">
        <is>
          <t>60–80°C (optional)</t>
        </is>
      </c>
      <c r="M37" s="16" t="inlineStr">
        <is>
          <t>65°C / 6h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A</t>
        </is>
      </c>
      <c r="S37" s="23" t="inlineStr">
        <is>
          <t>Color list confirmed via multiple official-eSUN reseller listings (INTSERVO, digitmakers); tolerance confirmed on esun3dstore.com product page</t>
        </is>
      </c>
      <c r="T37" s="23" t="inlineStr">
        <is>
          <t>Deep-dive follow-up 2026-07-19</t>
        </is>
      </c>
    </row>
    <row r="38" ht="20" customHeight="1">
      <c r="A38" s="26" t="inlineStr">
        <is>
          <t>PETG</t>
        </is>
      </c>
      <c r="B38" s="26" t="inlineStr">
        <is>
          <t>E-PETG-11</t>
        </is>
      </c>
      <c r="C38" s="26" t="inlineStr">
        <is>
          <t>eSUN PETG</t>
        </is>
      </c>
      <c r="D38" s="26" t="inlineStr">
        <is>
          <t>Orange</t>
        </is>
      </c>
      <c r="E38" s="24" t="inlineStr"/>
      <c r="F38" s="25" t="inlineStr">
        <is>
          <t>#999999</t>
        </is>
      </c>
      <c r="G38" s="27" t="inlineStr">
        <is>
          <t>1.75mm</t>
        </is>
      </c>
      <c r="H38" s="27" t="inlineStr">
        <is>
          <t>±0.05mm</t>
        </is>
      </c>
      <c r="I38" s="27" t="inlineStr">
        <is>
          <t>Plastic</t>
        </is>
      </c>
      <c r="J38" s="27" t="inlineStr">
        <is>
          <t>No</t>
        </is>
      </c>
      <c r="K38" s="27" t="inlineStr">
        <is>
          <t>230–250°C</t>
        </is>
      </c>
      <c r="L38" s="27" t="inlineStr">
        <is>
          <t>60–80°C (optional)</t>
        </is>
      </c>
      <c r="M38" s="27" t="inlineStr">
        <is>
          <t>65°C / 6h</t>
        </is>
      </c>
      <c r="N38" s="27" t="inlineStr">
        <is>
          <t>✓</t>
        </is>
      </c>
      <c r="O38" s="27" t="inlineStr">
        <is>
          <t>✓</t>
        </is>
      </c>
      <c r="P38" s="27" t="inlineStr">
        <is>
          <t>✓</t>
        </is>
      </c>
      <c r="Q38" s="27" t="inlineStr">
        <is>
          <t>✓</t>
        </is>
      </c>
      <c r="R38" s="27" t="inlineStr">
        <is>
          <t>A</t>
        </is>
      </c>
      <c r="S38" s="26" t="inlineStr">
        <is>
          <t>Color list confirmed via multiple official-eSUN reseller listings (INTSERVO, digitmakers); tolerance confirmed on esun3dstore.com product page</t>
        </is>
      </c>
      <c r="T38" s="26" t="inlineStr">
        <is>
          <t>Deep-dive follow-up 2026-07-19</t>
        </is>
      </c>
    </row>
    <row r="39" ht="20" customHeight="1">
      <c r="A39" s="23" t="inlineStr">
        <is>
          <t>PETG</t>
        </is>
      </c>
      <c r="B39" s="23" t="inlineStr">
        <is>
          <t>E-PETG-08</t>
        </is>
      </c>
      <c r="C39" s="23" t="inlineStr">
        <is>
          <t>eSUN PETG</t>
        </is>
      </c>
      <c r="D39" s="23" t="inlineStr">
        <is>
          <t>Purple</t>
        </is>
      </c>
      <c r="E39" s="24" t="inlineStr"/>
      <c r="F39" s="25" t="inlineStr">
        <is>
          <t>#999999</t>
        </is>
      </c>
      <c r="G39" s="16" t="inlineStr">
        <is>
          <t>1.75mm</t>
        </is>
      </c>
      <c r="H39" s="16" t="inlineStr">
        <is>
          <t>±0.05mm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230–250°C</t>
        </is>
      </c>
      <c r="L39" s="16" t="inlineStr">
        <is>
          <t>60–80°C (optional)</t>
        </is>
      </c>
      <c r="M39" s="16" t="inlineStr">
        <is>
          <t>65°C / 6h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A</t>
        </is>
      </c>
      <c r="S39" s="23" t="inlineStr">
        <is>
          <t>Color list confirmed via multiple official-eSUN reseller listings (INTSERVO, digitmakers); tolerance confirmed on esun3dstore.com product page</t>
        </is>
      </c>
      <c r="T39" s="23" t="inlineStr">
        <is>
          <t>Deep-dive follow-up 2026-07-19</t>
        </is>
      </c>
    </row>
    <row r="40" ht="20" customHeight="1">
      <c r="A40" s="26" t="inlineStr">
        <is>
          <t>PETG</t>
        </is>
      </c>
      <c r="B40" s="26" t="inlineStr">
        <is>
          <t>E-PETG-03</t>
        </is>
      </c>
      <c r="C40" s="26" t="inlineStr">
        <is>
          <t>eSUN PETG</t>
        </is>
      </c>
      <c r="D40" s="26" t="inlineStr">
        <is>
          <t>Red</t>
        </is>
      </c>
      <c r="E40" s="24" t="inlineStr"/>
      <c r="F40" s="25" t="inlineStr">
        <is>
          <t>#999999</t>
        </is>
      </c>
      <c r="G40" s="27" t="inlineStr">
        <is>
          <t>1.75mm</t>
        </is>
      </c>
      <c r="H40" s="27" t="inlineStr">
        <is>
          <t>±0.05mm</t>
        </is>
      </c>
      <c r="I40" s="27" t="inlineStr">
        <is>
          <t>Plastic</t>
        </is>
      </c>
      <c r="J40" s="27" t="inlineStr">
        <is>
          <t>No</t>
        </is>
      </c>
      <c r="K40" s="27" t="inlineStr">
        <is>
          <t>230–250°C</t>
        </is>
      </c>
      <c r="L40" s="27" t="inlineStr">
        <is>
          <t>60–80°C (optional)</t>
        </is>
      </c>
      <c r="M40" s="27" t="inlineStr">
        <is>
          <t>65°C / 6h</t>
        </is>
      </c>
      <c r="N40" s="27" t="inlineStr">
        <is>
          <t>✓</t>
        </is>
      </c>
      <c r="O40" s="27" t="inlineStr">
        <is>
          <t>✓</t>
        </is>
      </c>
      <c r="P40" s="27" t="inlineStr">
        <is>
          <t>✓</t>
        </is>
      </c>
      <c r="Q40" s="27" t="inlineStr">
        <is>
          <t>✓</t>
        </is>
      </c>
      <c r="R40" s="27" t="inlineStr">
        <is>
          <t>A</t>
        </is>
      </c>
      <c r="S40" s="26" t="inlineStr">
        <is>
          <t>Color list confirmed via multiple official-eSUN reseller listings (INTSERVO, digitmakers); tolerance confirmed on esun3dstore.com product page</t>
        </is>
      </c>
      <c r="T40" s="26" t="inlineStr">
        <is>
          <t>Deep-dive follow-up 2026-07-19</t>
        </is>
      </c>
    </row>
    <row r="41" ht="20" customHeight="1">
      <c r="A41" s="23" t="inlineStr">
        <is>
          <t>PETG</t>
        </is>
      </c>
      <c r="B41" s="23" t="inlineStr">
        <is>
          <t>E-PETG-10</t>
        </is>
      </c>
      <c r="C41" s="23" t="inlineStr">
        <is>
          <t>eSUN PETG</t>
        </is>
      </c>
      <c r="D41" s="23" t="inlineStr">
        <is>
          <t>Silver</t>
        </is>
      </c>
      <c r="E41" s="24" t="inlineStr"/>
      <c r="F41" s="25" t="inlineStr">
        <is>
          <t>#999999</t>
        </is>
      </c>
      <c r="G41" s="16" t="inlineStr">
        <is>
          <t>1.75mm</t>
        </is>
      </c>
      <c r="H41" s="16" t="inlineStr">
        <is>
          <t>±0.05mm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230–250°C</t>
        </is>
      </c>
      <c r="L41" s="16" t="inlineStr">
        <is>
          <t>60–80°C (optional)</t>
        </is>
      </c>
      <c r="M41" s="16" t="inlineStr">
        <is>
          <t>65°C / 6h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A</t>
        </is>
      </c>
      <c r="S41" s="23" t="inlineStr">
        <is>
          <t>Color list confirmed via multiple official-eSUN reseller listings (INTSERVO, digitmakers); tolerance confirmed on esun3dstore.com product page</t>
        </is>
      </c>
      <c r="T41" s="23" t="inlineStr">
        <is>
          <t>Deep-dive follow-up 2026-07-19</t>
        </is>
      </c>
    </row>
    <row r="42" ht="20" customHeight="1">
      <c r="A42" s="26" t="inlineStr">
        <is>
          <t>PETG</t>
        </is>
      </c>
      <c r="B42" s="26" t="inlineStr">
        <is>
          <t>E-PETG-02</t>
        </is>
      </c>
      <c r="C42" s="26" t="inlineStr">
        <is>
          <t>eSUN PETG</t>
        </is>
      </c>
      <c r="D42" s="26" t="inlineStr">
        <is>
          <t>White</t>
        </is>
      </c>
      <c r="E42" s="24" t="inlineStr"/>
      <c r="F42" s="25" t="inlineStr">
        <is>
          <t>#999999</t>
        </is>
      </c>
      <c r="G42" s="27" t="inlineStr">
        <is>
          <t>1.75mm</t>
        </is>
      </c>
      <c r="H42" s="27" t="inlineStr">
        <is>
          <t>±0.05mm</t>
        </is>
      </c>
      <c r="I42" s="27" t="inlineStr">
        <is>
          <t>Plastic</t>
        </is>
      </c>
      <c r="J42" s="27" t="inlineStr">
        <is>
          <t>No</t>
        </is>
      </c>
      <c r="K42" s="27" t="inlineStr">
        <is>
          <t>230–250°C</t>
        </is>
      </c>
      <c r="L42" s="27" t="inlineStr">
        <is>
          <t>60–80°C (optional)</t>
        </is>
      </c>
      <c r="M42" s="27" t="inlineStr">
        <is>
          <t>65°C / 6h</t>
        </is>
      </c>
      <c r="N42" s="27" t="inlineStr">
        <is>
          <t>✓</t>
        </is>
      </c>
      <c r="O42" s="27" t="inlineStr">
        <is>
          <t>✓</t>
        </is>
      </c>
      <c r="P42" s="27" t="inlineStr">
        <is>
          <t>✓</t>
        </is>
      </c>
      <c r="Q42" s="27" t="inlineStr">
        <is>
          <t>✓</t>
        </is>
      </c>
      <c r="R42" s="27" t="inlineStr">
        <is>
          <t>A</t>
        </is>
      </c>
      <c r="S42" s="26" t="inlineStr">
        <is>
          <t>Color list confirmed via multiple official-eSUN reseller listings (INTSERVO, digitmakers); tolerance confirmed on esun3dstore.com product page</t>
        </is>
      </c>
      <c r="T42" s="26" t="inlineStr">
        <is>
          <t>Deep-dive follow-up 2026-07-19</t>
        </is>
      </c>
    </row>
    <row r="43" ht="20" customHeight="1">
      <c r="A43" s="23" t="inlineStr">
        <is>
          <t>PETG</t>
        </is>
      </c>
      <c r="B43" s="23" t="inlineStr">
        <is>
          <t>E-PETG-07</t>
        </is>
      </c>
      <c r="C43" s="23" t="inlineStr">
        <is>
          <t>eSUN PETG</t>
        </is>
      </c>
      <c r="D43" s="23" t="inlineStr">
        <is>
          <t>Yellow</t>
        </is>
      </c>
      <c r="E43" s="24" t="inlineStr"/>
      <c r="F43" s="25" t="inlineStr">
        <is>
          <t>#999999</t>
        </is>
      </c>
      <c r="G43" s="16" t="inlineStr">
        <is>
          <t>1.75mm</t>
        </is>
      </c>
      <c r="H43" s="16" t="inlineStr">
        <is>
          <t>±0.05mm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230–250°C</t>
        </is>
      </c>
      <c r="L43" s="16" t="inlineStr">
        <is>
          <t>60–80°C (optional)</t>
        </is>
      </c>
      <c r="M43" s="16" t="inlineStr">
        <is>
          <t>65°C / 6h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A</t>
        </is>
      </c>
      <c r="S43" s="23" t="inlineStr">
        <is>
          <t>Color list confirmed via multiple official-eSUN reseller listings (INTSERVO, digitmakers); tolerance confirmed on esun3dstore.com product page</t>
        </is>
      </c>
      <c r="T43" s="23" t="inlineStr">
        <is>
          <t>Deep-dive follow-up 2026-07-19</t>
        </is>
      </c>
    </row>
    <row r="44" ht="20" customHeight="1">
      <c r="A44" s="26" t="inlineStr">
        <is>
          <t>PETG+HS</t>
        </is>
      </c>
      <c r="B44" s="26" t="inlineStr">
        <is>
          <t>E-PH-05</t>
        </is>
      </c>
      <c r="C44" s="26" t="inlineStr">
        <is>
          <t>eSUN PETG+HS (High Speed)</t>
        </is>
      </c>
      <c r="D44" s="26" t="inlineStr">
        <is>
          <t>Black</t>
        </is>
      </c>
      <c r="E44" s="28" t="inlineStr"/>
      <c r="F44" s="29" t="inlineStr">
        <is>
          <t>#0D0D0D</t>
        </is>
      </c>
      <c r="G44" s="27" t="inlineStr">
        <is>
          <t>1.75mm</t>
        </is>
      </c>
      <c r="H44" s="27" t="inlineStr">
        <is>
          <t>±0.05mm</t>
        </is>
      </c>
      <c r="I44" s="27" t="inlineStr">
        <is>
          <t>Plastic</t>
        </is>
      </c>
      <c r="J44" s="27" t="inlineStr">
        <is>
          <t>No</t>
        </is>
      </c>
      <c r="K44" s="27" t="inlineStr">
        <is>
          <t>240–260°C</t>
        </is>
      </c>
      <c r="L44" s="27" t="inlineStr">
        <is>
          <t>60–80°C</t>
        </is>
      </c>
      <c r="M44" s="27" t="inlineStr">
        <is>
          <t>65°C / 6h</t>
        </is>
      </c>
      <c r="N44" s="27" t="inlineStr">
        <is>
          <t>✓</t>
        </is>
      </c>
      <c r="O44" s="27" t="inlineStr">
        <is>
          <t>✓</t>
        </is>
      </c>
      <c r="P44" s="27" t="inlineStr">
        <is>
          <t>✓</t>
        </is>
      </c>
      <c r="Q44" s="27" t="inlineStr">
        <is>
          <t>✓</t>
        </is>
      </c>
      <c r="R44" s="27" t="inlineStr">
        <is>
          <t>C</t>
        </is>
      </c>
      <c r="S44" s="26" t="inlineStr">
        <is>
          <t>Line existence confirmed via official eSUN Product Manual; specs estimated from the closest sibling material, not individually TDS-confirmed</t>
        </is>
      </c>
      <c r="T44" s="26" t="inlineStr">
        <is>
          <t>PLACEHOLDER — line confirmed to exist in official eSUN Product Manual (esun3d.com/uploads/eSUN-3D-Product-Manual) but color list not verified this pass</t>
        </is>
      </c>
    </row>
    <row r="45" ht="20" customHeight="1">
      <c r="A45" s="23" t="inlineStr">
        <is>
          <t>PETG-Basic</t>
        </is>
      </c>
      <c r="B45" s="23" t="inlineStr">
        <is>
          <t>E-PH-03</t>
        </is>
      </c>
      <c r="C45" s="23" t="inlineStr">
        <is>
          <t>eSUN PETG-Basic</t>
        </is>
      </c>
      <c r="D45" s="23" t="inlineStr">
        <is>
          <t>Black</t>
        </is>
      </c>
      <c r="E45" s="28" t="inlineStr"/>
      <c r="F45" s="29" t="inlineStr">
        <is>
          <t>#0D0D0D</t>
        </is>
      </c>
      <c r="G45" s="16" t="inlineStr">
        <is>
          <t>1.75mm</t>
        </is>
      </c>
      <c r="H45" s="16" t="inlineStr">
        <is>
          <t>±0.05mm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230–250°C</t>
        </is>
      </c>
      <c r="L45" s="16" t="inlineStr">
        <is>
          <t>60–80°C</t>
        </is>
      </c>
      <c r="M45" s="16" t="inlineStr">
        <is>
          <t>65°C / 6h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C</t>
        </is>
      </c>
      <c r="S45" s="23" t="inlineStr">
        <is>
          <t>Line existence confirmed via official eSUN Product Manual; specs estimated from the closest sibling material, not individually TDS-confirmed</t>
        </is>
      </c>
      <c r="T45" s="23" t="inlineStr">
        <is>
          <t>PLACEHOLDER — line confirmed to exist in official eSUN Product Manual (esun3d.com/uploads/eSUN-3D-Product-Manual) but color list not verified this pass</t>
        </is>
      </c>
    </row>
    <row r="46" ht="20" customHeight="1">
      <c r="A46" s="26" t="inlineStr">
        <is>
          <t>PETG-CF</t>
        </is>
      </c>
      <c r="B46" s="26" t="inlineStr">
        <is>
          <t>E-PETGCF-01</t>
        </is>
      </c>
      <c r="C46" s="26" t="inlineStr">
        <is>
          <t>eSUN PETG-CF</t>
        </is>
      </c>
      <c r="D46" s="26" t="inlineStr">
        <is>
          <t>Black</t>
        </is>
      </c>
      <c r="E46" s="24" t="inlineStr"/>
      <c r="F46" s="25" t="inlineStr">
        <is>
          <t>#999999</t>
        </is>
      </c>
      <c r="G46" s="27" t="inlineStr">
        <is>
          <t>1.75mm</t>
        </is>
      </c>
      <c r="H46" s="27" t="inlineStr">
        <is>
          <t>±0.03mm</t>
        </is>
      </c>
      <c r="I46" s="27" t="inlineStr">
        <is>
          <t>Plastic</t>
        </is>
      </c>
      <c r="J46" s="27" t="inlineStr">
        <is>
          <t>No</t>
        </is>
      </c>
      <c r="K46" s="27" t="inlineStr">
        <is>
          <t>240–260°C</t>
        </is>
      </c>
      <c r="L46" s="27" t="inlineStr">
        <is>
          <t>70–85°C</t>
        </is>
      </c>
      <c r="M46" s="27" t="inlineStr">
        <is>
          <t>65°C / 8h</t>
        </is>
      </c>
      <c r="N46" s="27" t="inlineStr">
        <is>
          <t>✓</t>
        </is>
      </c>
      <c r="O46" s="27" t="inlineStr">
        <is>
          <t>✓</t>
        </is>
      </c>
      <c r="P46" s="27" t="inlineStr">
        <is>
          <t>✓</t>
        </is>
      </c>
      <c r="Q46" s="27" t="inlineStr">
        <is>
          <t>✓</t>
        </is>
      </c>
      <c r="R46" s="27" t="inlineStr">
        <is>
          <t>B</t>
        </is>
      </c>
      <c r="S46" s="26" t="inlineStr">
        <is>
          <t>Existing catalog entry — not re-verified this deep-dive pass</t>
        </is>
      </c>
      <c r="T46" s="26" t="inlineStr">
        <is>
          <t>Not independently re-verified this pass</t>
        </is>
      </c>
    </row>
    <row r="47" ht="20" customHeight="1">
      <c r="A47" s="23" t="inlineStr">
        <is>
          <t>PETG-ESD</t>
        </is>
      </c>
      <c r="B47" s="23" t="inlineStr">
        <is>
          <t>E-PH-12</t>
        </is>
      </c>
      <c r="C47" s="23" t="inlineStr">
        <is>
          <t>eSUN PETG-ESD</t>
        </is>
      </c>
      <c r="D47" s="23" t="inlineStr">
        <is>
          <t>Black</t>
        </is>
      </c>
      <c r="E47" s="28" t="inlineStr"/>
      <c r="F47" s="29" t="inlineStr">
        <is>
          <t>#0D0D0D</t>
        </is>
      </c>
      <c r="G47" s="16" t="inlineStr">
        <is>
          <t>1.75mm</t>
        </is>
      </c>
      <c r="H47" s="16" t="inlineStr">
        <is>
          <t>±0.05mm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240–260°C</t>
        </is>
      </c>
      <c r="L47" s="16" t="inlineStr">
        <is>
          <t>60–80°C</t>
        </is>
      </c>
      <c r="M47" s="16" t="inlineStr">
        <is>
          <t>65°C / 6h</t>
        </is>
      </c>
      <c r="N47" s="16" t="inlineStr">
        <is>
          <t>✓</t>
        </is>
      </c>
      <c r="O47" s="16" t="inlineStr">
        <is>
          <t>✓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C</t>
        </is>
      </c>
      <c r="S47" s="23" t="inlineStr">
        <is>
          <t>Line existence confirmed via official eSUN Product Manual; specs estimated from the closest sibling material, not individually TDS-confirmed</t>
        </is>
      </c>
      <c r="T47" s="23" t="inlineStr">
        <is>
          <t>PLACEHOLDER — line confirmed to exist in official eSUN Product Manual (esun3d.com/uploads/eSUN-3D-Product-Manual) but color list not verified this pass</t>
        </is>
      </c>
    </row>
    <row r="48" ht="20" customHeight="1">
      <c r="A48" s="26" t="inlineStr">
        <is>
          <t>PLA+</t>
        </is>
      </c>
      <c r="B48" s="26" t="inlineStr">
        <is>
          <t>E-PLAP-43</t>
        </is>
      </c>
      <c r="C48" s="26" t="inlineStr">
        <is>
          <t>eSUN PLA+</t>
        </is>
      </c>
      <c r="D48" s="26" t="inlineStr">
        <is>
          <t>Almond Yellow</t>
        </is>
      </c>
      <c r="E48" s="24" t="inlineStr"/>
      <c r="F48" s="25" t="inlineStr">
        <is>
          <t>#999999</t>
        </is>
      </c>
      <c r="G48" s="27" t="inlineStr">
        <is>
          <t>1.75mm</t>
        </is>
      </c>
      <c r="H48" s="27" t="inlineStr">
        <is>
          <t>±0.03mm</t>
        </is>
      </c>
      <c r="I48" s="27" t="inlineStr">
        <is>
          <t>Plastic</t>
        </is>
      </c>
      <c r="J48" s="27" t="inlineStr">
        <is>
          <t>No</t>
        </is>
      </c>
      <c r="K48" s="27" t="inlineStr">
        <is>
          <t>200–230°C</t>
        </is>
      </c>
      <c r="L48" s="27" t="inlineStr">
        <is>
          <t>45–60°C</t>
        </is>
      </c>
      <c r="M48" s="27" t="inlineStr">
        <is>
          <t>45°C / 4h</t>
        </is>
      </c>
      <c r="N48" s="27" t="inlineStr">
        <is>
          <t>✓</t>
        </is>
      </c>
      <c r="O48" s="27" t="inlineStr">
        <is>
          <t>✓</t>
        </is>
      </c>
      <c r="P48" s="27" t="inlineStr">
        <is>
          <t>✓</t>
        </is>
      </c>
      <c r="Q48" s="27" t="inlineStr">
        <is>
          <t>✓</t>
        </is>
      </c>
      <c r="R48" s="27" t="inlineStr">
        <is>
          <t>A</t>
        </is>
      </c>
      <c r="S48" s="26" t="inlineStr">
        <is>
          <t>Manufacturer-confirmed color list (esun3dstore.com official store, live product page)</t>
        </is>
      </c>
      <c r="T48" s="26" t="inlineStr">
        <is>
          <t>Deep-dive follow-up 2026-07-19</t>
        </is>
      </c>
    </row>
    <row r="49" ht="20" customHeight="1">
      <c r="A49" s="23" t="inlineStr">
        <is>
          <t>PLA+</t>
        </is>
      </c>
      <c r="B49" s="23" t="inlineStr">
        <is>
          <t>E-PLAP-46</t>
        </is>
      </c>
      <c r="C49" s="23" t="inlineStr">
        <is>
          <t>eSUN PLA+</t>
        </is>
      </c>
      <c r="D49" s="23" t="inlineStr">
        <is>
          <t>Apricot</t>
        </is>
      </c>
      <c r="E49" s="24" t="inlineStr"/>
      <c r="F49" s="25" t="inlineStr">
        <is>
          <t>#999999</t>
        </is>
      </c>
      <c r="G49" s="16" t="inlineStr">
        <is>
          <t>1.75mm</t>
        </is>
      </c>
      <c r="H49" s="16" t="inlineStr">
        <is>
          <t>±0.03mm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200–230°C</t>
        </is>
      </c>
      <c r="L49" s="16" t="inlineStr">
        <is>
          <t>45–60°C</t>
        </is>
      </c>
      <c r="M49" s="16" t="inlineStr">
        <is>
          <t>45°C / 4h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A</t>
        </is>
      </c>
      <c r="S49" s="23" t="inlineStr">
        <is>
          <t>Manufacturer-confirmed color list (esun3dstore.com official store, live product page)</t>
        </is>
      </c>
      <c r="T49" s="23" t="inlineStr">
        <is>
          <t>Deep-dive follow-up 2026-07-19</t>
        </is>
      </c>
    </row>
    <row r="50" ht="20" customHeight="1">
      <c r="A50" s="26" t="inlineStr">
        <is>
          <t>PLA+</t>
        </is>
      </c>
      <c r="B50" s="26" t="inlineStr">
        <is>
          <t>E-PLAP-36</t>
        </is>
      </c>
      <c r="C50" s="26" t="inlineStr">
        <is>
          <t>eSUN PLA+</t>
        </is>
      </c>
      <c r="D50" s="26" t="inlineStr">
        <is>
          <t>Aqua</t>
        </is>
      </c>
      <c r="E50" s="24" t="inlineStr"/>
      <c r="F50" s="25" t="inlineStr">
        <is>
          <t>#999999</t>
        </is>
      </c>
      <c r="G50" s="27" t="inlineStr">
        <is>
          <t>1.75mm</t>
        </is>
      </c>
      <c r="H50" s="27" t="inlineStr">
        <is>
          <t>±0.03mm</t>
        </is>
      </c>
      <c r="I50" s="27" t="inlineStr">
        <is>
          <t>Plastic</t>
        </is>
      </c>
      <c r="J50" s="27" t="inlineStr">
        <is>
          <t>No</t>
        </is>
      </c>
      <c r="K50" s="27" t="inlineStr">
        <is>
          <t>200–230°C</t>
        </is>
      </c>
      <c r="L50" s="27" t="inlineStr">
        <is>
          <t>45–60°C</t>
        </is>
      </c>
      <c r="M50" s="27" t="inlineStr">
        <is>
          <t>45°C / 4h</t>
        </is>
      </c>
      <c r="N50" s="27" t="inlineStr">
        <is>
          <t>✓</t>
        </is>
      </c>
      <c r="O50" s="27" t="inlineStr">
        <is>
          <t>✓</t>
        </is>
      </c>
      <c r="P50" s="27" t="inlineStr">
        <is>
          <t>✓</t>
        </is>
      </c>
      <c r="Q50" s="27" t="inlineStr">
        <is>
          <t>✓</t>
        </is>
      </c>
      <c r="R50" s="27" t="inlineStr">
        <is>
          <t>A</t>
        </is>
      </c>
      <c r="S50" s="26" t="inlineStr">
        <is>
          <t>Manufacturer-confirmed color list (esun3dstore.com official store, live product page)</t>
        </is>
      </c>
      <c r="T50" s="26" t="inlineStr">
        <is>
          <t>Deep-dive follow-up 2026-07-19</t>
        </is>
      </c>
    </row>
    <row r="51" ht="20" customHeight="1">
      <c r="A51" s="23" t="inlineStr">
        <is>
          <t>PLA+</t>
        </is>
      </c>
      <c r="B51" s="23" t="inlineStr">
        <is>
          <t>E-PLAP-06</t>
        </is>
      </c>
      <c r="C51" s="23" t="inlineStr">
        <is>
          <t>eSUN PLA+</t>
        </is>
      </c>
      <c r="D51" s="23" t="inlineStr">
        <is>
          <t>Beige</t>
        </is>
      </c>
      <c r="E51" s="24" t="inlineStr"/>
      <c r="F51" s="25" t="inlineStr">
        <is>
          <t>#999999</t>
        </is>
      </c>
      <c r="G51" s="16" t="inlineStr">
        <is>
          <t>1.75mm</t>
        </is>
      </c>
      <c r="H51" s="16" t="inlineStr">
        <is>
          <t>±0.03mm</t>
        </is>
      </c>
      <c r="I51" s="16" t="inlineStr">
        <is>
          <t>Plastic</t>
        </is>
      </c>
      <c r="J51" s="16" t="inlineStr">
        <is>
          <t>No</t>
        </is>
      </c>
      <c r="K51" s="16" t="inlineStr">
        <is>
          <t>200–230°C</t>
        </is>
      </c>
      <c r="L51" s="16" t="inlineStr">
        <is>
          <t>45–60°C</t>
        </is>
      </c>
      <c r="M51" s="16" t="inlineStr">
        <is>
          <t>45°C / 4h</t>
        </is>
      </c>
      <c r="N51" s="16" t="inlineStr">
        <is>
          <t>✓</t>
        </is>
      </c>
      <c r="O51" s="16" t="inlineStr">
        <is>
          <t>✓</t>
        </is>
      </c>
      <c r="P51" s="16" t="inlineStr">
        <is>
          <t>✓</t>
        </is>
      </c>
      <c r="Q51" s="16" t="inlineStr">
        <is>
          <t>✓</t>
        </is>
      </c>
      <c r="R51" s="16" t="inlineStr">
        <is>
          <t>A</t>
        </is>
      </c>
      <c r="S51" s="23" t="inlineStr">
        <is>
          <t>Manufacturer-confirmed color list (esun3dstore.com official store, live product page)</t>
        </is>
      </c>
      <c r="T51" s="23" t="inlineStr">
        <is>
          <t>Deep-dive follow-up 2026-07-19</t>
        </is>
      </c>
    </row>
    <row r="52" ht="20" customHeight="1">
      <c r="A52" s="26" t="inlineStr">
        <is>
          <t>PLA+</t>
        </is>
      </c>
      <c r="B52" s="26" t="inlineStr">
        <is>
          <t>E-PLAP-01</t>
        </is>
      </c>
      <c r="C52" s="26" t="inlineStr">
        <is>
          <t>eSUN PLA+</t>
        </is>
      </c>
      <c r="D52" s="26" t="inlineStr">
        <is>
          <t>Black</t>
        </is>
      </c>
      <c r="E52" s="30" t="inlineStr"/>
      <c r="F52" s="31" t="inlineStr">
        <is>
          <t>#373838</t>
        </is>
      </c>
      <c r="G52" s="27" t="inlineStr">
        <is>
          <t>1.75mm</t>
        </is>
      </c>
      <c r="H52" s="27" t="inlineStr">
        <is>
          <t>±0.03mm</t>
        </is>
      </c>
      <c r="I52" s="27" t="inlineStr">
        <is>
          <t>Plastic</t>
        </is>
      </c>
      <c r="J52" s="27" t="inlineStr">
        <is>
          <t>No</t>
        </is>
      </c>
      <c r="K52" s="27" t="inlineStr">
        <is>
          <t>200–230°C</t>
        </is>
      </c>
      <c r="L52" s="27" t="inlineStr">
        <is>
          <t>45–60°C</t>
        </is>
      </c>
      <c r="M52" s="27" t="inlineStr">
        <is>
          <t>45°C / 4h</t>
        </is>
      </c>
      <c r="N52" s="27" t="inlineStr">
        <is>
          <t>✓</t>
        </is>
      </c>
      <c r="O52" s="27" t="inlineStr">
        <is>
          <t>✓</t>
        </is>
      </c>
      <c r="P52" s="27" t="inlineStr">
        <is>
          <t>✓</t>
        </is>
      </c>
      <c r="Q52" s="27" t="inlineStr">
        <is>
          <t>✓</t>
        </is>
      </c>
      <c r="R52" s="27" t="inlineStr">
        <is>
          <t>A</t>
        </is>
      </c>
      <c r="S52" s="26" t="inlineStr">
        <is>
          <t>Manufacturer-confirmed color list (esun3dstore.com official store, live product page)</t>
        </is>
      </c>
      <c r="T52" s="26" t="inlineStr">
        <is>
          <t>Deep-dive follow-up 2026-07-19 | Hex colorimeter-confirmed via filamentcolors.xyz</t>
        </is>
      </c>
    </row>
    <row r="53" ht="20" customHeight="1">
      <c r="A53" s="23" t="inlineStr">
        <is>
          <t>PLA+</t>
        </is>
      </c>
      <c r="B53" s="23" t="inlineStr">
        <is>
          <t>E-PLAP-28</t>
        </is>
      </c>
      <c r="C53" s="23" t="inlineStr">
        <is>
          <t>eSUN PLA+</t>
        </is>
      </c>
      <c r="D53" s="23" t="inlineStr">
        <is>
          <t>Blue</t>
        </is>
      </c>
      <c r="E53" s="24" t="inlineStr"/>
      <c r="F53" s="25" t="inlineStr">
        <is>
          <t>#999999</t>
        </is>
      </c>
      <c r="G53" s="16" t="inlineStr">
        <is>
          <t>1.75mm</t>
        </is>
      </c>
      <c r="H53" s="16" t="inlineStr">
        <is>
          <t>±0.03mm</t>
        </is>
      </c>
      <c r="I53" s="16" t="inlineStr">
        <is>
          <t>Plastic</t>
        </is>
      </c>
      <c r="J53" s="16" t="inlineStr">
        <is>
          <t>No</t>
        </is>
      </c>
      <c r="K53" s="16" t="inlineStr">
        <is>
          <t>200–230°C</t>
        </is>
      </c>
      <c r="L53" s="16" t="inlineStr">
        <is>
          <t>45–60°C</t>
        </is>
      </c>
      <c r="M53" s="16" t="inlineStr">
        <is>
          <t>45°C / 4h</t>
        </is>
      </c>
      <c r="N53" s="16" t="inlineStr">
        <is>
          <t>✓</t>
        </is>
      </c>
      <c r="O53" s="16" t="inlineStr">
        <is>
          <t>✓</t>
        </is>
      </c>
      <c r="P53" s="16" t="inlineStr">
        <is>
          <t>✓</t>
        </is>
      </c>
      <c r="Q53" s="16" t="inlineStr">
        <is>
          <t>✓</t>
        </is>
      </c>
      <c r="R53" s="16" t="inlineStr">
        <is>
          <t>A</t>
        </is>
      </c>
      <c r="S53" s="23" t="inlineStr">
        <is>
          <t>Manufacturer-confirmed color list (esun3dstore.com official store, live product page)</t>
        </is>
      </c>
      <c r="T53" s="23" t="inlineStr">
        <is>
          <t>Deep-dive follow-up 2026-07-19</t>
        </is>
      </c>
    </row>
    <row r="54" ht="20" customHeight="1">
      <c r="A54" s="26" t="inlineStr">
        <is>
          <t>PLA+</t>
        </is>
      </c>
      <c r="B54" s="26" t="inlineStr">
        <is>
          <t>E-PLAP-05</t>
        </is>
      </c>
      <c r="C54" s="26" t="inlineStr">
        <is>
          <t>eSUN PLA+</t>
        </is>
      </c>
      <c r="D54" s="26" t="inlineStr">
        <is>
          <t>Bone White</t>
        </is>
      </c>
      <c r="E54" s="32" t="inlineStr"/>
      <c r="F54" s="33" t="inlineStr">
        <is>
          <t>#C2BAA7</t>
        </is>
      </c>
      <c r="G54" s="27" t="inlineStr">
        <is>
          <t>1.75mm</t>
        </is>
      </c>
      <c r="H54" s="27" t="inlineStr">
        <is>
          <t>±0.03mm</t>
        </is>
      </c>
      <c r="I54" s="27" t="inlineStr">
        <is>
          <t>Plastic</t>
        </is>
      </c>
      <c r="J54" s="27" t="inlineStr">
        <is>
          <t>No</t>
        </is>
      </c>
      <c r="K54" s="27" t="inlineStr">
        <is>
          <t>200–230°C</t>
        </is>
      </c>
      <c r="L54" s="27" t="inlineStr">
        <is>
          <t>45–60°C</t>
        </is>
      </c>
      <c r="M54" s="27" t="inlineStr">
        <is>
          <t>45°C / 4h</t>
        </is>
      </c>
      <c r="N54" s="27" t="inlineStr">
        <is>
          <t>✓</t>
        </is>
      </c>
      <c r="O54" s="27" t="inlineStr">
        <is>
          <t>✓</t>
        </is>
      </c>
      <c r="P54" s="27" t="inlineStr">
        <is>
          <t>✓</t>
        </is>
      </c>
      <c r="Q54" s="27" t="inlineStr">
        <is>
          <t>✓</t>
        </is>
      </c>
      <c r="R54" s="27" t="inlineStr">
        <is>
          <t>A</t>
        </is>
      </c>
      <c r="S54" s="26" t="inlineStr">
        <is>
          <t>Manufacturer-confirmed color list (esun3dstore.com official store, live product page)</t>
        </is>
      </c>
      <c r="T54" s="26" t="inlineStr">
        <is>
          <t>Deep-dive follow-up 2026-07-19 | Hex colorimeter-confirmed via filamentcolors.xyz</t>
        </is>
      </c>
    </row>
    <row r="55" ht="20" customHeight="1">
      <c r="A55" s="23" t="inlineStr">
        <is>
          <t>PLA+</t>
        </is>
      </c>
      <c r="B55" s="23" t="inlineStr">
        <is>
          <t>E-PLAP-15</t>
        </is>
      </c>
      <c r="C55" s="23" t="inlineStr">
        <is>
          <t>eSUN PLA+</t>
        </is>
      </c>
      <c r="D55" s="23" t="inlineStr">
        <is>
          <t>Brick Red</t>
        </is>
      </c>
      <c r="E55" s="24" t="inlineStr"/>
      <c r="F55" s="25" t="inlineStr">
        <is>
          <t>#999999</t>
        </is>
      </c>
      <c r="G55" s="16" t="inlineStr">
        <is>
          <t>1.75mm</t>
        </is>
      </c>
      <c r="H55" s="16" t="inlineStr">
        <is>
          <t>±0.03mm</t>
        </is>
      </c>
      <c r="I55" s="16" t="inlineStr">
        <is>
          <t>Plastic</t>
        </is>
      </c>
      <c r="J55" s="16" t="inlineStr">
        <is>
          <t>No</t>
        </is>
      </c>
      <c r="K55" s="16" t="inlineStr">
        <is>
          <t>200–230°C</t>
        </is>
      </c>
      <c r="L55" s="16" t="inlineStr">
        <is>
          <t>45–60°C</t>
        </is>
      </c>
      <c r="M55" s="16" t="inlineStr">
        <is>
          <t>45°C / 4h</t>
        </is>
      </c>
      <c r="N55" s="16" t="inlineStr">
        <is>
          <t>✓</t>
        </is>
      </c>
      <c r="O55" s="16" t="inlineStr">
        <is>
          <t>✓</t>
        </is>
      </c>
      <c r="P55" s="16" t="inlineStr">
        <is>
          <t>✓</t>
        </is>
      </c>
      <c r="Q55" s="16" t="inlineStr">
        <is>
          <t>✓</t>
        </is>
      </c>
      <c r="R55" s="16" t="inlineStr">
        <is>
          <t>A</t>
        </is>
      </c>
      <c r="S55" s="23" t="inlineStr">
        <is>
          <t>Manufacturer-confirmed color list (esun3dstore.com official store, live product page)</t>
        </is>
      </c>
      <c r="T55" s="23" t="inlineStr">
        <is>
          <t>Deep-dive follow-up 2026-07-19</t>
        </is>
      </c>
    </row>
    <row r="56" ht="20" customHeight="1">
      <c r="A56" s="26" t="inlineStr">
        <is>
          <t>PLA+</t>
        </is>
      </c>
      <c r="B56" s="26" t="inlineStr">
        <is>
          <t>E-PLAP-37</t>
        </is>
      </c>
      <c r="C56" s="26" t="inlineStr">
        <is>
          <t>eSUN PLA+</t>
        </is>
      </c>
      <c r="D56" s="26" t="inlineStr">
        <is>
          <t>Brown</t>
        </is>
      </c>
      <c r="E56" s="24" t="inlineStr"/>
      <c r="F56" s="25" t="inlineStr">
        <is>
          <t>#999999</t>
        </is>
      </c>
      <c r="G56" s="27" t="inlineStr">
        <is>
          <t>1.75mm</t>
        </is>
      </c>
      <c r="H56" s="27" t="inlineStr">
        <is>
          <t>±0.03mm</t>
        </is>
      </c>
      <c r="I56" s="27" t="inlineStr">
        <is>
          <t>Plastic</t>
        </is>
      </c>
      <c r="J56" s="27" t="inlineStr">
        <is>
          <t>No</t>
        </is>
      </c>
      <c r="K56" s="27" t="inlineStr">
        <is>
          <t>200–230°C</t>
        </is>
      </c>
      <c r="L56" s="27" t="inlineStr">
        <is>
          <t>45–60°C</t>
        </is>
      </c>
      <c r="M56" s="27" t="inlineStr">
        <is>
          <t>45°C / 4h</t>
        </is>
      </c>
      <c r="N56" s="27" t="inlineStr">
        <is>
          <t>✓</t>
        </is>
      </c>
      <c r="O56" s="27" t="inlineStr">
        <is>
          <t>✓</t>
        </is>
      </c>
      <c r="P56" s="27" t="inlineStr">
        <is>
          <t>✓</t>
        </is>
      </c>
      <c r="Q56" s="27" t="inlineStr">
        <is>
          <t>✓</t>
        </is>
      </c>
      <c r="R56" s="27" t="inlineStr">
        <is>
          <t>A</t>
        </is>
      </c>
      <c r="S56" s="26" t="inlineStr">
        <is>
          <t>Manufacturer-confirmed color list (esun3dstore.com official store, live product page)</t>
        </is>
      </c>
      <c r="T56" s="26" t="inlineStr">
        <is>
          <t>Deep-dive follow-up 2026-07-19</t>
        </is>
      </c>
    </row>
    <row r="57" ht="20" customHeight="1">
      <c r="A57" s="23" t="inlineStr">
        <is>
          <t>PLA+</t>
        </is>
      </c>
      <c r="B57" s="23" t="inlineStr">
        <is>
          <t>E-PLAP-02</t>
        </is>
      </c>
      <c r="C57" s="23" t="inlineStr">
        <is>
          <t>eSUN PLA+</t>
        </is>
      </c>
      <c r="D57" s="23" t="inlineStr">
        <is>
          <t>Cold White</t>
        </is>
      </c>
      <c r="E57" s="34" t="inlineStr"/>
      <c r="F57" s="35" t="inlineStr">
        <is>
          <t>#E1E4E5</t>
        </is>
      </c>
      <c r="G57" s="16" t="inlineStr">
        <is>
          <t>1.75mm</t>
        </is>
      </c>
      <c r="H57" s="16" t="inlineStr">
        <is>
          <t>±0.03mm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200–230°C</t>
        </is>
      </c>
      <c r="L57" s="16" t="inlineStr">
        <is>
          <t>45–60°C</t>
        </is>
      </c>
      <c r="M57" s="16" t="inlineStr">
        <is>
          <t>45°C / 4h</t>
        </is>
      </c>
      <c r="N57" s="16" t="inlineStr">
        <is>
          <t>✓</t>
        </is>
      </c>
      <c r="O57" s="16" t="inlineStr">
        <is>
          <t>✓</t>
        </is>
      </c>
      <c r="P57" s="16" t="inlineStr">
        <is>
          <t>✓</t>
        </is>
      </c>
      <c r="Q57" s="16" t="inlineStr">
        <is>
          <t>✓</t>
        </is>
      </c>
      <c r="R57" s="16" t="inlineStr">
        <is>
          <t>A</t>
        </is>
      </c>
      <c r="S57" s="23" t="inlineStr">
        <is>
          <t>Manufacturer-confirmed color list (esun3dstore.com official store, live product page)</t>
        </is>
      </c>
      <c r="T57" s="23" t="inlineStr">
        <is>
          <t>Deep-dive follow-up 2026-07-19 | Hex colorimeter-confirmed via filamentcolors.xyz</t>
        </is>
      </c>
    </row>
    <row r="58" ht="20" customHeight="1">
      <c r="A58" s="26" t="inlineStr">
        <is>
          <t>PLA+</t>
        </is>
      </c>
      <c r="B58" s="26" t="inlineStr">
        <is>
          <t>E-PLAP-10</t>
        </is>
      </c>
      <c r="C58" s="26" t="inlineStr">
        <is>
          <t>eSUN PLA+</t>
        </is>
      </c>
      <c r="D58" s="26" t="inlineStr">
        <is>
          <t>Concrete Grey</t>
        </is>
      </c>
      <c r="E58" s="24" t="inlineStr"/>
      <c r="F58" s="25" t="inlineStr">
        <is>
          <t>#999999</t>
        </is>
      </c>
      <c r="G58" s="27" t="inlineStr">
        <is>
          <t>1.75mm</t>
        </is>
      </c>
      <c r="H58" s="27" t="inlineStr">
        <is>
          <t>±0.03mm</t>
        </is>
      </c>
      <c r="I58" s="27" t="inlineStr">
        <is>
          <t>Plastic</t>
        </is>
      </c>
      <c r="J58" s="27" t="inlineStr">
        <is>
          <t>No</t>
        </is>
      </c>
      <c r="K58" s="27" t="inlineStr">
        <is>
          <t>200–230°C</t>
        </is>
      </c>
      <c r="L58" s="27" t="inlineStr">
        <is>
          <t>45–60°C</t>
        </is>
      </c>
      <c r="M58" s="27" t="inlineStr">
        <is>
          <t>45°C / 4h</t>
        </is>
      </c>
      <c r="N58" s="27" t="inlineStr">
        <is>
          <t>✓</t>
        </is>
      </c>
      <c r="O58" s="27" t="inlineStr">
        <is>
          <t>✓</t>
        </is>
      </c>
      <c r="P58" s="27" t="inlineStr">
        <is>
          <t>✓</t>
        </is>
      </c>
      <c r="Q58" s="27" t="inlineStr">
        <is>
          <t>✓</t>
        </is>
      </c>
      <c r="R58" s="27" t="inlineStr">
        <is>
          <t>A</t>
        </is>
      </c>
      <c r="S58" s="26" t="inlineStr">
        <is>
          <t>Manufacturer-confirmed color list (esun3dstore.com official store, live product page)</t>
        </is>
      </c>
      <c r="T58" s="26" t="inlineStr">
        <is>
          <t>Deep-dive follow-up 2026-07-19</t>
        </is>
      </c>
    </row>
    <row r="59" ht="20" customHeight="1">
      <c r="A59" s="23" t="inlineStr">
        <is>
          <t>PLA+</t>
        </is>
      </c>
      <c r="B59" s="23" t="inlineStr">
        <is>
          <t>E-PLAP-45</t>
        </is>
      </c>
      <c r="C59" s="23" t="inlineStr">
        <is>
          <t>eSUN PLA+</t>
        </is>
      </c>
      <c r="D59" s="23" t="inlineStr">
        <is>
          <t>Coral Orange</t>
        </is>
      </c>
      <c r="E59" s="24" t="inlineStr"/>
      <c r="F59" s="25" t="inlineStr">
        <is>
          <t>#999999</t>
        </is>
      </c>
      <c r="G59" s="16" t="inlineStr">
        <is>
          <t>1.75mm</t>
        </is>
      </c>
      <c r="H59" s="16" t="inlineStr">
        <is>
          <t>±0.03mm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200–230°C</t>
        </is>
      </c>
      <c r="L59" s="16" t="inlineStr">
        <is>
          <t>45–60°C</t>
        </is>
      </c>
      <c r="M59" s="16" t="inlineStr">
        <is>
          <t>45°C / 4h</t>
        </is>
      </c>
      <c r="N59" s="16" t="inlineStr">
        <is>
          <t>✓</t>
        </is>
      </c>
      <c r="O59" s="16" t="inlineStr">
        <is>
          <t>✓</t>
        </is>
      </c>
      <c r="P59" s="16" t="inlineStr">
        <is>
          <t>✓</t>
        </is>
      </c>
      <c r="Q59" s="16" t="inlineStr">
        <is>
          <t>✓</t>
        </is>
      </c>
      <c r="R59" s="16" t="inlineStr">
        <is>
          <t>A</t>
        </is>
      </c>
      <c r="S59" s="23" t="inlineStr">
        <is>
          <t>Manufacturer-confirmed color list (esun3dstore.com official store, live product page)</t>
        </is>
      </c>
      <c r="T59" s="23" t="inlineStr">
        <is>
          <t>Deep-dive follow-up 2026-07-19</t>
        </is>
      </c>
    </row>
    <row r="60" ht="20" customHeight="1">
      <c r="A60" s="26" t="inlineStr">
        <is>
          <t>PLA+</t>
        </is>
      </c>
      <c r="B60" s="26" t="inlineStr">
        <is>
          <t>E-PLAP-30</t>
        </is>
      </c>
      <c r="C60" s="26" t="inlineStr">
        <is>
          <t>eSUN PLA+</t>
        </is>
      </c>
      <c r="D60" s="26" t="inlineStr">
        <is>
          <t>Dark Blue</t>
        </is>
      </c>
      <c r="E60" s="24" t="inlineStr"/>
      <c r="F60" s="25" t="inlineStr">
        <is>
          <t>#999999</t>
        </is>
      </c>
      <c r="G60" s="27" t="inlineStr">
        <is>
          <t>1.75mm</t>
        </is>
      </c>
      <c r="H60" s="27" t="inlineStr">
        <is>
          <t>±0.03mm</t>
        </is>
      </c>
      <c r="I60" s="27" t="inlineStr">
        <is>
          <t>Plastic</t>
        </is>
      </c>
      <c r="J60" s="27" t="inlineStr">
        <is>
          <t>No</t>
        </is>
      </c>
      <c r="K60" s="27" t="inlineStr">
        <is>
          <t>200–230°C</t>
        </is>
      </c>
      <c r="L60" s="27" t="inlineStr">
        <is>
          <t>45–60°C</t>
        </is>
      </c>
      <c r="M60" s="27" t="inlineStr">
        <is>
          <t>45°C / 4h</t>
        </is>
      </c>
      <c r="N60" s="27" t="inlineStr">
        <is>
          <t>✓</t>
        </is>
      </c>
      <c r="O60" s="27" t="inlineStr">
        <is>
          <t>✓</t>
        </is>
      </c>
      <c r="P60" s="27" t="inlineStr">
        <is>
          <t>✓</t>
        </is>
      </c>
      <c r="Q60" s="27" t="inlineStr">
        <is>
          <t>✓</t>
        </is>
      </c>
      <c r="R60" s="27" t="inlineStr">
        <is>
          <t>A</t>
        </is>
      </c>
      <c r="S60" s="26" t="inlineStr">
        <is>
          <t>Manufacturer-confirmed color list (esun3dstore.com official store, live product page)</t>
        </is>
      </c>
      <c r="T60" s="26" t="inlineStr">
        <is>
          <t>Deep-dive follow-up 2026-07-19</t>
        </is>
      </c>
    </row>
    <row r="61" ht="20" customHeight="1">
      <c r="A61" s="23" t="inlineStr">
        <is>
          <t>PLA+</t>
        </is>
      </c>
      <c r="B61" s="23" t="inlineStr">
        <is>
          <t>E-PLAP-12</t>
        </is>
      </c>
      <c r="C61" s="23" t="inlineStr">
        <is>
          <t>eSUN PLA+</t>
        </is>
      </c>
      <c r="D61" s="23" t="inlineStr">
        <is>
          <t>Fire Engine Red</t>
        </is>
      </c>
      <c r="E61" s="24" t="inlineStr"/>
      <c r="F61" s="25" t="inlineStr">
        <is>
          <t>#999999</t>
        </is>
      </c>
      <c r="G61" s="16" t="inlineStr">
        <is>
          <t>1.75mm</t>
        </is>
      </c>
      <c r="H61" s="16" t="inlineStr">
        <is>
          <t>±0.03mm</t>
        </is>
      </c>
      <c r="I61" s="16" t="inlineStr">
        <is>
          <t>Plastic</t>
        </is>
      </c>
      <c r="J61" s="16" t="inlineStr">
        <is>
          <t>No</t>
        </is>
      </c>
      <c r="K61" s="16" t="inlineStr">
        <is>
          <t>200–230°C</t>
        </is>
      </c>
      <c r="L61" s="16" t="inlineStr">
        <is>
          <t>45–60°C</t>
        </is>
      </c>
      <c r="M61" s="16" t="inlineStr">
        <is>
          <t>45°C / 4h</t>
        </is>
      </c>
      <c r="N61" s="16" t="inlineStr">
        <is>
          <t>✓</t>
        </is>
      </c>
      <c r="O61" s="16" t="inlineStr">
        <is>
          <t>✓</t>
        </is>
      </c>
      <c r="P61" s="16" t="inlineStr">
        <is>
          <t>✓</t>
        </is>
      </c>
      <c r="Q61" s="16" t="inlineStr">
        <is>
          <t>✓</t>
        </is>
      </c>
      <c r="R61" s="16" t="inlineStr">
        <is>
          <t>A</t>
        </is>
      </c>
      <c r="S61" s="23" t="inlineStr">
        <is>
          <t>Manufacturer-confirmed color list (esun3dstore.com official store, live product page)</t>
        </is>
      </c>
      <c r="T61" s="23" t="inlineStr">
        <is>
          <t>Deep-dive follow-up 2026-07-19</t>
        </is>
      </c>
    </row>
    <row r="62" ht="20" customHeight="1">
      <c r="A62" s="26" t="inlineStr">
        <is>
          <t>PLA+</t>
        </is>
      </c>
      <c r="B62" s="26" t="inlineStr">
        <is>
          <t>E-PLAP-47</t>
        </is>
      </c>
      <c r="C62" s="26" t="inlineStr">
        <is>
          <t>eSUN PLA+</t>
        </is>
      </c>
      <c r="D62" s="26" t="inlineStr">
        <is>
          <t>Gold</t>
        </is>
      </c>
      <c r="E62" s="24" t="inlineStr"/>
      <c r="F62" s="25" t="inlineStr">
        <is>
          <t>#999999</t>
        </is>
      </c>
      <c r="G62" s="27" t="inlineStr">
        <is>
          <t>1.75mm</t>
        </is>
      </c>
      <c r="H62" s="27" t="inlineStr">
        <is>
          <t>±0.03mm</t>
        </is>
      </c>
      <c r="I62" s="27" t="inlineStr">
        <is>
          <t>Plastic</t>
        </is>
      </c>
      <c r="J62" s="27" t="inlineStr">
        <is>
          <t>No</t>
        </is>
      </c>
      <c r="K62" s="27" t="inlineStr">
        <is>
          <t>200–230°C</t>
        </is>
      </c>
      <c r="L62" s="27" t="inlineStr">
        <is>
          <t>45–60°C</t>
        </is>
      </c>
      <c r="M62" s="27" t="inlineStr">
        <is>
          <t>45°C / 4h</t>
        </is>
      </c>
      <c r="N62" s="27" t="inlineStr">
        <is>
          <t>✓</t>
        </is>
      </c>
      <c r="O62" s="27" t="inlineStr">
        <is>
          <t>✓</t>
        </is>
      </c>
      <c r="P62" s="27" t="inlineStr">
        <is>
          <t>✓</t>
        </is>
      </c>
      <c r="Q62" s="27" t="inlineStr">
        <is>
          <t>✓</t>
        </is>
      </c>
      <c r="R62" s="27" t="inlineStr">
        <is>
          <t>A</t>
        </is>
      </c>
      <c r="S62" s="26" t="inlineStr">
        <is>
          <t>Manufacturer-confirmed color list (esun3dstore.com official store, live product page)</t>
        </is>
      </c>
      <c r="T62" s="26" t="inlineStr">
        <is>
          <t>Deep-dive follow-up 2026-07-19</t>
        </is>
      </c>
    </row>
    <row r="63" ht="20" customHeight="1">
      <c r="A63" s="23" t="inlineStr">
        <is>
          <t>PLA+</t>
        </is>
      </c>
      <c r="B63" s="23" t="inlineStr">
        <is>
          <t>E-PLAP-24</t>
        </is>
      </c>
      <c r="C63" s="23" t="inlineStr">
        <is>
          <t>eSUN PLA+</t>
        </is>
      </c>
      <c r="D63" s="23" t="inlineStr">
        <is>
          <t>Grass Green</t>
        </is>
      </c>
      <c r="E63" s="24" t="inlineStr"/>
      <c r="F63" s="25" t="inlineStr">
        <is>
          <t>#999999</t>
        </is>
      </c>
      <c r="G63" s="16" t="inlineStr">
        <is>
          <t>1.75mm</t>
        </is>
      </c>
      <c r="H63" s="16" t="inlineStr">
        <is>
          <t>±0.03mm</t>
        </is>
      </c>
      <c r="I63" s="16" t="inlineStr">
        <is>
          <t>Plastic</t>
        </is>
      </c>
      <c r="J63" s="16" t="inlineStr">
        <is>
          <t>No</t>
        </is>
      </c>
      <c r="K63" s="16" t="inlineStr">
        <is>
          <t>200–230°C</t>
        </is>
      </c>
      <c r="L63" s="16" t="inlineStr">
        <is>
          <t>45–60°C</t>
        </is>
      </c>
      <c r="M63" s="16" t="inlineStr">
        <is>
          <t>45°C / 4h</t>
        </is>
      </c>
      <c r="N63" s="16" t="inlineStr">
        <is>
          <t>✓</t>
        </is>
      </c>
      <c r="O63" s="16" t="inlineStr">
        <is>
          <t>✓</t>
        </is>
      </c>
      <c r="P63" s="16" t="inlineStr">
        <is>
          <t>✓</t>
        </is>
      </c>
      <c r="Q63" s="16" t="inlineStr">
        <is>
          <t>✓</t>
        </is>
      </c>
      <c r="R63" s="16" t="inlineStr">
        <is>
          <t>A</t>
        </is>
      </c>
      <c r="S63" s="23" t="inlineStr">
        <is>
          <t>Manufacturer-confirmed color list (esun3dstore.com official store, live product page)</t>
        </is>
      </c>
      <c r="T63" s="23" t="inlineStr">
        <is>
          <t>Deep-dive follow-up 2026-07-19</t>
        </is>
      </c>
    </row>
    <row r="64" ht="20" customHeight="1">
      <c r="A64" s="26" t="inlineStr">
        <is>
          <t>PLA+</t>
        </is>
      </c>
      <c r="B64" s="26" t="inlineStr">
        <is>
          <t>E-PLAP-17</t>
        </is>
      </c>
      <c r="C64" s="26" t="inlineStr">
        <is>
          <t>eSUN PLA+</t>
        </is>
      </c>
      <c r="D64" s="26" t="inlineStr">
        <is>
          <t>Green</t>
        </is>
      </c>
      <c r="E64" s="24" t="inlineStr"/>
      <c r="F64" s="25" t="inlineStr">
        <is>
          <t>#999999</t>
        </is>
      </c>
      <c r="G64" s="27" t="inlineStr">
        <is>
          <t>1.75mm</t>
        </is>
      </c>
      <c r="H64" s="27" t="inlineStr">
        <is>
          <t>±0.03mm</t>
        </is>
      </c>
      <c r="I64" s="27" t="inlineStr">
        <is>
          <t>Plastic</t>
        </is>
      </c>
      <c r="J64" s="27" t="inlineStr">
        <is>
          <t>No</t>
        </is>
      </c>
      <c r="K64" s="27" t="inlineStr">
        <is>
          <t>200–230°C</t>
        </is>
      </c>
      <c r="L64" s="27" t="inlineStr">
        <is>
          <t>45–60°C</t>
        </is>
      </c>
      <c r="M64" s="27" t="inlineStr">
        <is>
          <t>45°C / 4h</t>
        </is>
      </c>
      <c r="N64" s="27" t="inlineStr">
        <is>
          <t>✓</t>
        </is>
      </c>
      <c r="O64" s="27" t="inlineStr">
        <is>
          <t>✓</t>
        </is>
      </c>
      <c r="P64" s="27" t="inlineStr">
        <is>
          <t>✓</t>
        </is>
      </c>
      <c r="Q64" s="27" t="inlineStr">
        <is>
          <t>✓</t>
        </is>
      </c>
      <c r="R64" s="27" t="inlineStr">
        <is>
          <t>A</t>
        </is>
      </c>
      <c r="S64" s="26" t="inlineStr">
        <is>
          <t>Manufacturer-confirmed color list (esun3dstore.com official store, live product page)</t>
        </is>
      </c>
      <c r="T64" s="26" t="inlineStr">
        <is>
          <t>Deep-dive follow-up 2026-07-19</t>
        </is>
      </c>
    </row>
    <row r="65" ht="20" customHeight="1">
      <c r="A65" s="23" t="inlineStr">
        <is>
          <t>PLA+</t>
        </is>
      </c>
      <c r="B65" s="23" t="inlineStr">
        <is>
          <t>E-PLAP-09</t>
        </is>
      </c>
      <c r="C65" s="23" t="inlineStr">
        <is>
          <t>eSUN PLA+</t>
        </is>
      </c>
      <c r="D65" s="23" t="inlineStr">
        <is>
          <t>Grey</t>
        </is>
      </c>
      <c r="E65" s="24" t="inlineStr"/>
      <c r="F65" s="25" t="inlineStr">
        <is>
          <t>#999999</t>
        </is>
      </c>
      <c r="G65" s="16" t="inlineStr">
        <is>
          <t>1.75mm</t>
        </is>
      </c>
      <c r="H65" s="16" t="inlineStr">
        <is>
          <t>±0.03mm</t>
        </is>
      </c>
      <c r="I65" s="16" t="inlineStr">
        <is>
          <t>Plastic</t>
        </is>
      </c>
      <c r="J65" s="16" t="inlineStr">
        <is>
          <t>No</t>
        </is>
      </c>
      <c r="K65" s="16" t="inlineStr">
        <is>
          <t>200–230°C</t>
        </is>
      </c>
      <c r="L65" s="16" t="inlineStr">
        <is>
          <t>45–60°C</t>
        </is>
      </c>
      <c r="M65" s="16" t="inlineStr">
        <is>
          <t>45°C / 4h</t>
        </is>
      </c>
      <c r="N65" s="16" t="inlineStr">
        <is>
          <t>✓</t>
        </is>
      </c>
      <c r="O65" s="16" t="inlineStr">
        <is>
          <t>✓</t>
        </is>
      </c>
      <c r="P65" s="16" t="inlineStr">
        <is>
          <t>✓</t>
        </is>
      </c>
      <c r="Q65" s="16" t="inlineStr">
        <is>
          <t>✓</t>
        </is>
      </c>
      <c r="R65" s="16" t="inlineStr">
        <is>
          <t>A</t>
        </is>
      </c>
      <c r="S65" s="23" t="inlineStr">
        <is>
          <t>Manufacturer-confirmed color list (esun3dstore.com official store, live product page)</t>
        </is>
      </c>
      <c r="T65" s="23" t="inlineStr">
        <is>
          <t>Deep-dive follow-up 2026-07-19</t>
        </is>
      </c>
    </row>
    <row r="66" ht="20" customHeight="1">
      <c r="A66" s="26" t="inlineStr">
        <is>
          <t>PLA+</t>
        </is>
      </c>
      <c r="B66" s="26" t="inlineStr">
        <is>
          <t>E-PLAP-35</t>
        </is>
      </c>
      <c r="C66" s="26" t="inlineStr">
        <is>
          <t>eSUN PLA+</t>
        </is>
      </c>
      <c r="D66" s="26" t="inlineStr">
        <is>
          <t>Haze Blue</t>
        </is>
      </c>
      <c r="E66" s="24" t="inlineStr"/>
      <c r="F66" s="25" t="inlineStr">
        <is>
          <t>#999999</t>
        </is>
      </c>
      <c r="G66" s="27" t="inlineStr">
        <is>
          <t>1.75mm</t>
        </is>
      </c>
      <c r="H66" s="27" t="inlineStr">
        <is>
          <t>±0.03mm</t>
        </is>
      </c>
      <c r="I66" s="27" t="inlineStr">
        <is>
          <t>Plastic</t>
        </is>
      </c>
      <c r="J66" s="27" t="inlineStr">
        <is>
          <t>No</t>
        </is>
      </c>
      <c r="K66" s="27" t="inlineStr">
        <is>
          <t>200–230°C</t>
        </is>
      </c>
      <c r="L66" s="27" t="inlineStr">
        <is>
          <t>45–60°C</t>
        </is>
      </c>
      <c r="M66" s="27" t="inlineStr">
        <is>
          <t>45°C / 4h</t>
        </is>
      </c>
      <c r="N66" s="27" t="inlineStr">
        <is>
          <t>✓</t>
        </is>
      </c>
      <c r="O66" s="27" t="inlineStr">
        <is>
          <t>✓</t>
        </is>
      </c>
      <c r="P66" s="27" t="inlineStr">
        <is>
          <t>✓</t>
        </is>
      </c>
      <c r="Q66" s="27" t="inlineStr">
        <is>
          <t>✓</t>
        </is>
      </c>
      <c r="R66" s="27" t="inlineStr">
        <is>
          <t>A</t>
        </is>
      </c>
      <c r="S66" s="26" t="inlineStr">
        <is>
          <t>Manufacturer-confirmed color list (esun3dstore.com official store, live product page)</t>
        </is>
      </c>
      <c r="T66" s="26" t="inlineStr">
        <is>
          <t>Deep-dive follow-up 2026-07-19</t>
        </is>
      </c>
    </row>
    <row r="67" ht="20" customHeight="1">
      <c r="A67" s="23" t="inlineStr">
        <is>
          <t>PLA+</t>
        </is>
      </c>
      <c r="B67" s="23" t="inlineStr">
        <is>
          <t>E-PLAP-25</t>
        </is>
      </c>
      <c r="C67" s="23" t="inlineStr">
        <is>
          <t>eSUN PLA+</t>
        </is>
      </c>
      <c r="D67" s="23" t="inlineStr">
        <is>
          <t>Holly Green</t>
        </is>
      </c>
      <c r="E67" s="24" t="inlineStr"/>
      <c r="F67" s="25" t="inlineStr">
        <is>
          <t>#999999</t>
        </is>
      </c>
      <c r="G67" s="16" t="inlineStr">
        <is>
          <t>1.75mm</t>
        </is>
      </c>
      <c r="H67" s="16" t="inlineStr">
        <is>
          <t>±0.03mm</t>
        </is>
      </c>
      <c r="I67" s="16" t="inlineStr">
        <is>
          <t>Plastic</t>
        </is>
      </c>
      <c r="J67" s="16" t="inlineStr">
        <is>
          <t>No</t>
        </is>
      </c>
      <c r="K67" s="16" t="inlineStr">
        <is>
          <t>200–230°C</t>
        </is>
      </c>
      <c r="L67" s="16" t="inlineStr">
        <is>
          <t>45–60°C</t>
        </is>
      </c>
      <c r="M67" s="16" t="inlineStr">
        <is>
          <t>45°C / 4h</t>
        </is>
      </c>
      <c r="N67" s="16" t="inlineStr">
        <is>
          <t>✓</t>
        </is>
      </c>
      <c r="O67" s="16" t="inlineStr">
        <is>
          <t>✓</t>
        </is>
      </c>
      <c r="P67" s="16" t="inlineStr">
        <is>
          <t>✓</t>
        </is>
      </c>
      <c r="Q67" s="16" t="inlineStr">
        <is>
          <t>✓</t>
        </is>
      </c>
      <c r="R67" s="16" t="inlineStr">
        <is>
          <t>A</t>
        </is>
      </c>
      <c r="S67" s="23" t="inlineStr">
        <is>
          <t>Manufacturer-confirmed color list (esun3dstore.com official store, live product page)</t>
        </is>
      </c>
      <c r="T67" s="23" t="inlineStr">
        <is>
          <t>Deep-dive follow-up 2026-07-19</t>
        </is>
      </c>
    </row>
    <row r="68" ht="20" customHeight="1">
      <c r="A68" s="26" t="inlineStr">
        <is>
          <t>PLA+</t>
        </is>
      </c>
      <c r="B68" s="26" t="inlineStr">
        <is>
          <t>E-PLAP-26</t>
        </is>
      </c>
      <c r="C68" s="26" t="inlineStr">
        <is>
          <t>eSUN PLA+</t>
        </is>
      </c>
      <c r="D68" s="26" t="inlineStr">
        <is>
          <t>Jade Green</t>
        </is>
      </c>
      <c r="E68" s="24" t="inlineStr"/>
      <c r="F68" s="25" t="inlineStr">
        <is>
          <t>#999999</t>
        </is>
      </c>
      <c r="G68" s="27" t="inlineStr">
        <is>
          <t>1.75mm</t>
        </is>
      </c>
      <c r="H68" s="27" t="inlineStr">
        <is>
          <t>±0.03mm</t>
        </is>
      </c>
      <c r="I68" s="27" t="inlineStr">
        <is>
          <t>Plastic</t>
        </is>
      </c>
      <c r="J68" s="27" t="inlineStr">
        <is>
          <t>No</t>
        </is>
      </c>
      <c r="K68" s="27" t="inlineStr">
        <is>
          <t>200–230°C</t>
        </is>
      </c>
      <c r="L68" s="27" t="inlineStr">
        <is>
          <t>45–60°C</t>
        </is>
      </c>
      <c r="M68" s="27" t="inlineStr">
        <is>
          <t>45°C / 4h</t>
        </is>
      </c>
      <c r="N68" s="27" t="inlineStr">
        <is>
          <t>✓</t>
        </is>
      </c>
      <c r="O68" s="27" t="inlineStr">
        <is>
          <t>✓</t>
        </is>
      </c>
      <c r="P68" s="27" t="inlineStr">
        <is>
          <t>✓</t>
        </is>
      </c>
      <c r="Q68" s="27" t="inlineStr">
        <is>
          <t>✓</t>
        </is>
      </c>
      <c r="R68" s="27" t="inlineStr">
        <is>
          <t>A</t>
        </is>
      </c>
      <c r="S68" s="26" t="inlineStr">
        <is>
          <t>Manufacturer-confirmed color list (esun3dstore.com official store, live product page)</t>
        </is>
      </c>
      <c r="T68" s="26" t="inlineStr">
        <is>
          <t>Deep-dive follow-up 2026-07-19</t>
        </is>
      </c>
    </row>
    <row r="69" ht="20" customHeight="1">
      <c r="A69" s="23" t="inlineStr">
        <is>
          <t>PLA+</t>
        </is>
      </c>
      <c r="B69" s="23" t="inlineStr">
        <is>
          <t>E-PLAP-07</t>
        </is>
      </c>
      <c r="C69" s="23" t="inlineStr">
        <is>
          <t>eSUN PLA+</t>
        </is>
      </c>
      <c r="D69" s="23" t="inlineStr">
        <is>
          <t>Light Beige</t>
        </is>
      </c>
      <c r="E69" s="24" t="inlineStr"/>
      <c r="F69" s="25" t="inlineStr">
        <is>
          <t>#999999</t>
        </is>
      </c>
      <c r="G69" s="16" t="inlineStr">
        <is>
          <t>1.75mm</t>
        </is>
      </c>
      <c r="H69" s="16" t="inlineStr">
        <is>
          <t>±0.03mm</t>
        </is>
      </c>
      <c r="I69" s="16" t="inlineStr">
        <is>
          <t>Plastic</t>
        </is>
      </c>
      <c r="J69" s="16" t="inlineStr">
        <is>
          <t>No</t>
        </is>
      </c>
      <c r="K69" s="16" t="inlineStr">
        <is>
          <t>200–230°C</t>
        </is>
      </c>
      <c r="L69" s="16" t="inlineStr">
        <is>
          <t>45–60°C</t>
        </is>
      </c>
      <c r="M69" s="16" t="inlineStr">
        <is>
          <t>45°C / 4h</t>
        </is>
      </c>
      <c r="N69" s="16" t="inlineStr">
        <is>
          <t>✓</t>
        </is>
      </c>
      <c r="O69" s="16" t="inlineStr">
        <is>
          <t>✓</t>
        </is>
      </c>
      <c r="P69" s="16" t="inlineStr">
        <is>
          <t>✓</t>
        </is>
      </c>
      <c r="Q69" s="16" t="inlineStr">
        <is>
          <t>✓</t>
        </is>
      </c>
      <c r="R69" s="16" t="inlineStr">
        <is>
          <t>A</t>
        </is>
      </c>
      <c r="S69" s="23" t="inlineStr">
        <is>
          <t>Manufacturer-confirmed color list (esun3dstore.com official store, live product page)</t>
        </is>
      </c>
      <c r="T69" s="23" t="inlineStr">
        <is>
          <t>Deep-dive follow-up 2026-07-19</t>
        </is>
      </c>
    </row>
    <row r="70" ht="20" customHeight="1">
      <c r="A70" s="26" t="inlineStr">
        <is>
          <t>PLA+</t>
        </is>
      </c>
      <c r="B70" s="26" t="inlineStr">
        <is>
          <t>E-PLAP-31</t>
        </is>
      </c>
      <c r="C70" s="26" t="inlineStr">
        <is>
          <t>eSUN PLA+</t>
        </is>
      </c>
      <c r="D70" s="26" t="inlineStr">
        <is>
          <t>Light Blue</t>
        </is>
      </c>
      <c r="E70" s="24" t="inlineStr"/>
      <c r="F70" s="25" t="inlineStr">
        <is>
          <t>#999999</t>
        </is>
      </c>
      <c r="G70" s="27" t="inlineStr">
        <is>
          <t>1.75mm</t>
        </is>
      </c>
      <c r="H70" s="27" t="inlineStr">
        <is>
          <t>±0.03mm</t>
        </is>
      </c>
      <c r="I70" s="27" t="inlineStr">
        <is>
          <t>Plastic</t>
        </is>
      </c>
      <c r="J70" s="27" t="inlineStr">
        <is>
          <t>No</t>
        </is>
      </c>
      <c r="K70" s="27" t="inlineStr">
        <is>
          <t>200–230°C</t>
        </is>
      </c>
      <c r="L70" s="27" t="inlineStr">
        <is>
          <t>45–60°C</t>
        </is>
      </c>
      <c r="M70" s="27" t="inlineStr">
        <is>
          <t>45°C / 4h</t>
        </is>
      </c>
      <c r="N70" s="27" t="inlineStr">
        <is>
          <t>✓</t>
        </is>
      </c>
      <c r="O70" s="27" t="inlineStr">
        <is>
          <t>✓</t>
        </is>
      </c>
      <c r="P70" s="27" t="inlineStr">
        <is>
          <t>✓</t>
        </is>
      </c>
      <c r="Q70" s="27" t="inlineStr">
        <is>
          <t>✓</t>
        </is>
      </c>
      <c r="R70" s="27" t="inlineStr">
        <is>
          <t>A</t>
        </is>
      </c>
      <c r="S70" s="26" t="inlineStr">
        <is>
          <t>Manufacturer-confirmed color list (esun3dstore.com official store, live product page)</t>
        </is>
      </c>
      <c r="T70" s="26" t="inlineStr">
        <is>
          <t>Deep-dive follow-up 2026-07-19</t>
        </is>
      </c>
    </row>
    <row r="71" ht="20" customHeight="1">
      <c r="A71" s="23" t="inlineStr">
        <is>
          <t>PLA+</t>
        </is>
      </c>
      <c r="B71" s="23" t="inlineStr">
        <is>
          <t>E-PLAP-38</t>
        </is>
      </c>
      <c r="C71" s="23" t="inlineStr">
        <is>
          <t>eSUN PLA+</t>
        </is>
      </c>
      <c r="D71" s="23" t="inlineStr">
        <is>
          <t>Light Brown</t>
        </is>
      </c>
      <c r="E71" s="24" t="inlineStr"/>
      <c r="F71" s="25" t="inlineStr">
        <is>
          <t>#999999</t>
        </is>
      </c>
      <c r="G71" s="16" t="inlineStr">
        <is>
          <t>1.75mm</t>
        </is>
      </c>
      <c r="H71" s="16" t="inlineStr">
        <is>
          <t>±0.03mm</t>
        </is>
      </c>
      <c r="I71" s="16" t="inlineStr">
        <is>
          <t>Plastic</t>
        </is>
      </c>
      <c r="J71" s="16" t="inlineStr">
        <is>
          <t>No</t>
        </is>
      </c>
      <c r="K71" s="16" t="inlineStr">
        <is>
          <t>200–230°C</t>
        </is>
      </c>
      <c r="L71" s="16" t="inlineStr">
        <is>
          <t>45–60°C</t>
        </is>
      </c>
      <c r="M71" s="16" t="inlineStr">
        <is>
          <t>45°C / 4h</t>
        </is>
      </c>
      <c r="N71" s="16" t="inlineStr">
        <is>
          <t>✓</t>
        </is>
      </c>
      <c r="O71" s="16" t="inlineStr">
        <is>
          <t>✓</t>
        </is>
      </c>
      <c r="P71" s="16" t="inlineStr">
        <is>
          <t>✓</t>
        </is>
      </c>
      <c r="Q71" s="16" t="inlineStr">
        <is>
          <t>✓</t>
        </is>
      </c>
      <c r="R71" s="16" t="inlineStr">
        <is>
          <t>A</t>
        </is>
      </c>
      <c r="S71" s="23" t="inlineStr">
        <is>
          <t>Manufacturer-confirmed color list (esun3dstore.com official store, live product page)</t>
        </is>
      </c>
      <c r="T71" s="23" t="inlineStr">
        <is>
          <t>Deep-dive follow-up 2026-07-19</t>
        </is>
      </c>
    </row>
    <row r="72" ht="20" customHeight="1">
      <c r="A72" s="26" t="inlineStr">
        <is>
          <t>PLA+</t>
        </is>
      </c>
      <c r="B72" s="26" t="inlineStr">
        <is>
          <t>E-PLAP-08</t>
        </is>
      </c>
      <c r="C72" s="26" t="inlineStr">
        <is>
          <t>eSUN PLA+</t>
        </is>
      </c>
      <c r="D72" s="26" t="inlineStr">
        <is>
          <t>Light Khaki</t>
        </is>
      </c>
      <c r="E72" s="24" t="inlineStr"/>
      <c r="F72" s="25" t="inlineStr">
        <is>
          <t>#999999</t>
        </is>
      </c>
      <c r="G72" s="27" t="inlineStr">
        <is>
          <t>1.75mm</t>
        </is>
      </c>
      <c r="H72" s="27" t="inlineStr">
        <is>
          <t>±0.03mm</t>
        </is>
      </c>
      <c r="I72" s="27" t="inlineStr">
        <is>
          <t>Plastic</t>
        </is>
      </c>
      <c r="J72" s="27" t="inlineStr">
        <is>
          <t>No</t>
        </is>
      </c>
      <c r="K72" s="27" t="inlineStr">
        <is>
          <t>200–230°C</t>
        </is>
      </c>
      <c r="L72" s="27" t="inlineStr">
        <is>
          <t>45–60°C</t>
        </is>
      </c>
      <c r="M72" s="27" t="inlineStr">
        <is>
          <t>45°C / 4h</t>
        </is>
      </c>
      <c r="N72" s="27" t="inlineStr">
        <is>
          <t>✓</t>
        </is>
      </c>
      <c r="O72" s="27" t="inlineStr">
        <is>
          <t>✓</t>
        </is>
      </c>
      <c r="P72" s="27" t="inlineStr">
        <is>
          <t>✓</t>
        </is>
      </c>
      <c r="Q72" s="27" t="inlineStr">
        <is>
          <t>✓</t>
        </is>
      </c>
      <c r="R72" s="27" t="inlineStr">
        <is>
          <t>A</t>
        </is>
      </c>
      <c r="S72" s="26" t="inlineStr">
        <is>
          <t>Manufacturer-confirmed color list (esun3dstore.com official store, live product page)</t>
        </is>
      </c>
      <c r="T72" s="26" t="inlineStr">
        <is>
          <t>Deep-dive follow-up 2026-07-19</t>
        </is>
      </c>
    </row>
    <row r="73" ht="20" customHeight="1">
      <c r="A73" s="23" t="inlineStr">
        <is>
          <t>PLA+</t>
        </is>
      </c>
      <c r="B73" s="23" t="inlineStr">
        <is>
          <t>E-PLAP-48</t>
        </is>
      </c>
      <c r="C73" s="23" t="inlineStr">
        <is>
          <t>eSUN PLA+</t>
        </is>
      </c>
      <c r="D73" s="23" t="inlineStr">
        <is>
          <t>Lilac</t>
        </is>
      </c>
      <c r="E73" s="24" t="inlineStr"/>
      <c r="F73" s="25" t="inlineStr">
        <is>
          <t>#999999</t>
        </is>
      </c>
      <c r="G73" s="16" t="inlineStr">
        <is>
          <t>1.75mm</t>
        </is>
      </c>
      <c r="H73" s="16" t="inlineStr">
        <is>
          <t>±0.03mm</t>
        </is>
      </c>
      <c r="I73" s="16" t="inlineStr">
        <is>
          <t>Plastic</t>
        </is>
      </c>
      <c r="J73" s="16" t="inlineStr">
        <is>
          <t>No</t>
        </is>
      </c>
      <c r="K73" s="16" t="inlineStr">
        <is>
          <t>200–230°C</t>
        </is>
      </c>
      <c r="L73" s="16" t="inlineStr">
        <is>
          <t>45–60°C</t>
        </is>
      </c>
      <c r="M73" s="16" t="inlineStr">
        <is>
          <t>45°C / 4h</t>
        </is>
      </c>
      <c r="N73" s="16" t="inlineStr">
        <is>
          <t>✓</t>
        </is>
      </c>
      <c r="O73" s="16" t="inlineStr">
        <is>
          <t>✓</t>
        </is>
      </c>
      <c r="P73" s="16" t="inlineStr">
        <is>
          <t>✓</t>
        </is>
      </c>
      <c r="Q73" s="16" t="inlineStr">
        <is>
          <t>✓</t>
        </is>
      </c>
      <c r="R73" s="16" t="inlineStr">
        <is>
          <t>A</t>
        </is>
      </c>
      <c r="S73" s="23" t="inlineStr">
        <is>
          <t>Manufacturer-confirmed color list (esun3dstore.com official store, live product page)</t>
        </is>
      </c>
      <c r="T73" s="23" t="inlineStr">
        <is>
          <t>Deep-dive follow-up 2026-07-19</t>
        </is>
      </c>
    </row>
    <row r="74" ht="20" customHeight="1">
      <c r="A74" s="26" t="inlineStr">
        <is>
          <t>PLA+</t>
        </is>
      </c>
      <c r="B74" s="26" t="inlineStr">
        <is>
          <t>E-PLAP-16</t>
        </is>
      </c>
      <c r="C74" s="26" t="inlineStr">
        <is>
          <t>eSUN PLA+</t>
        </is>
      </c>
      <c r="D74" s="26" t="inlineStr">
        <is>
          <t>Magenta</t>
        </is>
      </c>
      <c r="E74" s="24" t="inlineStr"/>
      <c r="F74" s="25" t="inlineStr">
        <is>
          <t>#999999</t>
        </is>
      </c>
      <c r="G74" s="27" t="inlineStr">
        <is>
          <t>1.75mm</t>
        </is>
      </c>
      <c r="H74" s="27" t="inlineStr">
        <is>
          <t>±0.03mm</t>
        </is>
      </c>
      <c r="I74" s="27" t="inlineStr">
        <is>
          <t>Plastic</t>
        </is>
      </c>
      <c r="J74" s="27" t="inlineStr">
        <is>
          <t>No</t>
        </is>
      </c>
      <c r="K74" s="27" t="inlineStr">
        <is>
          <t>200–230°C</t>
        </is>
      </c>
      <c r="L74" s="27" t="inlineStr">
        <is>
          <t>45–60°C</t>
        </is>
      </c>
      <c r="M74" s="27" t="inlineStr">
        <is>
          <t>45°C / 4h</t>
        </is>
      </c>
      <c r="N74" s="27" t="inlineStr">
        <is>
          <t>✓</t>
        </is>
      </c>
      <c r="O74" s="27" t="inlineStr">
        <is>
          <t>✓</t>
        </is>
      </c>
      <c r="P74" s="27" t="inlineStr">
        <is>
          <t>✓</t>
        </is>
      </c>
      <c r="Q74" s="27" t="inlineStr">
        <is>
          <t>✓</t>
        </is>
      </c>
      <c r="R74" s="27" t="inlineStr">
        <is>
          <t>A</t>
        </is>
      </c>
      <c r="S74" s="26" t="inlineStr">
        <is>
          <t>Manufacturer-confirmed color list (esun3dstore.com official store, live product page)</t>
        </is>
      </c>
      <c r="T74" s="26" t="inlineStr">
        <is>
          <t>Deep-dive follow-up 2026-07-19</t>
        </is>
      </c>
    </row>
    <row r="75" ht="20" customHeight="1">
      <c r="A75" s="23" t="inlineStr">
        <is>
          <t>PLA+</t>
        </is>
      </c>
      <c r="B75" s="23" t="inlineStr">
        <is>
          <t>E-PLAP-23</t>
        </is>
      </c>
      <c r="C75" s="23" t="inlineStr">
        <is>
          <t>eSUN PLA+</t>
        </is>
      </c>
      <c r="D75" s="23" t="inlineStr">
        <is>
          <t>Matcha Green</t>
        </is>
      </c>
      <c r="E75" s="24" t="inlineStr"/>
      <c r="F75" s="25" t="inlineStr">
        <is>
          <t>#999999</t>
        </is>
      </c>
      <c r="G75" s="16" t="inlineStr">
        <is>
          <t>1.75mm</t>
        </is>
      </c>
      <c r="H75" s="16" t="inlineStr">
        <is>
          <t>±0.03mm</t>
        </is>
      </c>
      <c r="I75" s="16" t="inlineStr">
        <is>
          <t>Plastic</t>
        </is>
      </c>
      <c r="J75" s="16" t="inlineStr">
        <is>
          <t>No</t>
        </is>
      </c>
      <c r="K75" s="16" t="inlineStr">
        <is>
          <t>200–230°C</t>
        </is>
      </c>
      <c r="L75" s="16" t="inlineStr">
        <is>
          <t>45–60°C</t>
        </is>
      </c>
      <c r="M75" s="16" t="inlineStr">
        <is>
          <t>45°C / 4h</t>
        </is>
      </c>
      <c r="N75" s="16" t="inlineStr">
        <is>
          <t>✓</t>
        </is>
      </c>
      <c r="O75" s="16" t="inlineStr">
        <is>
          <t>✓</t>
        </is>
      </c>
      <c r="P75" s="16" t="inlineStr">
        <is>
          <t>✓</t>
        </is>
      </c>
      <c r="Q75" s="16" t="inlineStr">
        <is>
          <t>✓</t>
        </is>
      </c>
      <c r="R75" s="16" t="inlineStr">
        <is>
          <t>A</t>
        </is>
      </c>
      <c r="S75" s="23" t="inlineStr">
        <is>
          <t>Manufacturer-confirmed color list (esun3dstore.com official store, live product page)</t>
        </is>
      </c>
      <c r="T75" s="23" t="inlineStr">
        <is>
          <t>Deep-dive follow-up 2026-07-19</t>
        </is>
      </c>
    </row>
    <row r="76" ht="20" customHeight="1">
      <c r="A76" s="26" t="inlineStr">
        <is>
          <t>PLA+</t>
        </is>
      </c>
      <c r="B76" s="26" t="inlineStr">
        <is>
          <t>E-PLAP-04</t>
        </is>
      </c>
      <c r="C76" s="26" t="inlineStr">
        <is>
          <t>eSUN PLA+</t>
        </is>
      </c>
      <c r="D76" s="26" t="inlineStr">
        <is>
          <t>Milky White</t>
        </is>
      </c>
      <c r="E76" s="24" t="inlineStr"/>
      <c r="F76" s="25" t="inlineStr">
        <is>
          <t>#999999</t>
        </is>
      </c>
      <c r="G76" s="27" t="inlineStr">
        <is>
          <t>1.75mm</t>
        </is>
      </c>
      <c r="H76" s="27" t="inlineStr">
        <is>
          <t>±0.03mm</t>
        </is>
      </c>
      <c r="I76" s="27" t="inlineStr">
        <is>
          <t>Plastic</t>
        </is>
      </c>
      <c r="J76" s="27" t="inlineStr">
        <is>
          <t>No</t>
        </is>
      </c>
      <c r="K76" s="27" t="inlineStr">
        <is>
          <t>200–230°C</t>
        </is>
      </c>
      <c r="L76" s="27" t="inlineStr">
        <is>
          <t>45–60°C</t>
        </is>
      </c>
      <c r="M76" s="27" t="inlineStr">
        <is>
          <t>45°C / 4h</t>
        </is>
      </c>
      <c r="N76" s="27" t="inlineStr">
        <is>
          <t>✓</t>
        </is>
      </c>
      <c r="O76" s="27" t="inlineStr">
        <is>
          <t>✓</t>
        </is>
      </c>
      <c r="P76" s="27" t="inlineStr">
        <is>
          <t>✓</t>
        </is>
      </c>
      <c r="Q76" s="27" t="inlineStr">
        <is>
          <t>✓</t>
        </is>
      </c>
      <c r="R76" s="27" t="inlineStr">
        <is>
          <t>A</t>
        </is>
      </c>
      <c r="S76" s="26" t="inlineStr">
        <is>
          <t>Manufacturer-confirmed color list (esun3dstore.com official store, live product page)</t>
        </is>
      </c>
      <c r="T76" s="26" t="inlineStr">
        <is>
          <t>Deep-dive follow-up 2026-07-19</t>
        </is>
      </c>
    </row>
    <row r="77" ht="20" customHeight="1">
      <c r="A77" s="23" t="inlineStr">
        <is>
          <t>PLA+</t>
        </is>
      </c>
      <c r="B77" s="23" t="inlineStr">
        <is>
          <t>E-PLAP-22</t>
        </is>
      </c>
      <c r="C77" s="23" t="inlineStr">
        <is>
          <t>eSUN PLA+</t>
        </is>
      </c>
      <c r="D77" s="23" t="inlineStr">
        <is>
          <t>Mint Green</t>
        </is>
      </c>
      <c r="E77" s="24" t="inlineStr"/>
      <c r="F77" s="25" t="inlineStr">
        <is>
          <t>#999999</t>
        </is>
      </c>
      <c r="G77" s="16" t="inlineStr">
        <is>
          <t>1.75mm</t>
        </is>
      </c>
      <c r="H77" s="16" t="inlineStr">
        <is>
          <t>±0.03mm</t>
        </is>
      </c>
      <c r="I77" s="16" t="inlineStr">
        <is>
          <t>Plastic</t>
        </is>
      </c>
      <c r="J77" s="16" t="inlineStr">
        <is>
          <t>No</t>
        </is>
      </c>
      <c r="K77" s="16" t="inlineStr">
        <is>
          <t>200–230°C</t>
        </is>
      </c>
      <c r="L77" s="16" t="inlineStr">
        <is>
          <t>45–60°C</t>
        </is>
      </c>
      <c r="M77" s="16" t="inlineStr">
        <is>
          <t>45°C / 4h</t>
        </is>
      </c>
      <c r="N77" s="16" t="inlineStr">
        <is>
          <t>✓</t>
        </is>
      </c>
      <c r="O77" s="16" t="inlineStr">
        <is>
          <t>✓</t>
        </is>
      </c>
      <c r="P77" s="16" t="inlineStr">
        <is>
          <t>✓</t>
        </is>
      </c>
      <c r="Q77" s="16" t="inlineStr">
        <is>
          <t>✓</t>
        </is>
      </c>
      <c r="R77" s="16" t="inlineStr">
        <is>
          <t>A</t>
        </is>
      </c>
      <c r="S77" s="23" t="inlineStr">
        <is>
          <t>Manufacturer-confirmed color list (esun3dstore.com official store, live product page)</t>
        </is>
      </c>
      <c r="T77" s="23" t="inlineStr">
        <is>
          <t>Deep-dive follow-up 2026-07-19</t>
        </is>
      </c>
    </row>
    <row r="78" ht="20" customHeight="1">
      <c r="A78" s="26" t="inlineStr">
        <is>
          <t>PLA+</t>
        </is>
      </c>
      <c r="B78" s="26" t="inlineStr">
        <is>
          <t>E-PLAP-27</t>
        </is>
      </c>
      <c r="C78" s="26" t="inlineStr">
        <is>
          <t>eSUN PLA+</t>
        </is>
      </c>
      <c r="D78" s="26" t="inlineStr">
        <is>
          <t>Mustard Green</t>
        </is>
      </c>
      <c r="E78" s="24" t="inlineStr"/>
      <c r="F78" s="25" t="inlineStr">
        <is>
          <t>#999999</t>
        </is>
      </c>
      <c r="G78" s="27" t="inlineStr">
        <is>
          <t>1.75mm</t>
        </is>
      </c>
      <c r="H78" s="27" t="inlineStr">
        <is>
          <t>±0.03mm</t>
        </is>
      </c>
      <c r="I78" s="27" t="inlineStr">
        <is>
          <t>Plastic</t>
        </is>
      </c>
      <c r="J78" s="27" t="inlineStr">
        <is>
          <t>No</t>
        </is>
      </c>
      <c r="K78" s="27" t="inlineStr">
        <is>
          <t>200–230°C</t>
        </is>
      </c>
      <c r="L78" s="27" t="inlineStr">
        <is>
          <t>45–60°C</t>
        </is>
      </c>
      <c r="M78" s="27" t="inlineStr">
        <is>
          <t>45°C / 4h</t>
        </is>
      </c>
      <c r="N78" s="27" t="inlineStr">
        <is>
          <t>✓</t>
        </is>
      </c>
      <c r="O78" s="27" t="inlineStr">
        <is>
          <t>✓</t>
        </is>
      </c>
      <c r="P78" s="27" t="inlineStr">
        <is>
          <t>✓</t>
        </is>
      </c>
      <c r="Q78" s="27" t="inlineStr">
        <is>
          <t>✓</t>
        </is>
      </c>
      <c r="R78" s="27" t="inlineStr">
        <is>
          <t>A</t>
        </is>
      </c>
      <c r="S78" s="26" t="inlineStr">
        <is>
          <t>Manufacturer-confirmed color list (esun3dstore.com official store, live product page)</t>
        </is>
      </c>
      <c r="T78" s="26" t="inlineStr">
        <is>
          <t>Deep-dive follow-up 2026-07-19</t>
        </is>
      </c>
    </row>
    <row r="79" ht="20" customHeight="1">
      <c r="A79" s="23" t="inlineStr">
        <is>
          <t>PLA+</t>
        </is>
      </c>
      <c r="B79" s="23" t="inlineStr">
        <is>
          <t>E-PLAP-18</t>
        </is>
      </c>
      <c r="C79" s="23" t="inlineStr">
        <is>
          <t>eSUN PLA+</t>
        </is>
      </c>
      <c r="D79" s="23" t="inlineStr">
        <is>
          <t>Olive Green</t>
        </is>
      </c>
      <c r="E79" s="24" t="inlineStr"/>
      <c r="F79" s="25" t="inlineStr">
        <is>
          <t>#999999</t>
        </is>
      </c>
      <c r="G79" s="16" t="inlineStr">
        <is>
          <t>1.75mm</t>
        </is>
      </c>
      <c r="H79" s="16" t="inlineStr">
        <is>
          <t>±0.03mm</t>
        </is>
      </c>
      <c r="I79" s="16" t="inlineStr">
        <is>
          <t>Plastic</t>
        </is>
      </c>
      <c r="J79" s="16" t="inlineStr">
        <is>
          <t>No</t>
        </is>
      </c>
      <c r="K79" s="16" t="inlineStr">
        <is>
          <t>200–230°C</t>
        </is>
      </c>
      <c r="L79" s="16" t="inlineStr">
        <is>
          <t>45–60°C</t>
        </is>
      </c>
      <c r="M79" s="16" t="inlineStr">
        <is>
          <t>45°C / 4h</t>
        </is>
      </c>
      <c r="N79" s="16" t="inlineStr">
        <is>
          <t>✓</t>
        </is>
      </c>
      <c r="O79" s="16" t="inlineStr">
        <is>
          <t>✓</t>
        </is>
      </c>
      <c r="P79" s="16" t="inlineStr">
        <is>
          <t>✓</t>
        </is>
      </c>
      <c r="Q79" s="16" t="inlineStr">
        <is>
          <t>✓</t>
        </is>
      </c>
      <c r="R79" s="16" t="inlineStr">
        <is>
          <t>A</t>
        </is>
      </c>
      <c r="S79" s="23" t="inlineStr">
        <is>
          <t>Manufacturer-confirmed color list (esun3dstore.com official store, live product page)</t>
        </is>
      </c>
      <c r="T79" s="23" t="inlineStr">
        <is>
          <t>Deep-dive follow-up 2026-07-19</t>
        </is>
      </c>
    </row>
    <row r="80" ht="20" customHeight="1">
      <c r="A80" s="26" t="inlineStr">
        <is>
          <t>PLA+</t>
        </is>
      </c>
      <c r="B80" s="26" t="inlineStr">
        <is>
          <t>E-PLAP-44</t>
        </is>
      </c>
      <c r="C80" s="26" t="inlineStr">
        <is>
          <t>eSUN PLA+</t>
        </is>
      </c>
      <c r="D80" s="26" t="inlineStr">
        <is>
          <t>Orange</t>
        </is>
      </c>
      <c r="E80" s="24" t="inlineStr"/>
      <c r="F80" s="25" t="inlineStr">
        <is>
          <t>#999999</t>
        </is>
      </c>
      <c r="G80" s="27" t="inlineStr">
        <is>
          <t>1.75mm</t>
        </is>
      </c>
      <c r="H80" s="27" t="inlineStr">
        <is>
          <t>±0.03mm</t>
        </is>
      </c>
      <c r="I80" s="27" t="inlineStr">
        <is>
          <t>Plastic</t>
        </is>
      </c>
      <c r="J80" s="27" t="inlineStr">
        <is>
          <t>No</t>
        </is>
      </c>
      <c r="K80" s="27" t="inlineStr">
        <is>
          <t>200–230°C</t>
        </is>
      </c>
      <c r="L80" s="27" t="inlineStr">
        <is>
          <t>45–60°C</t>
        </is>
      </c>
      <c r="M80" s="27" t="inlineStr">
        <is>
          <t>45°C / 4h</t>
        </is>
      </c>
      <c r="N80" s="27" t="inlineStr">
        <is>
          <t>✓</t>
        </is>
      </c>
      <c r="O80" s="27" t="inlineStr">
        <is>
          <t>✓</t>
        </is>
      </c>
      <c r="P80" s="27" t="inlineStr">
        <is>
          <t>✓</t>
        </is>
      </c>
      <c r="Q80" s="27" t="inlineStr">
        <is>
          <t>✓</t>
        </is>
      </c>
      <c r="R80" s="27" t="inlineStr">
        <is>
          <t>A</t>
        </is>
      </c>
      <c r="S80" s="26" t="inlineStr">
        <is>
          <t>Manufacturer-confirmed color list (esun3dstore.com official store, live product page)</t>
        </is>
      </c>
      <c r="T80" s="26" t="inlineStr">
        <is>
          <t>Deep-dive follow-up 2026-07-19</t>
        </is>
      </c>
    </row>
    <row r="81" ht="20" customHeight="1">
      <c r="A81" s="23" t="inlineStr">
        <is>
          <t>PLA+</t>
        </is>
      </c>
      <c r="B81" s="23" t="inlineStr">
        <is>
          <t>E-PLAP-40</t>
        </is>
      </c>
      <c r="C81" s="23" t="inlineStr">
        <is>
          <t>eSUN PLA+</t>
        </is>
      </c>
      <c r="D81" s="23" t="inlineStr">
        <is>
          <t>Peach Pink</t>
        </is>
      </c>
      <c r="E81" s="24" t="inlineStr"/>
      <c r="F81" s="25" t="inlineStr">
        <is>
          <t>#999999</t>
        </is>
      </c>
      <c r="G81" s="16" t="inlineStr">
        <is>
          <t>1.75mm</t>
        </is>
      </c>
      <c r="H81" s="16" t="inlineStr">
        <is>
          <t>±0.03mm</t>
        </is>
      </c>
      <c r="I81" s="16" t="inlineStr">
        <is>
          <t>Plastic</t>
        </is>
      </c>
      <c r="J81" s="16" t="inlineStr">
        <is>
          <t>No</t>
        </is>
      </c>
      <c r="K81" s="16" t="inlineStr">
        <is>
          <t>200–230°C</t>
        </is>
      </c>
      <c r="L81" s="16" t="inlineStr">
        <is>
          <t>45–60°C</t>
        </is>
      </c>
      <c r="M81" s="16" t="inlineStr">
        <is>
          <t>45°C / 4h</t>
        </is>
      </c>
      <c r="N81" s="16" t="inlineStr">
        <is>
          <t>✓</t>
        </is>
      </c>
      <c r="O81" s="16" t="inlineStr">
        <is>
          <t>✓</t>
        </is>
      </c>
      <c r="P81" s="16" t="inlineStr">
        <is>
          <t>✓</t>
        </is>
      </c>
      <c r="Q81" s="16" t="inlineStr">
        <is>
          <t>✓</t>
        </is>
      </c>
      <c r="R81" s="16" t="inlineStr">
        <is>
          <t>A</t>
        </is>
      </c>
      <c r="S81" s="23" t="inlineStr">
        <is>
          <t>Manufacturer-confirmed color list (esun3dstore.com official store, live product page)</t>
        </is>
      </c>
      <c r="T81" s="23" t="inlineStr">
        <is>
          <t>Deep-dive follow-up 2026-07-19</t>
        </is>
      </c>
    </row>
    <row r="82" ht="20" customHeight="1">
      <c r="A82" s="26" t="inlineStr">
        <is>
          <t>PLA+</t>
        </is>
      </c>
      <c r="B82" s="26" t="inlineStr">
        <is>
          <t>E-PLAP-20</t>
        </is>
      </c>
      <c r="C82" s="26" t="inlineStr">
        <is>
          <t>eSUN PLA+</t>
        </is>
      </c>
      <c r="D82" s="26" t="inlineStr">
        <is>
          <t>Peak Green</t>
        </is>
      </c>
      <c r="E82" s="36" t="inlineStr"/>
      <c r="F82" s="37" t="inlineStr">
        <is>
          <t>#A1DA7C</t>
        </is>
      </c>
      <c r="G82" s="27" t="inlineStr">
        <is>
          <t>1.75mm</t>
        </is>
      </c>
      <c r="H82" s="27" t="inlineStr">
        <is>
          <t>±0.03mm</t>
        </is>
      </c>
      <c r="I82" s="27" t="inlineStr">
        <is>
          <t>Plastic</t>
        </is>
      </c>
      <c r="J82" s="27" t="inlineStr">
        <is>
          <t>No</t>
        </is>
      </c>
      <c r="K82" s="27" t="inlineStr">
        <is>
          <t>200–230°C</t>
        </is>
      </c>
      <c r="L82" s="27" t="inlineStr">
        <is>
          <t>45–60°C</t>
        </is>
      </c>
      <c r="M82" s="27" t="inlineStr">
        <is>
          <t>45°C / 4h</t>
        </is>
      </c>
      <c r="N82" s="27" t="inlineStr">
        <is>
          <t>✓</t>
        </is>
      </c>
      <c r="O82" s="27" t="inlineStr">
        <is>
          <t>✓</t>
        </is>
      </c>
      <c r="P82" s="27" t="inlineStr">
        <is>
          <t>✓</t>
        </is>
      </c>
      <c r="Q82" s="27" t="inlineStr">
        <is>
          <t>✓</t>
        </is>
      </c>
      <c r="R82" s="27" t="inlineStr">
        <is>
          <t>A</t>
        </is>
      </c>
      <c r="S82" s="26" t="inlineStr">
        <is>
          <t>Manufacturer-confirmed color list (esun3dstore.com official store, live product page)</t>
        </is>
      </c>
      <c r="T82" s="26" t="inlineStr">
        <is>
          <t>Deep-dive follow-up 2026-07-19 | Hex colorimeter-confirmed via filamentcolors.xyz</t>
        </is>
      </c>
    </row>
    <row r="83" ht="20" customHeight="1">
      <c r="A83" s="23" t="inlineStr">
        <is>
          <t>PLA+</t>
        </is>
      </c>
      <c r="B83" s="23" t="inlineStr">
        <is>
          <t>E-PLAP-19</t>
        </is>
      </c>
      <c r="C83" s="23" t="inlineStr">
        <is>
          <t>eSUN PLA+</t>
        </is>
      </c>
      <c r="D83" s="23" t="inlineStr">
        <is>
          <t>Pine Green</t>
        </is>
      </c>
      <c r="E83" s="24" t="inlineStr"/>
      <c r="F83" s="25" t="inlineStr">
        <is>
          <t>#999999</t>
        </is>
      </c>
      <c r="G83" s="16" t="inlineStr">
        <is>
          <t>1.75mm</t>
        </is>
      </c>
      <c r="H83" s="16" t="inlineStr">
        <is>
          <t>±0.03mm</t>
        </is>
      </c>
      <c r="I83" s="16" t="inlineStr">
        <is>
          <t>Plastic</t>
        </is>
      </c>
      <c r="J83" s="16" t="inlineStr">
        <is>
          <t>No</t>
        </is>
      </c>
      <c r="K83" s="16" t="inlineStr">
        <is>
          <t>200–230°C</t>
        </is>
      </c>
      <c r="L83" s="16" t="inlineStr">
        <is>
          <t>45–60°C</t>
        </is>
      </c>
      <c r="M83" s="16" t="inlineStr">
        <is>
          <t>45°C / 4h</t>
        </is>
      </c>
      <c r="N83" s="16" t="inlineStr">
        <is>
          <t>✓</t>
        </is>
      </c>
      <c r="O83" s="16" t="inlineStr">
        <is>
          <t>✓</t>
        </is>
      </c>
      <c r="P83" s="16" t="inlineStr">
        <is>
          <t>✓</t>
        </is>
      </c>
      <c r="Q83" s="16" t="inlineStr">
        <is>
          <t>✓</t>
        </is>
      </c>
      <c r="R83" s="16" t="inlineStr">
        <is>
          <t>A</t>
        </is>
      </c>
      <c r="S83" s="23" t="inlineStr">
        <is>
          <t>Manufacturer-confirmed color list (esun3dstore.com official store, live product page)</t>
        </is>
      </c>
      <c r="T83" s="23" t="inlineStr">
        <is>
          <t>Deep-dive follow-up 2026-07-19</t>
        </is>
      </c>
    </row>
    <row r="84" ht="20" customHeight="1">
      <c r="A84" s="26" t="inlineStr">
        <is>
          <t>PLA+</t>
        </is>
      </c>
      <c r="B84" s="26" t="inlineStr">
        <is>
          <t>E-PLAP-39</t>
        </is>
      </c>
      <c r="C84" s="26" t="inlineStr">
        <is>
          <t>eSUN PLA+</t>
        </is>
      </c>
      <c r="D84" s="26" t="inlineStr">
        <is>
          <t>Pink</t>
        </is>
      </c>
      <c r="E84" s="24" t="inlineStr"/>
      <c r="F84" s="25" t="inlineStr">
        <is>
          <t>#999999</t>
        </is>
      </c>
      <c r="G84" s="27" t="inlineStr">
        <is>
          <t>1.75mm</t>
        </is>
      </c>
      <c r="H84" s="27" t="inlineStr">
        <is>
          <t>±0.03mm</t>
        </is>
      </c>
      <c r="I84" s="27" t="inlineStr">
        <is>
          <t>Plastic</t>
        </is>
      </c>
      <c r="J84" s="27" t="inlineStr">
        <is>
          <t>No</t>
        </is>
      </c>
      <c r="K84" s="27" t="inlineStr">
        <is>
          <t>200–230°C</t>
        </is>
      </c>
      <c r="L84" s="27" t="inlineStr">
        <is>
          <t>45–60°C</t>
        </is>
      </c>
      <c r="M84" s="27" t="inlineStr">
        <is>
          <t>45°C / 4h</t>
        </is>
      </c>
      <c r="N84" s="27" t="inlineStr">
        <is>
          <t>✓</t>
        </is>
      </c>
      <c r="O84" s="27" t="inlineStr">
        <is>
          <t>✓</t>
        </is>
      </c>
      <c r="P84" s="27" t="inlineStr">
        <is>
          <t>✓</t>
        </is>
      </c>
      <c r="Q84" s="27" t="inlineStr">
        <is>
          <t>✓</t>
        </is>
      </c>
      <c r="R84" s="27" t="inlineStr">
        <is>
          <t>A</t>
        </is>
      </c>
      <c r="S84" s="26" t="inlineStr">
        <is>
          <t>Manufacturer-confirmed color list (esun3dstore.com official store, live product page)</t>
        </is>
      </c>
      <c r="T84" s="26" t="inlineStr">
        <is>
          <t>Deep-dive follow-up 2026-07-19</t>
        </is>
      </c>
    </row>
    <row r="85" ht="20" customHeight="1">
      <c r="A85" s="23" t="inlineStr">
        <is>
          <t>PLA+</t>
        </is>
      </c>
      <c r="B85" s="23" t="inlineStr">
        <is>
          <t>E-PLAP-49</t>
        </is>
      </c>
      <c r="C85" s="23" t="inlineStr">
        <is>
          <t>eSUN PLA+</t>
        </is>
      </c>
      <c r="D85" s="23" t="inlineStr">
        <is>
          <t>Purple</t>
        </is>
      </c>
      <c r="E85" s="24" t="inlineStr"/>
      <c r="F85" s="25" t="inlineStr">
        <is>
          <t>#999999</t>
        </is>
      </c>
      <c r="G85" s="16" t="inlineStr">
        <is>
          <t>1.75mm</t>
        </is>
      </c>
      <c r="H85" s="16" t="inlineStr">
        <is>
          <t>±0.03mm</t>
        </is>
      </c>
      <c r="I85" s="16" t="inlineStr">
        <is>
          <t>Plastic</t>
        </is>
      </c>
      <c r="J85" s="16" t="inlineStr">
        <is>
          <t>No</t>
        </is>
      </c>
      <c r="K85" s="16" t="inlineStr">
        <is>
          <t>200–230°C</t>
        </is>
      </c>
      <c r="L85" s="16" t="inlineStr">
        <is>
          <t>45–60°C</t>
        </is>
      </c>
      <c r="M85" s="16" t="inlineStr">
        <is>
          <t>45°C / 4h</t>
        </is>
      </c>
      <c r="N85" s="16" t="inlineStr">
        <is>
          <t>✓</t>
        </is>
      </c>
      <c r="O85" s="16" t="inlineStr">
        <is>
          <t>✓</t>
        </is>
      </c>
      <c r="P85" s="16" t="inlineStr">
        <is>
          <t>✓</t>
        </is>
      </c>
      <c r="Q85" s="16" t="inlineStr">
        <is>
          <t>✓</t>
        </is>
      </c>
      <c r="R85" s="16" t="inlineStr">
        <is>
          <t>A</t>
        </is>
      </c>
      <c r="S85" s="23" t="inlineStr">
        <is>
          <t>Manufacturer-confirmed color list (esun3dstore.com official store, live product page)</t>
        </is>
      </c>
      <c r="T85" s="23" t="inlineStr">
        <is>
          <t>Deep-dive follow-up 2026-07-19</t>
        </is>
      </c>
    </row>
    <row r="86" ht="20" customHeight="1">
      <c r="A86" s="26" t="inlineStr">
        <is>
          <t>PLA+</t>
        </is>
      </c>
      <c r="B86" s="26" t="inlineStr">
        <is>
          <t>E-PLAP-29</t>
        </is>
      </c>
      <c r="C86" s="26" t="inlineStr">
        <is>
          <t>eSUN PLA+</t>
        </is>
      </c>
      <c r="D86" s="26" t="inlineStr">
        <is>
          <t>RGB Blue</t>
        </is>
      </c>
      <c r="E86" s="24" t="inlineStr"/>
      <c r="F86" s="25" t="inlineStr">
        <is>
          <t>#999999</t>
        </is>
      </c>
      <c r="G86" s="27" t="inlineStr">
        <is>
          <t>1.75mm</t>
        </is>
      </c>
      <c r="H86" s="27" t="inlineStr">
        <is>
          <t>±0.03mm</t>
        </is>
      </c>
      <c r="I86" s="27" t="inlineStr">
        <is>
          <t>Plastic</t>
        </is>
      </c>
      <c r="J86" s="27" t="inlineStr">
        <is>
          <t>No</t>
        </is>
      </c>
      <c r="K86" s="27" t="inlineStr">
        <is>
          <t>200–230°C</t>
        </is>
      </c>
      <c r="L86" s="27" t="inlineStr">
        <is>
          <t>45–60°C</t>
        </is>
      </c>
      <c r="M86" s="27" t="inlineStr">
        <is>
          <t>45°C / 4h</t>
        </is>
      </c>
      <c r="N86" s="27" t="inlineStr">
        <is>
          <t>✓</t>
        </is>
      </c>
      <c r="O86" s="27" t="inlineStr">
        <is>
          <t>✓</t>
        </is>
      </c>
      <c r="P86" s="27" t="inlineStr">
        <is>
          <t>✓</t>
        </is>
      </c>
      <c r="Q86" s="27" t="inlineStr">
        <is>
          <t>✓</t>
        </is>
      </c>
      <c r="R86" s="27" t="inlineStr">
        <is>
          <t>A</t>
        </is>
      </c>
      <c r="S86" s="26" t="inlineStr">
        <is>
          <t>Manufacturer-confirmed color list (esun3dstore.com official store, live product page)</t>
        </is>
      </c>
      <c r="T86" s="26" t="inlineStr">
        <is>
          <t>Deep-dive follow-up 2026-07-19</t>
        </is>
      </c>
    </row>
    <row r="87" ht="20" customHeight="1">
      <c r="A87" s="23" t="inlineStr">
        <is>
          <t>PLA+</t>
        </is>
      </c>
      <c r="B87" s="23" t="inlineStr">
        <is>
          <t>E-PLAP-21</t>
        </is>
      </c>
      <c r="C87" s="23" t="inlineStr">
        <is>
          <t>eSUN PLA+</t>
        </is>
      </c>
      <c r="D87" s="23" t="inlineStr">
        <is>
          <t>RGB Green</t>
        </is>
      </c>
      <c r="E87" s="24" t="inlineStr"/>
      <c r="F87" s="25" t="inlineStr">
        <is>
          <t>#999999</t>
        </is>
      </c>
      <c r="G87" s="16" t="inlineStr">
        <is>
          <t>1.75mm</t>
        </is>
      </c>
      <c r="H87" s="16" t="inlineStr">
        <is>
          <t>±0.03mm</t>
        </is>
      </c>
      <c r="I87" s="16" t="inlineStr">
        <is>
          <t>Plastic</t>
        </is>
      </c>
      <c r="J87" s="16" t="inlineStr">
        <is>
          <t>No</t>
        </is>
      </c>
      <c r="K87" s="16" t="inlineStr">
        <is>
          <t>200–230°C</t>
        </is>
      </c>
      <c r="L87" s="16" t="inlineStr">
        <is>
          <t>45–60°C</t>
        </is>
      </c>
      <c r="M87" s="16" t="inlineStr">
        <is>
          <t>45°C / 4h</t>
        </is>
      </c>
      <c r="N87" s="16" t="inlineStr">
        <is>
          <t>✓</t>
        </is>
      </c>
      <c r="O87" s="16" t="inlineStr">
        <is>
          <t>✓</t>
        </is>
      </c>
      <c r="P87" s="16" t="inlineStr">
        <is>
          <t>✓</t>
        </is>
      </c>
      <c r="Q87" s="16" t="inlineStr">
        <is>
          <t>✓</t>
        </is>
      </c>
      <c r="R87" s="16" t="inlineStr">
        <is>
          <t>A</t>
        </is>
      </c>
      <c r="S87" s="23" t="inlineStr">
        <is>
          <t>Manufacturer-confirmed color list (esun3dstore.com official store, live product page)</t>
        </is>
      </c>
      <c r="T87" s="23" t="inlineStr">
        <is>
          <t>Deep-dive follow-up 2026-07-19</t>
        </is>
      </c>
    </row>
    <row r="88" ht="20" customHeight="1">
      <c r="A88" s="26" t="inlineStr">
        <is>
          <t>PLA+</t>
        </is>
      </c>
      <c r="B88" s="26" t="inlineStr">
        <is>
          <t>E-PLAP-14</t>
        </is>
      </c>
      <c r="C88" s="26" t="inlineStr">
        <is>
          <t>eSUN PLA+</t>
        </is>
      </c>
      <c r="D88" s="26" t="inlineStr">
        <is>
          <t>RGB Red</t>
        </is>
      </c>
      <c r="E88" s="24" t="inlineStr"/>
      <c r="F88" s="25" t="inlineStr">
        <is>
          <t>#999999</t>
        </is>
      </c>
      <c r="G88" s="27" t="inlineStr">
        <is>
          <t>1.75mm</t>
        </is>
      </c>
      <c r="H88" s="27" t="inlineStr">
        <is>
          <t>±0.03mm</t>
        </is>
      </c>
      <c r="I88" s="27" t="inlineStr">
        <is>
          <t>Plastic</t>
        </is>
      </c>
      <c r="J88" s="27" t="inlineStr">
        <is>
          <t>No</t>
        </is>
      </c>
      <c r="K88" s="27" t="inlineStr">
        <is>
          <t>200–230°C</t>
        </is>
      </c>
      <c r="L88" s="27" t="inlineStr">
        <is>
          <t>45–60°C</t>
        </is>
      </c>
      <c r="M88" s="27" t="inlineStr">
        <is>
          <t>45°C / 4h</t>
        </is>
      </c>
      <c r="N88" s="27" t="inlineStr">
        <is>
          <t>✓</t>
        </is>
      </c>
      <c r="O88" s="27" t="inlineStr">
        <is>
          <t>✓</t>
        </is>
      </c>
      <c r="P88" s="27" t="inlineStr">
        <is>
          <t>✓</t>
        </is>
      </c>
      <c r="Q88" s="27" t="inlineStr">
        <is>
          <t>✓</t>
        </is>
      </c>
      <c r="R88" s="27" t="inlineStr">
        <is>
          <t>A</t>
        </is>
      </c>
      <c r="S88" s="26" t="inlineStr">
        <is>
          <t>Manufacturer-confirmed color list (esun3dstore.com official store, live product page)</t>
        </is>
      </c>
      <c r="T88" s="26" t="inlineStr">
        <is>
          <t>Deep-dive follow-up 2026-07-19</t>
        </is>
      </c>
    </row>
    <row r="89" ht="20" customHeight="1">
      <c r="A89" s="23" t="inlineStr">
        <is>
          <t>PLA+</t>
        </is>
      </c>
      <c r="B89" s="23" t="inlineStr">
        <is>
          <t>E-PLAP-13</t>
        </is>
      </c>
      <c r="C89" s="23" t="inlineStr">
        <is>
          <t>eSUN PLA+</t>
        </is>
      </c>
      <c r="D89" s="23" t="inlineStr">
        <is>
          <t>Red</t>
        </is>
      </c>
      <c r="E89" s="24" t="inlineStr"/>
      <c r="F89" s="25" t="inlineStr">
        <is>
          <t>#999999</t>
        </is>
      </c>
      <c r="G89" s="16" t="inlineStr">
        <is>
          <t>1.75mm</t>
        </is>
      </c>
      <c r="H89" s="16" t="inlineStr">
        <is>
          <t>±0.03mm</t>
        </is>
      </c>
      <c r="I89" s="16" t="inlineStr">
        <is>
          <t>Plastic</t>
        </is>
      </c>
      <c r="J89" s="16" t="inlineStr">
        <is>
          <t>No</t>
        </is>
      </c>
      <c r="K89" s="16" t="inlineStr">
        <is>
          <t>200–230°C</t>
        </is>
      </c>
      <c r="L89" s="16" t="inlineStr">
        <is>
          <t>45–60°C</t>
        </is>
      </c>
      <c r="M89" s="16" t="inlineStr">
        <is>
          <t>45°C / 4h</t>
        </is>
      </c>
      <c r="N89" s="16" t="inlineStr">
        <is>
          <t>✓</t>
        </is>
      </c>
      <c r="O89" s="16" t="inlineStr">
        <is>
          <t>✓</t>
        </is>
      </c>
      <c r="P89" s="16" t="inlineStr">
        <is>
          <t>✓</t>
        </is>
      </c>
      <c r="Q89" s="16" t="inlineStr">
        <is>
          <t>✓</t>
        </is>
      </c>
      <c r="R89" s="16" t="inlineStr">
        <is>
          <t>A</t>
        </is>
      </c>
      <c r="S89" s="23" t="inlineStr">
        <is>
          <t>Manufacturer-confirmed color list (esun3dstore.com official store, live product page)</t>
        </is>
      </c>
      <c r="T89" s="23" t="inlineStr">
        <is>
          <t>Deep-dive follow-up 2026-07-19</t>
        </is>
      </c>
    </row>
    <row r="90" ht="20" customHeight="1">
      <c r="A90" s="26" t="inlineStr">
        <is>
          <t>PLA+</t>
        </is>
      </c>
      <c r="B90" s="26" t="inlineStr">
        <is>
          <t>E-PLAP-11</t>
        </is>
      </c>
      <c r="C90" s="26" t="inlineStr">
        <is>
          <t>eSUN PLA+</t>
        </is>
      </c>
      <c r="D90" s="26" t="inlineStr">
        <is>
          <t>Silver</t>
        </is>
      </c>
      <c r="E90" s="24" t="inlineStr"/>
      <c r="F90" s="25" t="inlineStr">
        <is>
          <t>#999999</t>
        </is>
      </c>
      <c r="G90" s="27" t="inlineStr">
        <is>
          <t>1.75mm</t>
        </is>
      </c>
      <c r="H90" s="27" t="inlineStr">
        <is>
          <t>±0.03mm</t>
        </is>
      </c>
      <c r="I90" s="27" t="inlineStr">
        <is>
          <t>Plastic</t>
        </is>
      </c>
      <c r="J90" s="27" t="inlineStr">
        <is>
          <t>No</t>
        </is>
      </c>
      <c r="K90" s="27" t="inlineStr">
        <is>
          <t>200–230°C</t>
        </is>
      </c>
      <c r="L90" s="27" t="inlineStr">
        <is>
          <t>45–60°C</t>
        </is>
      </c>
      <c r="M90" s="27" t="inlineStr">
        <is>
          <t>45°C / 4h</t>
        </is>
      </c>
      <c r="N90" s="27" t="inlineStr">
        <is>
          <t>✓</t>
        </is>
      </c>
      <c r="O90" s="27" t="inlineStr">
        <is>
          <t>✓</t>
        </is>
      </c>
      <c r="P90" s="27" t="inlineStr">
        <is>
          <t>✓</t>
        </is>
      </c>
      <c r="Q90" s="27" t="inlineStr">
        <is>
          <t>✓</t>
        </is>
      </c>
      <c r="R90" s="27" t="inlineStr">
        <is>
          <t>A</t>
        </is>
      </c>
      <c r="S90" s="26" t="inlineStr">
        <is>
          <t>Manufacturer-confirmed color list (esun3dstore.com official store, live product page)</t>
        </is>
      </c>
      <c r="T90" s="26" t="inlineStr">
        <is>
          <t>Deep-dive follow-up 2026-07-19</t>
        </is>
      </c>
    </row>
    <row r="91" ht="20" customHeight="1">
      <c r="A91" s="23" t="inlineStr">
        <is>
          <t>PLA+</t>
        </is>
      </c>
      <c r="B91" s="23" t="inlineStr">
        <is>
          <t>E-PLAP-33</t>
        </is>
      </c>
      <c r="C91" s="23" t="inlineStr">
        <is>
          <t>eSUN PLA+</t>
        </is>
      </c>
      <c r="D91" s="23" t="inlineStr">
        <is>
          <t>Soft Blue</t>
        </is>
      </c>
      <c r="E91" s="24" t="inlineStr"/>
      <c r="F91" s="25" t="inlineStr">
        <is>
          <t>#999999</t>
        </is>
      </c>
      <c r="G91" s="16" t="inlineStr">
        <is>
          <t>1.75mm</t>
        </is>
      </c>
      <c r="H91" s="16" t="inlineStr">
        <is>
          <t>±0.03mm</t>
        </is>
      </c>
      <c r="I91" s="16" t="inlineStr">
        <is>
          <t>Plastic</t>
        </is>
      </c>
      <c r="J91" s="16" t="inlineStr">
        <is>
          <t>No</t>
        </is>
      </c>
      <c r="K91" s="16" t="inlineStr">
        <is>
          <t>200–230°C</t>
        </is>
      </c>
      <c r="L91" s="16" t="inlineStr">
        <is>
          <t>45–60°C</t>
        </is>
      </c>
      <c r="M91" s="16" t="inlineStr">
        <is>
          <t>45°C / 4h</t>
        </is>
      </c>
      <c r="N91" s="16" t="inlineStr">
        <is>
          <t>✓</t>
        </is>
      </c>
      <c r="O91" s="16" t="inlineStr">
        <is>
          <t>✓</t>
        </is>
      </c>
      <c r="P91" s="16" t="inlineStr">
        <is>
          <t>✓</t>
        </is>
      </c>
      <c r="Q91" s="16" t="inlineStr">
        <is>
          <t>✓</t>
        </is>
      </c>
      <c r="R91" s="16" t="inlineStr">
        <is>
          <t>A</t>
        </is>
      </c>
      <c r="S91" s="23" t="inlineStr">
        <is>
          <t>Manufacturer-confirmed color list (esun3dstore.com official store, live product page)</t>
        </is>
      </c>
      <c r="T91" s="23" t="inlineStr">
        <is>
          <t>Deep-dive follow-up 2026-07-19</t>
        </is>
      </c>
    </row>
    <row r="92" ht="20" customHeight="1">
      <c r="A92" s="26" t="inlineStr">
        <is>
          <t>PLA+</t>
        </is>
      </c>
      <c r="B92" s="26" t="inlineStr">
        <is>
          <t>E-PLAP-41</t>
        </is>
      </c>
      <c r="C92" s="26" t="inlineStr">
        <is>
          <t>eSUN PLA+</t>
        </is>
      </c>
      <c r="D92" s="26" t="inlineStr">
        <is>
          <t>Soft Pink</t>
        </is>
      </c>
      <c r="E92" s="24" t="inlineStr"/>
      <c r="F92" s="25" t="inlineStr">
        <is>
          <t>#999999</t>
        </is>
      </c>
      <c r="G92" s="27" t="inlineStr">
        <is>
          <t>1.75mm</t>
        </is>
      </c>
      <c r="H92" s="27" t="inlineStr">
        <is>
          <t>±0.03mm</t>
        </is>
      </c>
      <c r="I92" s="27" t="inlineStr">
        <is>
          <t>Plastic</t>
        </is>
      </c>
      <c r="J92" s="27" t="inlineStr">
        <is>
          <t>No</t>
        </is>
      </c>
      <c r="K92" s="27" t="inlineStr">
        <is>
          <t>200–230°C</t>
        </is>
      </c>
      <c r="L92" s="27" t="inlineStr">
        <is>
          <t>45–60°C</t>
        </is>
      </c>
      <c r="M92" s="27" t="inlineStr">
        <is>
          <t>45°C / 4h</t>
        </is>
      </c>
      <c r="N92" s="27" t="inlineStr">
        <is>
          <t>✓</t>
        </is>
      </c>
      <c r="O92" s="27" t="inlineStr">
        <is>
          <t>✓</t>
        </is>
      </c>
      <c r="P92" s="27" t="inlineStr">
        <is>
          <t>✓</t>
        </is>
      </c>
      <c r="Q92" s="27" t="inlineStr">
        <is>
          <t>✓</t>
        </is>
      </c>
      <c r="R92" s="27" t="inlineStr">
        <is>
          <t>A</t>
        </is>
      </c>
      <c r="S92" s="26" t="inlineStr">
        <is>
          <t>Manufacturer-confirmed color list (esun3dstore.com official store, live product page)</t>
        </is>
      </c>
      <c r="T92" s="26" t="inlineStr">
        <is>
          <t>Deep-dive follow-up 2026-07-19</t>
        </is>
      </c>
    </row>
    <row r="93" ht="20" customHeight="1">
      <c r="A93" s="23" t="inlineStr">
        <is>
          <t>PLA+</t>
        </is>
      </c>
      <c r="B93" s="23" t="inlineStr">
        <is>
          <t>E-PLAP-32</t>
        </is>
      </c>
      <c r="C93" s="23" t="inlineStr">
        <is>
          <t>eSUN PLA+</t>
        </is>
      </c>
      <c r="D93" s="23" t="inlineStr">
        <is>
          <t>Space Blue</t>
        </is>
      </c>
      <c r="E93" s="24" t="inlineStr"/>
      <c r="F93" s="25" t="inlineStr">
        <is>
          <t>#999999</t>
        </is>
      </c>
      <c r="G93" s="16" t="inlineStr">
        <is>
          <t>1.75mm</t>
        </is>
      </c>
      <c r="H93" s="16" t="inlineStr">
        <is>
          <t>±0.03mm</t>
        </is>
      </c>
      <c r="I93" s="16" t="inlineStr">
        <is>
          <t>Plastic</t>
        </is>
      </c>
      <c r="J93" s="16" t="inlineStr">
        <is>
          <t>No</t>
        </is>
      </c>
      <c r="K93" s="16" t="inlineStr">
        <is>
          <t>200–230°C</t>
        </is>
      </c>
      <c r="L93" s="16" t="inlineStr">
        <is>
          <t>45–60°C</t>
        </is>
      </c>
      <c r="M93" s="16" t="inlineStr">
        <is>
          <t>45°C / 4h</t>
        </is>
      </c>
      <c r="N93" s="16" t="inlineStr">
        <is>
          <t>✓</t>
        </is>
      </c>
      <c r="O93" s="16" t="inlineStr">
        <is>
          <t>✓</t>
        </is>
      </c>
      <c r="P93" s="16" t="inlineStr">
        <is>
          <t>✓</t>
        </is>
      </c>
      <c r="Q93" s="16" t="inlineStr">
        <is>
          <t>✓</t>
        </is>
      </c>
      <c r="R93" s="16" t="inlineStr">
        <is>
          <t>A</t>
        </is>
      </c>
      <c r="S93" s="23" t="inlineStr">
        <is>
          <t>Manufacturer-confirmed color list (esun3dstore.com official store, live product page)</t>
        </is>
      </c>
      <c r="T93" s="23" t="inlineStr">
        <is>
          <t>Deep-dive follow-up 2026-07-19</t>
        </is>
      </c>
    </row>
    <row r="94" ht="20" customHeight="1">
      <c r="A94" s="26" t="inlineStr">
        <is>
          <t>PLA+</t>
        </is>
      </c>
      <c r="B94" s="26" t="inlineStr">
        <is>
          <t>E-PLAP-34</t>
        </is>
      </c>
      <c r="C94" s="26" t="inlineStr">
        <is>
          <t>eSUN PLA+</t>
        </is>
      </c>
      <c r="D94" s="26" t="inlineStr">
        <is>
          <t>Very Peri</t>
        </is>
      </c>
      <c r="E94" s="24" t="inlineStr"/>
      <c r="F94" s="25" t="inlineStr">
        <is>
          <t>#999999</t>
        </is>
      </c>
      <c r="G94" s="27" t="inlineStr">
        <is>
          <t>1.75mm</t>
        </is>
      </c>
      <c r="H94" s="27" t="inlineStr">
        <is>
          <t>±0.03mm</t>
        </is>
      </c>
      <c r="I94" s="27" t="inlineStr">
        <is>
          <t>Plastic</t>
        </is>
      </c>
      <c r="J94" s="27" t="inlineStr">
        <is>
          <t>No</t>
        </is>
      </c>
      <c r="K94" s="27" t="inlineStr">
        <is>
          <t>200–230°C</t>
        </is>
      </c>
      <c r="L94" s="27" t="inlineStr">
        <is>
          <t>45–60°C</t>
        </is>
      </c>
      <c r="M94" s="27" t="inlineStr">
        <is>
          <t>45°C / 4h</t>
        </is>
      </c>
      <c r="N94" s="27" t="inlineStr">
        <is>
          <t>✓</t>
        </is>
      </c>
      <c r="O94" s="27" t="inlineStr">
        <is>
          <t>✓</t>
        </is>
      </c>
      <c r="P94" s="27" t="inlineStr">
        <is>
          <t>✓</t>
        </is>
      </c>
      <c r="Q94" s="27" t="inlineStr">
        <is>
          <t>✓</t>
        </is>
      </c>
      <c r="R94" s="27" t="inlineStr">
        <is>
          <t>A</t>
        </is>
      </c>
      <c r="S94" s="26" t="inlineStr">
        <is>
          <t>Manufacturer-confirmed color list (esun3dstore.com official store, live product page)</t>
        </is>
      </c>
      <c r="T94" s="26" t="inlineStr">
        <is>
          <t>Deep-dive follow-up 2026-07-19</t>
        </is>
      </c>
    </row>
    <row r="95" ht="20" customHeight="1">
      <c r="A95" s="23" t="inlineStr">
        <is>
          <t>PLA+</t>
        </is>
      </c>
      <c r="B95" s="23" t="inlineStr">
        <is>
          <t>E-PLAP-03</t>
        </is>
      </c>
      <c r="C95" s="23" t="inlineStr">
        <is>
          <t>eSUN PLA+</t>
        </is>
      </c>
      <c r="D95" s="23" t="inlineStr">
        <is>
          <t>White</t>
        </is>
      </c>
      <c r="E95" s="24" t="inlineStr"/>
      <c r="F95" s="25" t="inlineStr">
        <is>
          <t>#999999</t>
        </is>
      </c>
      <c r="G95" s="16" t="inlineStr">
        <is>
          <t>1.75mm</t>
        </is>
      </c>
      <c r="H95" s="16" t="inlineStr">
        <is>
          <t>±0.03mm</t>
        </is>
      </c>
      <c r="I95" s="16" t="inlineStr">
        <is>
          <t>Plastic</t>
        </is>
      </c>
      <c r="J95" s="16" t="inlineStr">
        <is>
          <t>No</t>
        </is>
      </c>
      <c r="K95" s="16" t="inlineStr">
        <is>
          <t>200–230°C</t>
        </is>
      </c>
      <c r="L95" s="16" t="inlineStr">
        <is>
          <t>45–60°C</t>
        </is>
      </c>
      <c r="M95" s="16" t="inlineStr">
        <is>
          <t>45°C / 4h</t>
        </is>
      </c>
      <c r="N95" s="16" t="inlineStr">
        <is>
          <t>✓</t>
        </is>
      </c>
      <c r="O95" s="16" t="inlineStr">
        <is>
          <t>✓</t>
        </is>
      </c>
      <c r="P95" s="16" t="inlineStr">
        <is>
          <t>✓</t>
        </is>
      </c>
      <c r="Q95" s="16" t="inlineStr">
        <is>
          <t>✓</t>
        </is>
      </c>
      <c r="R95" s="16" t="inlineStr">
        <is>
          <t>A</t>
        </is>
      </c>
      <c r="S95" s="23" t="inlineStr">
        <is>
          <t>Manufacturer-confirmed color list (esun3dstore.com official store, live product page)</t>
        </is>
      </c>
      <c r="T95" s="23" t="inlineStr">
        <is>
          <t>Deep-dive follow-up 2026-07-19</t>
        </is>
      </c>
    </row>
    <row r="96" ht="20" customHeight="1">
      <c r="A96" s="26" t="inlineStr">
        <is>
          <t>PLA+</t>
        </is>
      </c>
      <c r="B96" s="26" t="inlineStr">
        <is>
          <t>E-PLAP-42</t>
        </is>
      </c>
      <c r="C96" s="26" t="inlineStr">
        <is>
          <t>eSUN PLA+</t>
        </is>
      </c>
      <c r="D96" s="26" t="inlineStr">
        <is>
          <t>Yellow</t>
        </is>
      </c>
      <c r="E96" s="24" t="inlineStr"/>
      <c r="F96" s="25" t="inlineStr">
        <is>
          <t>#999999</t>
        </is>
      </c>
      <c r="G96" s="27" t="inlineStr">
        <is>
          <t>1.75mm</t>
        </is>
      </c>
      <c r="H96" s="27" t="inlineStr">
        <is>
          <t>±0.03mm</t>
        </is>
      </c>
      <c r="I96" s="27" t="inlineStr">
        <is>
          <t>Plastic</t>
        </is>
      </c>
      <c r="J96" s="27" t="inlineStr">
        <is>
          <t>No</t>
        </is>
      </c>
      <c r="K96" s="27" t="inlineStr">
        <is>
          <t>200–230°C</t>
        </is>
      </c>
      <c r="L96" s="27" t="inlineStr">
        <is>
          <t>45–60°C</t>
        </is>
      </c>
      <c r="M96" s="27" t="inlineStr">
        <is>
          <t>45°C / 4h</t>
        </is>
      </c>
      <c r="N96" s="27" t="inlineStr">
        <is>
          <t>✓</t>
        </is>
      </c>
      <c r="O96" s="27" t="inlineStr">
        <is>
          <t>✓</t>
        </is>
      </c>
      <c r="P96" s="27" t="inlineStr">
        <is>
          <t>✓</t>
        </is>
      </c>
      <c r="Q96" s="27" t="inlineStr">
        <is>
          <t>✓</t>
        </is>
      </c>
      <c r="R96" s="27" t="inlineStr">
        <is>
          <t>A</t>
        </is>
      </c>
      <c r="S96" s="26" t="inlineStr">
        <is>
          <t>Manufacturer-confirmed color list (esun3dstore.com official store, live product page)</t>
        </is>
      </c>
      <c r="T96" s="26" t="inlineStr">
        <is>
          <t>Deep-dive follow-up 2026-07-19</t>
        </is>
      </c>
    </row>
    <row r="97" ht="20" customHeight="1">
      <c r="A97" s="23" t="inlineStr">
        <is>
          <t>PLA+HS</t>
        </is>
      </c>
      <c r="B97" s="23" t="inlineStr">
        <is>
          <t>E-PH-04</t>
        </is>
      </c>
      <c r="C97" s="23" t="inlineStr">
        <is>
          <t>eSUN PLA+HS (High Speed)</t>
        </is>
      </c>
      <c r="D97" s="23" t="inlineStr">
        <is>
          <t>Black</t>
        </is>
      </c>
      <c r="E97" s="28" t="inlineStr"/>
      <c r="F97" s="29" t="inlineStr">
        <is>
          <t>#0D0D0D</t>
        </is>
      </c>
      <c r="G97" s="16" t="inlineStr">
        <is>
          <t>1.75mm</t>
        </is>
      </c>
      <c r="H97" s="16" t="inlineStr">
        <is>
          <t>±0.03mm</t>
        </is>
      </c>
      <c r="I97" s="16" t="inlineStr">
        <is>
          <t>Plastic</t>
        </is>
      </c>
      <c r="J97" s="16" t="inlineStr">
        <is>
          <t>No</t>
        </is>
      </c>
      <c r="K97" s="16" t="inlineStr">
        <is>
          <t>210–240°C</t>
        </is>
      </c>
      <c r="L97" s="16" t="inlineStr">
        <is>
          <t>45–60°C</t>
        </is>
      </c>
      <c r="M97" s="16" t="inlineStr">
        <is>
          <t>45°C / 4h</t>
        </is>
      </c>
      <c r="N97" s="16" t="inlineStr">
        <is>
          <t>✓</t>
        </is>
      </c>
      <c r="O97" s="16" t="inlineStr">
        <is>
          <t>✓</t>
        </is>
      </c>
      <c r="P97" s="16" t="inlineStr">
        <is>
          <t>✓</t>
        </is>
      </c>
      <c r="Q97" s="16" t="inlineStr">
        <is>
          <t>✓</t>
        </is>
      </c>
      <c r="R97" s="16" t="inlineStr">
        <is>
          <t>C</t>
        </is>
      </c>
      <c r="S97" s="23" t="inlineStr">
        <is>
          <t>Line existence confirmed via official eSUN Product Manual; specs estimated from the closest sibling material, not individually TDS-confirmed</t>
        </is>
      </c>
      <c r="T97" s="23" t="inlineStr">
        <is>
          <t>PLACEHOLDER — line confirmed to exist in official eSUN Product Manual (esun3d.com/uploads/eSUN-3D-Product-Manual) but color list not verified this pass</t>
        </is>
      </c>
    </row>
    <row r="98" ht="20" customHeight="1">
      <c r="A98" s="26" t="inlineStr">
        <is>
          <t>PLA-Basic</t>
        </is>
      </c>
      <c r="B98" s="26" t="inlineStr">
        <is>
          <t>E-PLAB-14</t>
        </is>
      </c>
      <c r="C98" s="26" t="inlineStr">
        <is>
          <t>eSUN PLA-Basic</t>
        </is>
      </c>
      <c r="D98" s="26" t="inlineStr">
        <is>
          <t>Aqua</t>
        </is>
      </c>
      <c r="E98" s="24" t="inlineStr"/>
      <c r="F98" s="25" t="inlineStr">
        <is>
          <t>#999999</t>
        </is>
      </c>
      <c r="G98" s="27" t="inlineStr">
        <is>
          <t>1.75mm</t>
        </is>
      </c>
      <c r="H98" s="27" t="inlineStr">
        <is>
          <t>±0.03mm</t>
        </is>
      </c>
      <c r="I98" s="27" t="inlineStr">
        <is>
          <t>Plastic</t>
        </is>
      </c>
      <c r="J98" s="27" t="inlineStr">
        <is>
          <t>No</t>
        </is>
      </c>
      <c r="K98" s="27" t="inlineStr">
        <is>
          <t>190–220°C</t>
        </is>
      </c>
      <c r="L98" s="27" t="inlineStr">
        <is>
          <t>35–45°C</t>
        </is>
      </c>
      <c r="M98" s="27" t="inlineStr">
        <is>
          <t>45°C / 4h</t>
        </is>
      </c>
      <c r="N98" s="27" t="inlineStr">
        <is>
          <t>✓</t>
        </is>
      </c>
      <c r="O98" s="27" t="inlineStr">
        <is>
          <t>✓</t>
        </is>
      </c>
      <c r="P98" s="27" t="inlineStr">
        <is>
          <t>✓</t>
        </is>
      </c>
      <c r="Q98" s="27" t="inlineStr">
        <is>
          <t>✓</t>
        </is>
      </c>
      <c r="R98" s="27" t="inlineStr">
        <is>
          <t>A</t>
        </is>
      </c>
      <c r="S98" s="26" t="inlineStr">
        <is>
          <t>Manufacturer-confirmed color list (esun3dstore.com official store, live product page)</t>
        </is>
      </c>
      <c r="T98" s="26" t="inlineStr">
        <is>
          <t>Deep-dive follow-up 2026-07-19; NEW LINE — not previously in catalog</t>
        </is>
      </c>
    </row>
    <row r="99" ht="20" customHeight="1">
      <c r="A99" s="23" t="inlineStr">
        <is>
          <t>PLA-Basic</t>
        </is>
      </c>
      <c r="B99" s="23" t="inlineStr">
        <is>
          <t>E-PLAB-19</t>
        </is>
      </c>
      <c r="C99" s="23" t="inlineStr">
        <is>
          <t>eSUN PLA-Basic</t>
        </is>
      </c>
      <c r="D99" s="23" t="inlineStr">
        <is>
          <t>Barbie Pink</t>
        </is>
      </c>
      <c r="E99" s="24" t="inlineStr"/>
      <c r="F99" s="25" t="inlineStr">
        <is>
          <t>#999999</t>
        </is>
      </c>
      <c r="G99" s="16" t="inlineStr">
        <is>
          <t>1.75mm</t>
        </is>
      </c>
      <c r="H99" s="16" t="inlineStr">
        <is>
          <t>±0.03mm</t>
        </is>
      </c>
      <c r="I99" s="16" t="inlineStr">
        <is>
          <t>Plastic</t>
        </is>
      </c>
      <c r="J99" s="16" t="inlineStr">
        <is>
          <t>No</t>
        </is>
      </c>
      <c r="K99" s="16" t="inlineStr">
        <is>
          <t>190–220°C</t>
        </is>
      </c>
      <c r="L99" s="16" t="inlineStr">
        <is>
          <t>35–45°C</t>
        </is>
      </c>
      <c r="M99" s="16" t="inlineStr">
        <is>
          <t>45°C / 4h</t>
        </is>
      </c>
      <c r="N99" s="16" t="inlineStr">
        <is>
          <t>✓</t>
        </is>
      </c>
      <c r="O99" s="16" t="inlineStr">
        <is>
          <t>✓</t>
        </is>
      </c>
      <c r="P99" s="16" t="inlineStr">
        <is>
          <t>✓</t>
        </is>
      </c>
      <c r="Q99" s="16" t="inlineStr">
        <is>
          <t>✓</t>
        </is>
      </c>
      <c r="R99" s="16" t="inlineStr">
        <is>
          <t>A</t>
        </is>
      </c>
      <c r="S99" s="23" t="inlineStr">
        <is>
          <t>Manufacturer-confirmed color list (esun3dstore.com official store, live product page)</t>
        </is>
      </c>
      <c r="T99" s="23" t="inlineStr">
        <is>
          <t>Deep-dive follow-up 2026-07-19; NEW LINE — not previously in catalog</t>
        </is>
      </c>
    </row>
    <row r="100" ht="20" customHeight="1">
      <c r="A100" s="26" t="inlineStr">
        <is>
          <t>PLA-Basic</t>
        </is>
      </c>
      <c r="B100" s="26" t="inlineStr">
        <is>
          <t>E-PLAB-05</t>
        </is>
      </c>
      <c r="C100" s="26" t="inlineStr">
        <is>
          <t>eSUN PLA-Basic</t>
        </is>
      </c>
      <c r="D100" s="26" t="inlineStr">
        <is>
          <t>Beige</t>
        </is>
      </c>
      <c r="E100" s="24" t="inlineStr"/>
      <c r="F100" s="25" t="inlineStr">
        <is>
          <t>#999999</t>
        </is>
      </c>
      <c r="G100" s="27" t="inlineStr">
        <is>
          <t>1.75mm</t>
        </is>
      </c>
      <c r="H100" s="27" t="inlineStr">
        <is>
          <t>±0.03mm</t>
        </is>
      </c>
      <c r="I100" s="27" t="inlineStr">
        <is>
          <t>Plastic</t>
        </is>
      </c>
      <c r="J100" s="27" t="inlineStr">
        <is>
          <t>No</t>
        </is>
      </c>
      <c r="K100" s="27" t="inlineStr">
        <is>
          <t>190–220°C</t>
        </is>
      </c>
      <c r="L100" s="27" t="inlineStr">
        <is>
          <t>35–45°C</t>
        </is>
      </c>
      <c r="M100" s="27" t="inlineStr">
        <is>
          <t>45°C / 4h</t>
        </is>
      </c>
      <c r="N100" s="27" t="inlineStr">
        <is>
          <t>✓</t>
        </is>
      </c>
      <c r="O100" s="27" t="inlineStr">
        <is>
          <t>✓</t>
        </is>
      </c>
      <c r="P100" s="27" t="inlineStr">
        <is>
          <t>✓</t>
        </is>
      </c>
      <c r="Q100" s="27" t="inlineStr">
        <is>
          <t>✓</t>
        </is>
      </c>
      <c r="R100" s="27" t="inlineStr">
        <is>
          <t>A</t>
        </is>
      </c>
      <c r="S100" s="26" t="inlineStr">
        <is>
          <t>Manufacturer-confirmed color list (esun3dstore.com official store, live product page)</t>
        </is>
      </c>
      <c r="T100" s="26" t="inlineStr">
        <is>
          <t>Deep-dive follow-up 2026-07-19; NEW LINE — not previously in catalog</t>
        </is>
      </c>
    </row>
    <row r="101" ht="20" customHeight="1">
      <c r="A101" s="23" t="inlineStr">
        <is>
          <t>PLA-Basic</t>
        </is>
      </c>
      <c r="B101" s="23" t="inlineStr">
        <is>
          <t>E-PLAB-01</t>
        </is>
      </c>
      <c r="C101" s="23" t="inlineStr">
        <is>
          <t>eSUN PLA-Basic</t>
        </is>
      </c>
      <c r="D101" s="23" t="inlineStr">
        <is>
          <t>Black</t>
        </is>
      </c>
      <c r="E101" s="30" t="inlineStr"/>
      <c r="F101" s="31" t="inlineStr">
        <is>
          <t>#373838</t>
        </is>
      </c>
      <c r="G101" s="16" t="inlineStr">
        <is>
          <t>1.75mm</t>
        </is>
      </c>
      <c r="H101" s="16" t="inlineStr">
        <is>
          <t>±0.03mm</t>
        </is>
      </c>
      <c r="I101" s="16" t="inlineStr">
        <is>
          <t>Plastic</t>
        </is>
      </c>
      <c r="J101" s="16" t="inlineStr">
        <is>
          <t>No</t>
        </is>
      </c>
      <c r="K101" s="16" t="inlineStr">
        <is>
          <t>190–220°C</t>
        </is>
      </c>
      <c r="L101" s="16" t="inlineStr">
        <is>
          <t>35–45°C</t>
        </is>
      </c>
      <c r="M101" s="16" t="inlineStr">
        <is>
          <t>45°C / 4h</t>
        </is>
      </c>
      <c r="N101" s="16" t="inlineStr">
        <is>
          <t>✓</t>
        </is>
      </c>
      <c r="O101" s="16" t="inlineStr">
        <is>
          <t>✓</t>
        </is>
      </c>
      <c r="P101" s="16" t="inlineStr">
        <is>
          <t>✓</t>
        </is>
      </c>
      <c r="Q101" s="16" t="inlineStr">
        <is>
          <t>✓</t>
        </is>
      </c>
      <c r="R101" s="16" t="inlineStr">
        <is>
          <t>A</t>
        </is>
      </c>
      <c r="S101" s="23" t="inlineStr">
        <is>
          <t>Manufacturer-confirmed color list (esun3dstore.com official store, live product page)</t>
        </is>
      </c>
      <c r="T101" s="23" t="inlineStr">
        <is>
          <t>Deep-dive follow-up 2026-07-19; NEW LINE — not previously in catalog | Hex colorimeter-confirmed via filamentcolors.xyz</t>
        </is>
      </c>
    </row>
    <row r="102" ht="20" customHeight="1">
      <c r="A102" s="26" t="inlineStr">
        <is>
          <t>PLA-Basic</t>
        </is>
      </c>
      <c r="B102" s="26" t="inlineStr">
        <is>
          <t>E-PLAB-10</t>
        </is>
      </c>
      <c r="C102" s="26" t="inlineStr">
        <is>
          <t>eSUN PLA-Basic</t>
        </is>
      </c>
      <c r="D102" s="26" t="inlineStr">
        <is>
          <t>Blue</t>
        </is>
      </c>
      <c r="E102" s="24" t="inlineStr"/>
      <c r="F102" s="25" t="inlineStr">
        <is>
          <t>#999999</t>
        </is>
      </c>
      <c r="G102" s="27" t="inlineStr">
        <is>
          <t>1.75mm</t>
        </is>
      </c>
      <c r="H102" s="27" t="inlineStr">
        <is>
          <t>±0.03mm</t>
        </is>
      </c>
      <c r="I102" s="27" t="inlineStr">
        <is>
          <t>Plastic</t>
        </is>
      </c>
      <c r="J102" s="27" t="inlineStr">
        <is>
          <t>No</t>
        </is>
      </c>
      <c r="K102" s="27" t="inlineStr">
        <is>
          <t>190–220°C</t>
        </is>
      </c>
      <c r="L102" s="27" t="inlineStr">
        <is>
          <t>35–45°C</t>
        </is>
      </c>
      <c r="M102" s="27" t="inlineStr">
        <is>
          <t>45°C / 4h</t>
        </is>
      </c>
      <c r="N102" s="27" t="inlineStr">
        <is>
          <t>✓</t>
        </is>
      </c>
      <c r="O102" s="27" t="inlineStr">
        <is>
          <t>✓</t>
        </is>
      </c>
      <c r="P102" s="27" t="inlineStr">
        <is>
          <t>✓</t>
        </is>
      </c>
      <c r="Q102" s="27" t="inlineStr">
        <is>
          <t>✓</t>
        </is>
      </c>
      <c r="R102" s="27" t="inlineStr">
        <is>
          <t>A</t>
        </is>
      </c>
      <c r="S102" s="26" t="inlineStr">
        <is>
          <t>Manufacturer-confirmed color list (esun3dstore.com official store, live product page)</t>
        </is>
      </c>
      <c r="T102" s="26" t="inlineStr">
        <is>
          <t>Deep-dive follow-up 2026-07-19; NEW LINE — not previously in catalog</t>
        </is>
      </c>
    </row>
    <row r="103" ht="20" customHeight="1">
      <c r="A103" s="23" t="inlineStr">
        <is>
          <t>PLA-Basic</t>
        </is>
      </c>
      <c r="B103" s="23" t="inlineStr">
        <is>
          <t>E-PLAB-04</t>
        </is>
      </c>
      <c r="C103" s="23" t="inlineStr">
        <is>
          <t>eSUN PLA-Basic</t>
        </is>
      </c>
      <c r="D103" s="23" t="inlineStr">
        <is>
          <t>Bone White</t>
        </is>
      </c>
      <c r="E103" s="32" t="inlineStr"/>
      <c r="F103" s="33" t="inlineStr">
        <is>
          <t>#C2BAA7</t>
        </is>
      </c>
      <c r="G103" s="16" t="inlineStr">
        <is>
          <t>1.75mm</t>
        </is>
      </c>
      <c r="H103" s="16" t="inlineStr">
        <is>
          <t>±0.03mm</t>
        </is>
      </c>
      <c r="I103" s="16" t="inlineStr">
        <is>
          <t>Plastic</t>
        </is>
      </c>
      <c r="J103" s="16" t="inlineStr">
        <is>
          <t>No</t>
        </is>
      </c>
      <c r="K103" s="16" t="inlineStr">
        <is>
          <t>190–220°C</t>
        </is>
      </c>
      <c r="L103" s="16" t="inlineStr">
        <is>
          <t>35–45°C</t>
        </is>
      </c>
      <c r="M103" s="16" t="inlineStr">
        <is>
          <t>45°C / 4h</t>
        </is>
      </c>
      <c r="N103" s="16" t="inlineStr">
        <is>
          <t>✓</t>
        </is>
      </c>
      <c r="O103" s="16" t="inlineStr">
        <is>
          <t>✓</t>
        </is>
      </c>
      <c r="P103" s="16" t="inlineStr">
        <is>
          <t>✓</t>
        </is>
      </c>
      <c r="Q103" s="16" t="inlineStr">
        <is>
          <t>✓</t>
        </is>
      </c>
      <c r="R103" s="16" t="inlineStr">
        <is>
          <t>A</t>
        </is>
      </c>
      <c r="S103" s="23" t="inlineStr">
        <is>
          <t>Manufacturer-confirmed color list (esun3dstore.com official store, live product page)</t>
        </is>
      </c>
      <c r="T103" s="23" t="inlineStr">
        <is>
          <t>Deep-dive follow-up 2026-07-19; NEW LINE — not previously in catalog | Hex colorimeter-confirmed via filamentcolors.xyz</t>
        </is>
      </c>
    </row>
    <row r="104" ht="20" customHeight="1">
      <c r="A104" s="26" t="inlineStr">
        <is>
          <t>PLA-Basic</t>
        </is>
      </c>
      <c r="B104" s="26" t="inlineStr">
        <is>
          <t>E-PLAB-26</t>
        </is>
      </c>
      <c r="C104" s="26" t="inlineStr">
        <is>
          <t>eSUN PLA-Basic</t>
        </is>
      </c>
      <c r="D104" s="26" t="inlineStr">
        <is>
          <t>Brown</t>
        </is>
      </c>
      <c r="E104" s="24" t="inlineStr"/>
      <c r="F104" s="25" t="inlineStr">
        <is>
          <t>#999999</t>
        </is>
      </c>
      <c r="G104" s="27" t="inlineStr">
        <is>
          <t>1.75mm</t>
        </is>
      </c>
      <c r="H104" s="27" t="inlineStr">
        <is>
          <t>±0.03mm</t>
        </is>
      </c>
      <c r="I104" s="27" t="inlineStr">
        <is>
          <t>Plastic</t>
        </is>
      </c>
      <c r="J104" s="27" t="inlineStr">
        <is>
          <t>No</t>
        </is>
      </c>
      <c r="K104" s="27" t="inlineStr">
        <is>
          <t>190–220°C</t>
        </is>
      </c>
      <c r="L104" s="27" t="inlineStr">
        <is>
          <t>35–45°C</t>
        </is>
      </c>
      <c r="M104" s="27" t="inlineStr">
        <is>
          <t>45°C / 4h</t>
        </is>
      </c>
      <c r="N104" s="27" t="inlineStr">
        <is>
          <t>✓</t>
        </is>
      </c>
      <c r="O104" s="27" t="inlineStr">
        <is>
          <t>✓</t>
        </is>
      </c>
      <c r="P104" s="27" t="inlineStr">
        <is>
          <t>✓</t>
        </is>
      </c>
      <c r="Q104" s="27" t="inlineStr">
        <is>
          <t>✓</t>
        </is>
      </c>
      <c r="R104" s="27" t="inlineStr">
        <is>
          <t>A</t>
        </is>
      </c>
      <c r="S104" s="26" t="inlineStr">
        <is>
          <t>Manufacturer-confirmed color list (esun3dstore.com official store, live product page)</t>
        </is>
      </c>
      <c r="T104" s="26" t="inlineStr">
        <is>
          <t>Deep-dive follow-up 2026-07-19; NEW LINE — not previously in catalog</t>
        </is>
      </c>
    </row>
    <row r="105" ht="20" customHeight="1">
      <c r="A105" s="23" t="inlineStr">
        <is>
          <t>PLA-Basic</t>
        </is>
      </c>
      <c r="B105" s="23" t="inlineStr">
        <is>
          <t>E-PLAB-02</t>
        </is>
      </c>
      <c r="C105" s="23" t="inlineStr">
        <is>
          <t>eSUN PLA-Basic</t>
        </is>
      </c>
      <c r="D105" s="23" t="inlineStr">
        <is>
          <t>Cold White</t>
        </is>
      </c>
      <c r="E105" s="34" t="inlineStr"/>
      <c r="F105" s="35" t="inlineStr">
        <is>
          <t>#E1E4E5</t>
        </is>
      </c>
      <c r="G105" s="16" t="inlineStr">
        <is>
          <t>1.75mm</t>
        </is>
      </c>
      <c r="H105" s="16" t="inlineStr">
        <is>
          <t>±0.03mm</t>
        </is>
      </c>
      <c r="I105" s="16" t="inlineStr">
        <is>
          <t>Plastic</t>
        </is>
      </c>
      <c r="J105" s="16" t="inlineStr">
        <is>
          <t>No</t>
        </is>
      </c>
      <c r="K105" s="16" t="inlineStr">
        <is>
          <t>190–220°C</t>
        </is>
      </c>
      <c r="L105" s="16" t="inlineStr">
        <is>
          <t>35–45°C</t>
        </is>
      </c>
      <c r="M105" s="16" t="inlineStr">
        <is>
          <t>45°C / 4h</t>
        </is>
      </c>
      <c r="N105" s="16" t="inlineStr">
        <is>
          <t>✓</t>
        </is>
      </c>
      <c r="O105" s="16" t="inlineStr">
        <is>
          <t>✓</t>
        </is>
      </c>
      <c r="P105" s="16" t="inlineStr">
        <is>
          <t>✓</t>
        </is>
      </c>
      <c r="Q105" s="16" t="inlineStr">
        <is>
          <t>✓</t>
        </is>
      </c>
      <c r="R105" s="16" t="inlineStr">
        <is>
          <t>A</t>
        </is>
      </c>
      <c r="S105" s="23" t="inlineStr">
        <is>
          <t>Manufacturer-confirmed color list (esun3dstore.com official store, live product page)</t>
        </is>
      </c>
      <c r="T105" s="23" t="inlineStr">
        <is>
          <t>Deep-dive follow-up 2026-07-19; NEW LINE — not previously in catalog | Hex colorimeter-confirmed via filamentcolors.xyz</t>
        </is>
      </c>
    </row>
    <row r="106" ht="20" customHeight="1">
      <c r="A106" s="26" t="inlineStr">
        <is>
          <t>PLA-Basic</t>
        </is>
      </c>
      <c r="B106" s="26" t="inlineStr">
        <is>
          <t>E-PLAB-08</t>
        </is>
      </c>
      <c r="C106" s="26" t="inlineStr">
        <is>
          <t>eSUN PLA-Basic</t>
        </is>
      </c>
      <c r="D106" s="26" t="inlineStr">
        <is>
          <t>Concrete Grey</t>
        </is>
      </c>
      <c r="E106" s="24" t="inlineStr"/>
      <c r="F106" s="25" t="inlineStr">
        <is>
          <t>#999999</t>
        </is>
      </c>
      <c r="G106" s="27" t="inlineStr">
        <is>
          <t>1.75mm</t>
        </is>
      </c>
      <c r="H106" s="27" t="inlineStr">
        <is>
          <t>±0.03mm</t>
        </is>
      </c>
      <c r="I106" s="27" t="inlineStr">
        <is>
          <t>Plastic</t>
        </is>
      </c>
      <c r="J106" s="27" t="inlineStr">
        <is>
          <t>No</t>
        </is>
      </c>
      <c r="K106" s="27" t="inlineStr">
        <is>
          <t>190–220°C</t>
        </is>
      </c>
      <c r="L106" s="27" t="inlineStr">
        <is>
          <t>35–45°C</t>
        </is>
      </c>
      <c r="M106" s="27" t="inlineStr">
        <is>
          <t>45°C / 4h</t>
        </is>
      </c>
      <c r="N106" s="27" t="inlineStr">
        <is>
          <t>✓</t>
        </is>
      </c>
      <c r="O106" s="27" t="inlineStr">
        <is>
          <t>✓</t>
        </is>
      </c>
      <c r="P106" s="27" t="inlineStr">
        <is>
          <t>✓</t>
        </is>
      </c>
      <c r="Q106" s="27" t="inlineStr">
        <is>
          <t>✓</t>
        </is>
      </c>
      <c r="R106" s="27" t="inlineStr">
        <is>
          <t>A</t>
        </is>
      </c>
      <c r="S106" s="26" t="inlineStr">
        <is>
          <t>Manufacturer-confirmed color list (esun3dstore.com official store, live product page)</t>
        </is>
      </c>
      <c r="T106" s="26" t="inlineStr">
        <is>
          <t>Deep-dive follow-up 2026-07-19; NEW LINE — not previously in catalog</t>
        </is>
      </c>
    </row>
    <row r="107" ht="20" customHeight="1">
      <c r="A107" s="23" t="inlineStr">
        <is>
          <t>PLA-Basic</t>
        </is>
      </c>
      <c r="B107" s="23" t="inlineStr">
        <is>
          <t>E-PLAB-13</t>
        </is>
      </c>
      <c r="C107" s="23" t="inlineStr">
        <is>
          <t>eSUN PLA-Basic</t>
        </is>
      </c>
      <c r="D107" s="23" t="inlineStr">
        <is>
          <t>Dark Blue</t>
        </is>
      </c>
      <c r="E107" s="24" t="inlineStr"/>
      <c r="F107" s="25" t="inlineStr">
        <is>
          <t>#999999</t>
        </is>
      </c>
      <c r="G107" s="16" t="inlineStr">
        <is>
          <t>1.75mm</t>
        </is>
      </c>
      <c r="H107" s="16" t="inlineStr">
        <is>
          <t>±0.03mm</t>
        </is>
      </c>
      <c r="I107" s="16" t="inlineStr">
        <is>
          <t>Plastic</t>
        </is>
      </c>
      <c r="J107" s="16" t="inlineStr">
        <is>
          <t>No</t>
        </is>
      </c>
      <c r="K107" s="16" t="inlineStr">
        <is>
          <t>190–220°C</t>
        </is>
      </c>
      <c r="L107" s="16" t="inlineStr">
        <is>
          <t>35–45°C</t>
        </is>
      </c>
      <c r="M107" s="16" t="inlineStr">
        <is>
          <t>45°C / 4h</t>
        </is>
      </c>
      <c r="N107" s="16" t="inlineStr">
        <is>
          <t>✓</t>
        </is>
      </c>
      <c r="O107" s="16" t="inlineStr">
        <is>
          <t>✓</t>
        </is>
      </c>
      <c r="P107" s="16" t="inlineStr">
        <is>
          <t>✓</t>
        </is>
      </c>
      <c r="Q107" s="16" t="inlineStr">
        <is>
          <t>✓</t>
        </is>
      </c>
      <c r="R107" s="16" t="inlineStr">
        <is>
          <t>A</t>
        </is>
      </c>
      <c r="S107" s="23" t="inlineStr">
        <is>
          <t>Manufacturer-confirmed color list (esun3dstore.com official store, live product page)</t>
        </is>
      </c>
      <c r="T107" s="23" t="inlineStr">
        <is>
          <t>Deep-dive follow-up 2026-07-19; NEW LINE — not previously in catalog</t>
        </is>
      </c>
    </row>
    <row r="108" ht="20" customHeight="1">
      <c r="A108" s="26" t="inlineStr">
        <is>
          <t>PLA-Basic</t>
        </is>
      </c>
      <c r="B108" s="26" t="inlineStr">
        <is>
          <t>E-PLAB-15</t>
        </is>
      </c>
      <c r="C108" s="26" t="inlineStr">
        <is>
          <t>eSUN PLA-Basic</t>
        </is>
      </c>
      <c r="D108" s="26" t="inlineStr">
        <is>
          <t>Fire Engine Red</t>
        </is>
      </c>
      <c r="E108" s="24" t="inlineStr"/>
      <c r="F108" s="25" t="inlineStr">
        <is>
          <t>#999999</t>
        </is>
      </c>
      <c r="G108" s="27" t="inlineStr">
        <is>
          <t>1.75mm</t>
        </is>
      </c>
      <c r="H108" s="27" t="inlineStr">
        <is>
          <t>±0.03mm</t>
        </is>
      </c>
      <c r="I108" s="27" t="inlineStr">
        <is>
          <t>Plastic</t>
        </is>
      </c>
      <c r="J108" s="27" t="inlineStr">
        <is>
          <t>No</t>
        </is>
      </c>
      <c r="K108" s="27" t="inlineStr">
        <is>
          <t>190–220°C</t>
        </is>
      </c>
      <c r="L108" s="27" t="inlineStr">
        <is>
          <t>35–45°C</t>
        </is>
      </c>
      <c r="M108" s="27" t="inlineStr">
        <is>
          <t>45°C / 4h</t>
        </is>
      </c>
      <c r="N108" s="27" t="inlineStr">
        <is>
          <t>✓</t>
        </is>
      </c>
      <c r="O108" s="27" t="inlineStr">
        <is>
          <t>✓</t>
        </is>
      </c>
      <c r="P108" s="27" t="inlineStr">
        <is>
          <t>✓</t>
        </is>
      </c>
      <c r="Q108" s="27" t="inlineStr">
        <is>
          <t>✓</t>
        </is>
      </c>
      <c r="R108" s="27" t="inlineStr">
        <is>
          <t>A</t>
        </is>
      </c>
      <c r="S108" s="26" t="inlineStr">
        <is>
          <t>Manufacturer-confirmed color list (esun3dstore.com official store, live product page)</t>
        </is>
      </c>
      <c r="T108" s="26" t="inlineStr">
        <is>
          <t>Deep-dive follow-up 2026-07-19; NEW LINE — not previously in catalog</t>
        </is>
      </c>
    </row>
    <row r="109" ht="20" customHeight="1">
      <c r="A109" s="23" t="inlineStr">
        <is>
          <t>PLA-Basic</t>
        </is>
      </c>
      <c r="B109" s="23" t="inlineStr">
        <is>
          <t>E-PLAB-21</t>
        </is>
      </c>
      <c r="C109" s="23" t="inlineStr">
        <is>
          <t>eSUN PLA-Basic</t>
        </is>
      </c>
      <c r="D109" s="23" t="inlineStr">
        <is>
          <t>Grape Purple</t>
        </is>
      </c>
      <c r="E109" s="24" t="inlineStr"/>
      <c r="F109" s="25" t="inlineStr">
        <is>
          <t>#999999</t>
        </is>
      </c>
      <c r="G109" s="16" t="inlineStr">
        <is>
          <t>1.75mm</t>
        </is>
      </c>
      <c r="H109" s="16" t="inlineStr">
        <is>
          <t>±0.03mm</t>
        </is>
      </c>
      <c r="I109" s="16" t="inlineStr">
        <is>
          <t>Plastic</t>
        </is>
      </c>
      <c r="J109" s="16" t="inlineStr">
        <is>
          <t>No</t>
        </is>
      </c>
      <c r="K109" s="16" t="inlineStr">
        <is>
          <t>190–220°C</t>
        </is>
      </c>
      <c r="L109" s="16" t="inlineStr">
        <is>
          <t>35–45°C</t>
        </is>
      </c>
      <c r="M109" s="16" t="inlineStr">
        <is>
          <t>45°C / 4h</t>
        </is>
      </c>
      <c r="N109" s="16" t="inlineStr">
        <is>
          <t>✓</t>
        </is>
      </c>
      <c r="O109" s="16" t="inlineStr">
        <is>
          <t>✓</t>
        </is>
      </c>
      <c r="P109" s="16" t="inlineStr">
        <is>
          <t>✓</t>
        </is>
      </c>
      <c r="Q109" s="16" t="inlineStr">
        <is>
          <t>✓</t>
        </is>
      </c>
      <c r="R109" s="16" t="inlineStr">
        <is>
          <t>A</t>
        </is>
      </c>
      <c r="S109" s="23" t="inlineStr">
        <is>
          <t>Manufacturer-confirmed color list (esun3dstore.com official store, live product page)</t>
        </is>
      </c>
      <c r="T109" s="23" t="inlineStr">
        <is>
          <t>Deep-dive follow-up 2026-07-19; NEW LINE — not previously in catalog</t>
        </is>
      </c>
    </row>
    <row r="110" ht="20" customHeight="1">
      <c r="A110" s="26" t="inlineStr">
        <is>
          <t>PLA-Basic</t>
        </is>
      </c>
      <c r="B110" s="26" t="inlineStr">
        <is>
          <t>E-PLAB-22</t>
        </is>
      </c>
      <c r="C110" s="26" t="inlineStr">
        <is>
          <t>eSUN PLA-Basic</t>
        </is>
      </c>
      <c r="D110" s="26" t="inlineStr">
        <is>
          <t>Green</t>
        </is>
      </c>
      <c r="E110" s="24" t="inlineStr"/>
      <c r="F110" s="25" t="inlineStr">
        <is>
          <t>#999999</t>
        </is>
      </c>
      <c r="G110" s="27" t="inlineStr">
        <is>
          <t>1.75mm</t>
        </is>
      </c>
      <c r="H110" s="27" t="inlineStr">
        <is>
          <t>±0.03mm</t>
        </is>
      </c>
      <c r="I110" s="27" t="inlineStr">
        <is>
          <t>Plastic</t>
        </is>
      </c>
      <c r="J110" s="27" t="inlineStr">
        <is>
          <t>No</t>
        </is>
      </c>
      <c r="K110" s="27" t="inlineStr">
        <is>
          <t>190–220°C</t>
        </is>
      </c>
      <c r="L110" s="27" t="inlineStr">
        <is>
          <t>35–45°C</t>
        </is>
      </c>
      <c r="M110" s="27" t="inlineStr">
        <is>
          <t>45°C / 4h</t>
        </is>
      </c>
      <c r="N110" s="27" t="inlineStr">
        <is>
          <t>✓</t>
        </is>
      </c>
      <c r="O110" s="27" t="inlineStr">
        <is>
          <t>✓</t>
        </is>
      </c>
      <c r="P110" s="27" t="inlineStr">
        <is>
          <t>✓</t>
        </is>
      </c>
      <c r="Q110" s="27" t="inlineStr">
        <is>
          <t>✓</t>
        </is>
      </c>
      <c r="R110" s="27" t="inlineStr">
        <is>
          <t>A</t>
        </is>
      </c>
      <c r="S110" s="26" t="inlineStr">
        <is>
          <t>Manufacturer-confirmed color list (esun3dstore.com official store, live product page)</t>
        </is>
      </c>
      <c r="T110" s="26" t="inlineStr">
        <is>
          <t>Deep-dive follow-up 2026-07-19; NEW LINE — not previously in catalog</t>
        </is>
      </c>
    </row>
    <row r="111" ht="20" customHeight="1">
      <c r="A111" s="23" t="inlineStr">
        <is>
          <t>PLA-Basic</t>
        </is>
      </c>
      <c r="B111" s="23" t="inlineStr">
        <is>
          <t>E-PLAB-06</t>
        </is>
      </c>
      <c r="C111" s="23" t="inlineStr">
        <is>
          <t>eSUN PLA-Basic</t>
        </is>
      </c>
      <c r="D111" s="23" t="inlineStr">
        <is>
          <t>Grey</t>
        </is>
      </c>
      <c r="E111" s="24" t="inlineStr"/>
      <c r="F111" s="25" t="inlineStr">
        <is>
          <t>#999999</t>
        </is>
      </c>
      <c r="G111" s="16" t="inlineStr">
        <is>
          <t>1.75mm</t>
        </is>
      </c>
      <c r="H111" s="16" t="inlineStr">
        <is>
          <t>±0.03mm</t>
        </is>
      </c>
      <c r="I111" s="16" t="inlineStr">
        <is>
          <t>Plastic</t>
        </is>
      </c>
      <c r="J111" s="16" t="inlineStr">
        <is>
          <t>No</t>
        </is>
      </c>
      <c r="K111" s="16" t="inlineStr">
        <is>
          <t>190–220°C</t>
        </is>
      </c>
      <c r="L111" s="16" t="inlineStr">
        <is>
          <t>35–45°C</t>
        </is>
      </c>
      <c r="M111" s="16" t="inlineStr">
        <is>
          <t>45°C / 4h</t>
        </is>
      </c>
      <c r="N111" s="16" t="inlineStr">
        <is>
          <t>✓</t>
        </is>
      </c>
      <c r="O111" s="16" t="inlineStr">
        <is>
          <t>✓</t>
        </is>
      </c>
      <c r="P111" s="16" t="inlineStr">
        <is>
          <t>✓</t>
        </is>
      </c>
      <c r="Q111" s="16" t="inlineStr">
        <is>
          <t>✓</t>
        </is>
      </c>
      <c r="R111" s="16" t="inlineStr">
        <is>
          <t>A</t>
        </is>
      </c>
      <c r="S111" s="23" t="inlineStr">
        <is>
          <t>Manufacturer-confirmed color list (esun3dstore.com official store, live product page)</t>
        </is>
      </c>
      <c r="T111" s="23" t="inlineStr">
        <is>
          <t>Deep-dive follow-up 2026-07-19; NEW LINE — not previously in catalog</t>
        </is>
      </c>
    </row>
    <row r="112" ht="20" customHeight="1">
      <c r="A112" s="26" t="inlineStr">
        <is>
          <t>PLA-Basic</t>
        </is>
      </c>
      <c r="B112" s="26" t="inlineStr">
        <is>
          <t>E-PLAB-24</t>
        </is>
      </c>
      <c r="C112" s="26" t="inlineStr">
        <is>
          <t>eSUN PLA-Basic</t>
        </is>
      </c>
      <c r="D112" s="26" t="inlineStr">
        <is>
          <t>Holly Green</t>
        </is>
      </c>
      <c r="E112" s="24" t="inlineStr"/>
      <c r="F112" s="25" t="inlineStr">
        <is>
          <t>#999999</t>
        </is>
      </c>
      <c r="G112" s="27" t="inlineStr">
        <is>
          <t>1.75mm</t>
        </is>
      </c>
      <c r="H112" s="27" t="inlineStr">
        <is>
          <t>±0.03mm</t>
        </is>
      </c>
      <c r="I112" s="27" t="inlineStr">
        <is>
          <t>Plastic</t>
        </is>
      </c>
      <c r="J112" s="27" t="inlineStr">
        <is>
          <t>No</t>
        </is>
      </c>
      <c r="K112" s="27" t="inlineStr">
        <is>
          <t>190–220°C</t>
        </is>
      </c>
      <c r="L112" s="27" t="inlineStr">
        <is>
          <t>35–45°C</t>
        </is>
      </c>
      <c r="M112" s="27" t="inlineStr">
        <is>
          <t>45°C / 4h</t>
        </is>
      </c>
      <c r="N112" s="27" t="inlineStr">
        <is>
          <t>✓</t>
        </is>
      </c>
      <c r="O112" s="27" t="inlineStr">
        <is>
          <t>✓</t>
        </is>
      </c>
      <c r="P112" s="27" t="inlineStr">
        <is>
          <t>✓</t>
        </is>
      </c>
      <c r="Q112" s="27" t="inlineStr">
        <is>
          <t>✓</t>
        </is>
      </c>
      <c r="R112" s="27" t="inlineStr">
        <is>
          <t>A</t>
        </is>
      </c>
      <c r="S112" s="26" t="inlineStr">
        <is>
          <t>Manufacturer-confirmed color list (esun3dstore.com official store, live product page)</t>
        </is>
      </c>
      <c r="T112" s="26" t="inlineStr">
        <is>
          <t>Deep-dive follow-up 2026-07-19; NEW LINE — not previously in catalog</t>
        </is>
      </c>
    </row>
    <row r="113" ht="20" customHeight="1">
      <c r="A113" s="23" t="inlineStr">
        <is>
          <t>PLA-Basic</t>
        </is>
      </c>
      <c r="B113" s="23" t="inlineStr">
        <is>
          <t>E-PLAB-11</t>
        </is>
      </c>
      <c r="C113" s="23" t="inlineStr">
        <is>
          <t>eSUN PLA-Basic</t>
        </is>
      </c>
      <c r="D113" s="23" t="inlineStr">
        <is>
          <t>Light Blue</t>
        </is>
      </c>
      <c r="E113" s="24" t="inlineStr"/>
      <c r="F113" s="25" t="inlineStr">
        <is>
          <t>#999999</t>
        </is>
      </c>
      <c r="G113" s="16" t="inlineStr">
        <is>
          <t>1.75mm</t>
        </is>
      </c>
      <c r="H113" s="16" t="inlineStr">
        <is>
          <t>±0.03mm</t>
        </is>
      </c>
      <c r="I113" s="16" t="inlineStr">
        <is>
          <t>Plastic</t>
        </is>
      </c>
      <c r="J113" s="16" t="inlineStr">
        <is>
          <t>No</t>
        </is>
      </c>
      <c r="K113" s="16" t="inlineStr">
        <is>
          <t>190–220°C</t>
        </is>
      </c>
      <c r="L113" s="16" t="inlineStr">
        <is>
          <t>35–45°C</t>
        </is>
      </c>
      <c r="M113" s="16" t="inlineStr">
        <is>
          <t>45°C / 4h</t>
        </is>
      </c>
      <c r="N113" s="16" t="inlineStr">
        <is>
          <t>✓</t>
        </is>
      </c>
      <c r="O113" s="16" t="inlineStr">
        <is>
          <t>✓</t>
        </is>
      </c>
      <c r="P113" s="16" t="inlineStr">
        <is>
          <t>✓</t>
        </is>
      </c>
      <c r="Q113" s="16" t="inlineStr">
        <is>
          <t>✓</t>
        </is>
      </c>
      <c r="R113" s="16" t="inlineStr">
        <is>
          <t>A</t>
        </is>
      </c>
      <c r="S113" s="23" t="inlineStr">
        <is>
          <t>Manufacturer-confirmed color list (esun3dstore.com official store, live product page)</t>
        </is>
      </c>
      <c r="T113" s="23" t="inlineStr">
        <is>
          <t>Deep-dive follow-up 2026-07-19; NEW LINE — not previously in catalog</t>
        </is>
      </c>
    </row>
    <row r="114" ht="20" customHeight="1">
      <c r="A114" s="26" t="inlineStr">
        <is>
          <t>PLA-Basic</t>
        </is>
      </c>
      <c r="B114" s="26" t="inlineStr">
        <is>
          <t>E-PLAB-07</t>
        </is>
      </c>
      <c r="C114" s="26" t="inlineStr">
        <is>
          <t>eSUN PLA-Basic</t>
        </is>
      </c>
      <c r="D114" s="26" t="inlineStr">
        <is>
          <t>Light Grey</t>
        </is>
      </c>
      <c r="E114" s="24" t="inlineStr"/>
      <c r="F114" s="25" t="inlineStr">
        <is>
          <t>#999999</t>
        </is>
      </c>
      <c r="G114" s="27" t="inlineStr">
        <is>
          <t>1.75mm</t>
        </is>
      </c>
      <c r="H114" s="27" t="inlineStr">
        <is>
          <t>±0.03mm</t>
        </is>
      </c>
      <c r="I114" s="27" t="inlineStr">
        <is>
          <t>Plastic</t>
        </is>
      </c>
      <c r="J114" s="27" t="inlineStr">
        <is>
          <t>No</t>
        </is>
      </c>
      <c r="K114" s="27" t="inlineStr">
        <is>
          <t>190–220°C</t>
        </is>
      </c>
      <c r="L114" s="27" t="inlineStr">
        <is>
          <t>35–45°C</t>
        </is>
      </c>
      <c r="M114" s="27" t="inlineStr">
        <is>
          <t>45°C / 4h</t>
        </is>
      </c>
      <c r="N114" s="27" t="inlineStr">
        <is>
          <t>✓</t>
        </is>
      </c>
      <c r="O114" s="27" t="inlineStr">
        <is>
          <t>✓</t>
        </is>
      </c>
      <c r="P114" s="27" t="inlineStr">
        <is>
          <t>✓</t>
        </is>
      </c>
      <c r="Q114" s="27" t="inlineStr">
        <is>
          <t>✓</t>
        </is>
      </c>
      <c r="R114" s="27" t="inlineStr">
        <is>
          <t>A</t>
        </is>
      </c>
      <c r="S114" s="26" t="inlineStr">
        <is>
          <t>Manufacturer-confirmed color list (esun3dstore.com official store, live product page)</t>
        </is>
      </c>
      <c r="T114" s="26" t="inlineStr">
        <is>
          <t>Deep-dive follow-up 2026-07-19; NEW LINE — not previously in catalog</t>
        </is>
      </c>
    </row>
    <row r="115" ht="20" customHeight="1">
      <c r="A115" s="23" t="inlineStr">
        <is>
          <t>PLA-Basic</t>
        </is>
      </c>
      <c r="B115" s="23" t="inlineStr">
        <is>
          <t>E-PLAB-25</t>
        </is>
      </c>
      <c r="C115" s="23" t="inlineStr">
        <is>
          <t>eSUN PLA-Basic</t>
        </is>
      </c>
      <c r="D115" s="23" t="inlineStr">
        <is>
          <t>Olive Green</t>
        </is>
      </c>
      <c r="E115" s="24" t="inlineStr"/>
      <c r="F115" s="25" t="inlineStr">
        <is>
          <t>#999999</t>
        </is>
      </c>
      <c r="G115" s="16" t="inlineStr">
        <is>
          <t>1.75mm</t>
        </is>
      </c>
      <c r="H115" s="16" t="inlineStr">
        <is>
          <t>±0.03mm</t>
        </is>
      </c>
      <c r="I115" s="16" t="inlineStr">
        <is>
          <t>Plastic</t>
        </is>
      </c>
      <c r="J115" s="16" t="inlineStr">
        <is>
          <t>No</t>
        </is>
      </c>
      <c r="K115" s="16" t="inlineStr">
        <is>
          <t>190–220°C</t>
        </is>
      </c>
      <c r="L115" s="16" t="inlineStr">
        <is>
          <t>35–45°C</t>
        </is>
      </c>
      <c r="M115" s="16" t="inlineStr">
        <is>
          <t>45°C / 4h</t>
        </is>
      </c>
      <c r="N115" s="16" t="inlineStr">
        <is>
          <t>✓</t>
        </is>
      </c>
      <c r="O115" s="16" t="inlineStr">
        <is>
          <t>✓</t>
        </is>
      </c>
      <c r="P115" s="16" t="inlineStr">
        <is>
          <t>✓</t>
        </is>
      </c>
      <c r="Q115" s="16" t="inlineStr">
        <is>
          <t>✓</t>
        </is>
      </c>
      <c r="R115" s="16" t="inlineStr">
        <is>
          <t>A</t>
        </is>
      </c>
      <c r="S115" s="23" t="inlineStr">
        <is>
          <t>Manufacturer-confirmed color list (esun3dstore.com official store, live product page)</t>
        </is>
      </c>
      <c r="T115" s="23" t="inlineStr">
        <is>
          <t>Deep-dive follow-up 2026-07-19; NEW LINE — not previously in catalog</t>
        </is>
      </c>
    </row>
    <row r="116" ht="20" customHeight="1">
      <c r="A116" s="26" t="inlineStr">
        <is>
          <t>PLA-Basic</t>
        </is>
      </c>
      <c r="B116" s="26" t="inlineStr">
        <is>
          <t>E-PLAB-28</t>
        </is>
      </c>
      <c r="C116" s="26" t="inlineStr">
        <is>
          <t>eSUN PLA-Basic</t>
        </is>
      </c>
      <c r="D116" s="26" t="inlineStr">
        <is>
          <t>Orange</t>
        </is>
      </c>
      <c r="E116" s="24" t="inlineStr"/>
      <c r="F116" s="25" t="inlineStr">
        <is>
          <t>#999999</t>
        </is>
      </c>
      <c r="G116" s="27" t="inlineStr">
        <is>
          <t>1.75mm</t>
        </is>
      </c>
      <c r="H116" s="27" t="inlineStr">
        <is>
          <t>±0.03mm</t>
        </is>
      </c>
      <c r="I116" s="27" t="inlineStr">
        <is>
          <t>Plastic</t>
        </is>
      </c>
      <c r="J116" s="27" t="inlineStr">
        <is>
          <t>No</t>
        </is>
      </c>
      <c r="K116" s="27" t="inlineStr">
        <is>
          <t>190–220°C</t>
        </is>
      </c>
      <c r="L116" s="27" t="inlineStr">
        <is>
          <t>35–45°C</t>
        </is>
      </c>
      <c r="M116" s="27" t="inlineStr">
        <is>
          <t>45°C / 4h</t>
        </is>
      </c>
      <c r="N116" s="27" t="inlineStr">
        <is>
          <t>✓</t>
        </is>
      </c>
      <c r="O116" s="27" t="inlineStr">
        <is>
          <t>✓</t>
        </is>
      </c>
      <c r="P116" s="27" t="inlineStr">
        <is>
          <t>✓</t>
        </is>
      </c>
      <c r="Q116" s="27" t="inlineStr">
        <is>
          <t>✓</t>
        </is>
      </c>
      <c r="R116" s="27" t="inlineStr">
        <is>
          <t>A</t>
        </is>
      </c>
      <c r="S116" s="26" t="inlineStr">
        <is>
          <t>Manufacturer-confirmed color list (esun3dstore.com official store, live product page)</t>
        </is>
      </c>
      <c r="T116" s="26" t="inlineStr">
        <is>
          <t>Deep-dive follow-up 2026-07-19; NEW LINE — not previously in catalog</t>
        </is>
      </c>
    </row>
    <row r="117" ht="20" customHeight="1">
      <c r="A117" s="23" t="inlineStr">
        <is>
          <t>PLA-Basic</t>
        </is>
      </c>
      <c r="B117" s="23" t="inlineStr">
        <is>
          <t>E-PLAB-23</t>
        </is>
      </c>
      <c r="C117" s="23" t="inlineStr">
        <is>
          <t>eSUN PLA-Basic</t>
        </is>
      </c>
      <c r="D117" s="23" t="inlineStr">
        <is>
          <t>Peak Green</t>
        </is>
      </c>
      <c r="E117" s="36" t="inlineStr"/>
      <c r="F117" s="37" t="inlineStr">
        <is>
          <t>#A1DA7C</t>
        </is>
      </c>
      <c r="G117" s="16" t="inlineStr">
        <is>
          <t>1.75mm</t>
        </is>
      </c>
      <c r="H117" s="16" t="inlineStr">
        <is>
          <t>±0.03mm</t>
        </is>
      </c>
      <c r="I117" s="16" t="inlineStr">
        <is>
          <t>Plastic</t>
        </is>
      </c>
      <c r="J117" s="16" t="inlineStr">
        <is>
          <t>No</t>
        </is>
      </c>
      <c r="K117" s="16" t="inlineStr">
        <is>
          <t>190–220°C</t>
        </is>
      </c>
      <c r="L117" s="16" t="inlineStr">
        <is>
          <t>35–45°C</t>
        </is>
      </c>
      <c r="M117" s="16" t="inlineStr">
        <is>
          <t>45°C / 4h</t>
        </is>
      </c>
      <c r="N117" s="16" t="inlineStr">
        <is>
          <t>✓</t>
        </is>
      </c>
      <c r="O117" s="16" t="inlineStr">
        <is>
          <t>✓</t>
        </is>
      </c>
      <c r="P117" s="16" t="inlineStr">
        <is>
          <t>✓</t>
        </is>
      </c>
      <c r="Q117" s="16" t="inlineStr">
        <is>
          <t>✓</t>
        </is>
      </c>
      <c r="R117" s="16" t="inlineStr">
        <is>
          <t>A</t>
        </is>
      </c>
      <c r="S117" s="23" t="inlineStr">
        <is>
          <t>Manufacturer-confirmed color list (esun3dstore.com official store, live product page)</t>
        </is>
      </c>
      <c r="T117" s="23" t="inlineStr">
        <is>
          <t>Deep-dive follow-up 2026-07-19; NEW LINE — not previously in catalog | Hex colorimeter-confirmed via filamentcolors.xyz</t>
        </is>
      </c>
    </row>
    <row r="118" ht="20" customHeight="1">
      <c r="A118" s="26" t="inlineStr">
        <is>
          <t>PLA-Basic</t>
        </is>
      </c>
      <c r="B118" s="26" t="inlineStr">
        <is>
          <t>E-PLAB-18</t>
        </is>
      </c>
      <c r="C118" s="26" t="inlineStr">
        <is>
          <t>eSUN PLA-Basic</t>
        </is>
      </c>
      <c r="D118" s="26" t="inlineStr">
        <is>
          <t>Pink</t>
        </is>
      </c>
      <c r="E118" s="24" t="inlineStr"/>
      <c r="F118" s="25" t="inlineStr">
        <is>
          <t>#999999</t>
        </is>
      </c>
      <c r="G118" s="27" t="inlineStr">
        <is>
          <t>1.75mm</t>
        </is>
      </c>
      <c r="H118" s="27" t="inlineStr">
        <is>
          <t>±0.03mm</t>
        </is>
      </c>
      <c r="I118" s="27" t="inlineStr">
        <is>
          <t>Plastic</t>
        </is>
      </c>
      <c r="J118" s="27" t="inlineStr">
        <is>
          <t>No</t>
        </is>
      </c>
      <c r="K118" s="27" t="inlineStr">
        <is>
          <t>190–220°C</t>
        </is>
      </c>
      <c r="L118" s="27" t="inlineStr">
        <is>
          <t>35–45°C</t>
        </is>
      </c>
      <c r="M118" s="27" t="inlineStr">
        <is>
          <t>45°C / 4h</t>
        </is>
      </c>
      <c r="N118" s="27" t="inlineStr">
        <is>
          <t>✓</t>
        </is>
      </c>
      <c r="O118" s="27" t="inlineStr">
        <is>
          <t>✓</t>
        </is>
      </c>
      <c r="P118" s="27" t="inlineStr">
        <is>
          <t>✓</t>
        </is>
      </c>
      <c r="Q118" s="27" t="inlineStr">
        <is>
          <t>✓</t>
        </is>
      </c>
      <c r="R118" s="27" t="inlineStr">
        <is>
          <t>A</t>
        </is>
      </c>
      <c r="S118" s="26" t="inlineStr">
        <is>
          <t>Manufacturer-confirmed color list (esun3dstore.com official store, live product page)</t>
        </is>
      </c>
      <c r="T118" s="26" t="inlineStr">
        <is>
          <t>Deep-dive follow-up 2026-07-19; NEW LINE — not previously in catalog</t>
        </is>
      </c>
    </row>
    <row r="119" ht="20" customHeight="1">
      <c r="A119" s="23" t="inlineStr">
        <is>
          <t>PLA-Basic</t>
        </is>
      </c>
      <c r="B119" s="23" t="inlineStr">
        <is>
          <t>E-PLAB-20</t>
        </is>
      </c>
      <c r="C119" s="23" t="inlineStr">
        <is>
          <t>eSUN PLA-Basic</t>
        </is>
      </c>
      <c r="D119" s="23" t="inlineStr">
        <is>
          <t>Purple</t>
        </is>
      </c>
      <c r="E119" s="24" t="inlineStr"/>
      <c r="F119" s="25" t="inlineStr">
        <is>
          <t>#999999</t>
        </is>
      </c>
      <c r="G119" s="16" t="inlineStr">
        <is>
          <t>1.75mm</t>
        </is>
      </c>
      <c r="H119" s="16" t="inlineStr">
        <is>
          <t>±0.03mm</t>
        </is>
      </c>
      <c r="I119" s="16" t="inlineStr">
        <is>
          <t>Plastic</t>
        </is>
      </c>
      <c r="J119" s="16" t="inlineStr">
        <is>
          <t>No</t>
        </is>
      </c>
      <c r="K119" s="16" t="inlineStr">
        <is>
          <t>190–220°C</t>
        </is>
      </c>
      <c r="L119" s="16" t="inlineStr">
        <is>
          <t>35–45°C</t>
        </is>
      </c>
      <c r="M119" s="16" t="inlineStr">
        <is>
          <t>45°C / 4h</t>
        </is>
      </c>
      <c r="N119" s="16" t="inlineStr">
        <is>
          <t>✓</t>
        </is>
      </c>
      <c r="O119" s="16" t="inlineStr">
        <is>
          <t>✓</t>
        </is>
      </c>
      <c r="P119" s="16" t="inlineStr">
        <is>
          <t>✓</t>
        </is>
      </c>
      <c r="Q119" s="16" t="inlineStr">
        <is>
          <t>✓</t>
        </is>
      </c>
      <c r="R119" s="16" t="inlineStr">
        <is>
          <t>A</t>
        </is>
      </c>
      <c r="S119" s="23" t="inlineStr">
        <is>
          <t>Manufacturer-confirmed color list (esun3dstore.com official store, live product page)</t>
        </is>
      </c>
      <c r="T119" s="23" t="inlineStr">
        <is>
          <t>Deep-dive follow-up 2026-07-19; NEW LINE — not previously in catalog</t>
        </is>
      </c>
    </row>
    <row r="120" ht="20" customHeight="1">
      <c r="A120" s="26" t="inlineStr">
        <is>
          <t>PLA-Basic</t>
        </is>
      </c>
      <c r="B120" s="26" t="inlineStr">
        <is>
          <t>E-PLAB-17</t>
        </is>
      </c>
      <c r="C120" s="26" t="inlineStr">
        <is>
          <t>eSUN PLA-Basic</t>
        </is>
      </c>
      <c r="D120" s="26" t="inlineStr">
        <is>
          <t>RGB Red</t>
        </is>
      </c>
      <c r="E120" s="24" t="inlineStr"/>
      <c r="F120" s="25" t="inlineStr">
        <is>
          <t>#999999</t>
        </is>
      </c>
      <c r="G120" s="27" t="inlineStr">
        <is>
          <t>1.75mm</t>
        </is>
      </c>
      <c r="H120" s="27" t="inlineStr">
        <is>
          <t>±0.03mm</t>
        </is>
      </c>
      <c r="I120" s="27" t="inlineStr">
        <is>
          <t>Plastic</t>
        </is>
      </c>
      <c r="J120" s="27" t="inlineStr">
        <is>
          <t>No</t>
        </is>
      </c>
      <c r="K120" s="27" t="inlineStr">
        <is>
          <t>190–220°C</t>
        </is>
      </c>
      <c r="L120" s="27" t="inlineStr">
        <is>
          <t>35–45°C</t>
        </is>
      </c>
      <c r="M120" s="27" t="inlineStr">
        <is>
          <t>45°C / 4h</t>
        </is>
      </c>
      <c r="N120" s="27" t="inlineStr">
        <is>
          <t>✓</t>
        </is>
      </c>
      <c r="O120" s="27" t="inlineStr">
        <is>
          <t>✓</t>
        </is>
      </c>
      <c r="P120" s="27" t="inlineStr">
        <is>
          <t>✓</t>
        </is>
      </c>
      <c r="Q120" s="27" t="inlineStr">
        <is>
          <t>✓</t>
        </is>
      </c>
      <c r="R120" s="27" t="inlineStr">
        <is>
          <t>A</t>
        </is>
      </c>
      <c r="S120" s="26" t="inlineStr">
        <is>
          <t>Manufacturer-confirmed color list (esun3dstore.com official store, live product page)</t>
        </is>
      </c>
      <c r="T120" s="26" t="inlineStr">
        <is>
          <t>Deep-dive follow-up 2026-07-19; NEW LINE — not previously in catalog</t>
        </is>
      </c>
    </row>
    <row r="121" ht="20" customHeight="1">
      <c r="A121" s="23" t="inlineStr">
        <is>
          <t>PLA-Basic</t>
        </is>
      </c>
      <c r="B121" s="23" t="inlineStr">
        <is>
          <t>E-PLAB-16</t>
        </is>
      </c>
      <c r="C121" s="23" t="inlineStr">
        <is>
          <t>eSUN PLA-Basic</t>
        </is>
      </c>
      <c r="D121" s="23" t="inlineStr">
        <is>
          <t>Red</t>
        </is>
      </c>
      <c r="E121" s="24" t="inlineStr"/>
      <c r="F121" s="25" t="inlineStr">
        <is>
          <t>#999999</t>
        </is>
      </c>
      <c r="G121" s="16" t="inlineStr">
        <is>
          <t>1.75mm</t>
        </is>
      </c>
      <c r="H121" s="16" t="inlineStr">
        <is>
          <t>±0.03mm</t>
        </is>
      </c>
      <c r="I121" s="16" t="inlineStr">
        <is>
          <t>Plastic</t>
        </is>
      </c>
      <c r="J121" s="16" t="inlineStr">
        <is>
          <t>No</t>
        </is>
      </c>
      <c r="K121" s="16" t="inlineStr">
        <is>
          <t>190–220°C</t>
        </is>
      </c>
      <c r="L121" s="16" t="inlineStr">
        <is>
          <t>35–45°C</t>
        </is>
      </c>
      <c r="M121" s="16" t="inlineStr">
        <is>
          <t>45°C / 4h</t>
        </is>
      </c>
      <c r="N121" s="16" t="inlineStr">
        <is>
          <t>✓</t>
        </is>
      </c>
      <c r="O121" s="16" t="inlineStr">
        <is>
          <t>✓</t>
        </is>
      </c>
      <c r="P121" s="16" t="inlineStr">
        <is>
          <t>✓</t>
        </is>
      </c>
      <c r="Q121" s="16" t="inlineStr">
        <is>
          <t>✓</t>
        </is>
      </c>
      <c r="R121" s="16" t="inlineStr">
        <is>
          <t>A</t>
        </is>
      </c>
      <c r="S121" s="23" t="inlineStr">
        <is>
          <t>Manufacturer-confirmed color list (esun3dstore.com official store, live product page)</t>
        </is>
      </c>
      <c r="T121" s="23" t="inlineStr">
        <is>
          <t>Deep-dive follow-up 2026-07-19; NEW LINE — not previously in catalog</t>
        </is>
      </c>
    </row>
    <row r="122" ht="20" customHeight="1">
      <c r="A122" s="26" t="inlineStr">
        <is>
          <t>PLA-Basic</t>
        </is>
      </c>
      <c r="B122" s="26" t="inlineStr">
        <is>
          <t>E-PLAB-09</t>
        </is>
      </c>
      <c r="C122" s="26" t="inlineStr">
        <is>
          <t>eSUN PLA-Basic</t>
        </is>
      </c>
      <c r="D122" s="26" t="inlineStr">
        <is>
          <t>Silver</t>
        </is>
      </c>
      <c r="E122" s="24" t="inlineStr"/>
      <c r="F122" s="25" t="inlineStr">
        <is>
          <t>#999999</t>
        </is>
      </c>
      <c r="G122" s="27" t="inlineStr">
        <is>
          <t>1.75mm</t>
        </is>
      </c>
      <c r="H122" s="27" t="inlineStr">
        <is>
          <t>±0.03mm</t>
        </is>
      </c>
      <c r="I122" s="27" t="inlineStr">
        <is>
          <t>Plastic</t>
        </is>
      </c>
      <c r="J122" s="27" t="inlineStr">
        <is>
          <t>No</t>
        </is>
      </c>
      <c r="K122" s="27" t="inlineStr">
        <is>
          <t>190–220°C</t>
        </is>
      </c>
      <c r="L122" s="27" t="inlineStr">
        <is>
          <t>35–45°C</t>
        </is>
      </c>
      <c r="M122" s="27" t="inlineStr">
        <is>
          <t>45°C / 4h</t>
        </is>
      </c>
      <c r="N122" s="27" t="inlineStr">
        <is>
          <t>✓</t>
        </is>
      </c>
      <c r="O122" s="27" t="inlineStr">
        <is>
          <t>✓</t>
        </is>
      </c>
      <c r="P122" s="27" t="inlineStr">
        <is>
          <t>✓</t>
        </is>
      </c>
      <c r="Q122" s="27" t="inlineStr">
        <is>
          <t>✓</t>
        </is>
      </c>
      <c r="R122" s="27" t="inlineStr">
        <is>
          <t>A</t>
        </is>
      </c>
      <c r="S122" s="26" t="inlineStr">
        <is>
          <t>Manufacturer-confirmed color list (esun3dstore.com official store, live product page)</t>
        </is>
      </c>
      <c r="T122" s="26" t="inlineStr">
        <is>
          <t>Deep-dive follow-up 2026-07-19; NEW LINE — not previously in catalog</t>
        </is>
      </c>
    </row>
    <row r="123" ht="20" customHeight="1">
      <c r="A123" s="23" t="inlineStr">
        <is>
          <t>PLA-Basic</t>
        </is>
      </c>
      <c r="B123" s="23" t="inlineStr">
        <is>
          <t>E-PLAB-12</t>
        </is>
      </c>
      <c r="C123" s="23" t="inlineStr">
        <is>
          <t>eSUN PLA-Basic</t>
        </is>
      </c>
      <c r="D123" s="23" t="inlineStr">
        <is>
          <t>Sky Blue</t>
        </is>
      </c>
      <c r="E123" s="24" t="inlineStr"/>
      <c r="F123" s="25" t="inlineStr">
        <is>
          <t>#999999</t>
        </is>
      </c>
      <c r="G123" s="16" t="inlineStr">
        <is>
          <t>1.75mm</t>
        </is>
      </c>
      <c r="H123" s="16" t="inlineStr">
        <is>
          <t>±0.03mm</t>
        </is>
      </c>
      <c r="I123" s="16" t="inlineStr">
        <is>
          <t>Plastic</t>
        </is>
      </c>
      <c r="J123" s="16" t="inlineStr">
        <is>
          <t>No</t>
        </is>
      </c>
      <c r="K123" s="16" t="inlineStr">
        <is>
          <t>190–220°C</t>
        </is>
      </c>
      <c r="L123" s="16" t="inlineStr">
        <is>
          <t>35–45°C</t>
        </is>
      </c>
      <c r="M123" s="16" t="inlineStr">
        <is>
          <t>45°C / 4h</t>
        </is>
      </c>
      <c r="N123" s="16" t="inlineStr">
        <is>
          <t>✓</t>
        </is>
      </c>
      <c r="O123" s="16" t="inlineStr">
        <is>
          <t>✓</t>
        </is>
      </c>
      <c r="P123" s="16" t="inlineStr">
        <is>
          <t>✓</t>
        </is>
      </c>
      <c r="Q123" s="16" t="inlineStr">
        <is>
          <t>✓</t>
        </is>
      </c>
      <c r="R123" s="16" t="inlineStr">
        <is>
          <t>A</t>
        </is>
      </c>
      <c r="S123" s="23" t="inlineStr">
        <is>
          <t>Manufacturer-confirmed color list (esun3dstore.com official store, live product page)</t>
        </is>
      </c>
      <c r="T123" s="23" t="inlineStr">
        <is>
          <t>Deep-dive follow-up 2026-07-19; NEW LINE — not previously in catalog</t>
        </is>
      </c>
    </row>
    <row r="124" ht="20" customHeight="1">
      <c r="A124" s="26" t="inlineStr">
        <is>
          <t>PLA-Basic</t>
        </is>
      </c>
      <c r="B124" s="26" t="inlineStr">
        <is>
          <t>E-PLAB-03</t>
        </is>
      </c>
      <c r="C124" s="26" t="inlineStr">
        <is>
          <t>eSUN PLA-Basic</t>
        </is>
      </c>
      <c r="D124" s="26" t="inlineStr">
        <is>
          <t>White</t>
        </is>
      </c>
      <c r="E124" s="24" t="inlineStr"/>
      <c r="F124" s="25" t="inlineStr">
        <is>
          <t>#999999</t>
        </is>
      </c>
      <c r="G124" s="27" t="inlineStr">
        <is>
          <t>1.75mm</t>
        </is>
      </c>
      <c r="H124" s="27" t="inlineStr">
        <is>
          <t>±0.03mm</t>
        </is>
      </c>
      <c r="I124" s="27" t="inlineStr">
        <is>
          <t>Plastic</t>
        </is>
      </c>
      <c r="J124" s="27" t="inlineStr">
        <is>
          <t>No</t>
        </is>
      </c>
      <c r="K124" s="27" t="inlineStr">
        <is>
          <t>190–220°C</t>
        </is>
      </c>
      <c r="L124" s="27" t="inlineStr">
        <is>
          <t>35–45°C</t>
        </is>
      </c>
      <c r="M124" s="27" t="inlineStr">
        <is>
          <t>45°C / 4h</t>
        </is>
      </c>
      <c r="N124" s="27" t="inlineStr">
        <is>
          <t>✓</t>
        </is>
      </c>
      <c r="O124" s="27" t="inlineStr">
        <is>
          <t>✓</t>
        </is>
      </c>
      <c r="P124" s="27" t="inlineStr">
        <is>
          <t>✓</t>
        </is>
      </c>
      <c r="Q124" s="27" t="inlineStr">
        <is>
          <t>✓</t>
        </is>
      </c>
      <c r="R124" s="27" t="inlineStr">
        <is>
          <t>A</t>
        </is>
      </c>
      <c r="S124" s="26" t="inlineStr">
        <is>
          <t>Manufacturer-confirmed color list (esun3dstore.com official store, live product page)</t>
        </is>
      </c>
      <c r="T124" s="26" t="inlineStr">
        <is>
          <t>Deep-dive follow-up 2026-07-19; NEW LINE — not previously in catalog</t>
        </is>
      </c>
    </row>
    <row r="125" ht="20" customHeight="1">
      <c r="A125" s="23" t="inlineStr">
        <is>
          <t>PLA-Basic</t>
        </is>
      </c>
      <c r="B125" s="23" t="inlineStr">
        <is>
          <t>E-PLAB-27</t>
        </is>
      </c>
      <c r="C125" s="23" t="inlineStr">
        <is>
          <t>eSUN PLA-Basic</t>
        </is>
      </c>
      <c r="D125" s="23" t="inlineStr">
        <is>
          <t>Yellow</t>
        </is>
      </c>
      <c r="E125" s="24" t="inlineStr"/>
      <c r="F125" s="25" t="inlineStr">
        <is>
          <t>#999999</t>
        </is>
      </c>
      <c r="G125" s="16" t="inlineStr">
        <is>
          <t>1.75mm</t>
        </is>
      </c>
      <c r="H125" s="16" t="inlineStr">
        <is>
          <t>±0.03mm</t>
        </is>
      </c>
      <c r="I125" s="16" t="inlineStr">
        <is>
          <t>Plastic</t>
        </is>
      </c>
      <c r="J125" s="16" t="inlineStr">
        <is>
          <t>No</t>
        </is>
      </c>
      <c r="K125" s="16" t="inlineStr">
        <is>
          <t>190–220°C</t>
        </is>
      </c>
      <c r="L125" s="16" t="inlineStr">
        <is>
          <t>35–45°C</t>
        </is>
      </c>
      <c r="M125" s="16" t="inlineStr">
        <is>
          <t>45°C / 4h</t>
        </is>
      </c>
      <c r="N125" s="16" t="inlineStr">
        <is>
          <t>✓</t>
        </is>
      </c>
      <c r="O125" s="16" t="inlineStr">
        <is>
          <t>✓</t>
        </is>
      </c>
      <c r="P125" s="16" t="inlineStr">
        <is>
          <t>✓</t>
        </is>
      </c>
      <c r="Q125" s="16" t="inlineStr">
        <is>
          <t>✓</t>
        </is>
      </c>
      <c r="R125" s="16" t="inlineStr">
        <is>
          <t>A</t>
        </is>
      </c>
      <c r="S125" s="23" t="inlineStr">
        <is>
          <t>Manufacturer-confirmed color list (esun3dstore.com official store, live product page)</t>
        </is>
      </c>
      <c r="T125" s="23" t="inlineStr">
        <is>
          <t>Deep-dive follow-up 2026-07-19; NEW LINE — not previously in catalog</t>
        </is>
      </c>
    </row>
    <row r="126" ht="20" customHeight="1">
      <c r="A126" s="26" t="inlineStr">
        <is>
          <t>PLA-CF</t>
        </is>
      </c>
      <c r="B126" s="26" t="inlineStr">
        <is>
          <t>E-PLACF-01</t>
        </is>
      </c>
      <c r="C126" s="26" t="inlineStr">
        <is>
          <t>eSUN PLA-CF</t>
        </is>
      </c>
      <c r="D126" s="26" t="inlineStr">
        <is>
          <t>Black</t>
        </is>
      </c>
      <c r="E126" s="24" t="inlineStr"/>
      <c r="F126" s="25" t="inlineStr">
        <is>
          <t>#999999</t>
        </is>
      </c>
      <c r="G126" s="27" t="inlineStr">
        <is>
          <t>1.75mm</t>
        </is>
      </c>
      <c r="H126" s="27" t="inlineStr">
        <is>
          <t>±0.03mm</t>
        </is>
      </c>
      <c r="I126" s="27" t="inlineStr">
        <is>
          <t>Plastic</t>
        </is>
      </c>
      <c r="J126" s="27" t="inlineStr">
        <is>
          <t>No</t>
        </is>
      </c>
      <c r="K126" s="27" t="inlineStr">
        <is>
          <t>200–230°C</t>
        </is>
      </c>
      <c r="L126" s="27" t="inlineStr">
        <is>
          <t>50–70°C</t>
        </is>
      </c>
      <c r="M126" s="27" t="inlineStr">
        <is>
          <t>65°C / 8h</t>
        </is>
      </c>
      <c r="N126" s="27" t="inlineStr">
        <is>
          <t>✓</t>
        </is>
      </c>
      <c r="O126" s="27" t="inlineStr">
        <is>
          <t>✓</t>
        </is>
      </c>
      <c r="P126" s="27" t="inlineStr">
        <is>
          <t>✓</t>
        </is>
      </c>
      <c r="Q126" s="27" t="inlineStr">
        <is>
          <t>✓</t>
        </is>
      </c>
      <c r="R126" s="27" t="inlineStr">
        <is>
          <t>B</t>
        </is>
      </c>
      <c r="S126" s="26" t="inlineStr">
        <is>
          <t>Existing catalog entry — not re-verified this deep-dive pass</t>
        </is>
      </c>
      <c r="T126" s="26" t="inlineStr">
        <is>
          <t>Not independently re-verified this pass</t>
        </is>
      </c>
    </row>
    <row r="127" ht="20" customHeight="1">
      <c r="A127" s="23" t="inlineStr">
        <is>
          <t>PLA-HF</t>
        </is>
      </c>
      <c r="B127" s="23" t="inlineStr">
        <is>
          <t>E-PH-01</t>
        </is>
      </c>
      <c r="C127" s="23" t="inlineStr">
        <is>
          <t>eSUN PLA-HF (High Flow)</t>
        </is>
      </c>
      <c r="D127" s="23" t="inlineStr">
        <is>
          <t>Black</t>
        </is>
      </c>
      <c r="E127" s="28" t="inlineStr"/>
      <c r="F127" s="29" t="inlineStr">
        <is>
          <t>#0D0D0D</t>
        </is>
      </c>
      <c r="G127" s="16" t="inlineStr">
        <is>
          <t>1.75mm</t>
        </is>
      </c>
      <c r="H127" s="16" t="inlineStr">
        <is>
          <t>±0.03mm</t>
        </is>
      </c>
      <c r="I127" s="16" t="inlineStr">
        <is>
          <t>Plastic</t>
        </is>
      </c>
      <c r="J127" s="16" t="inlineStr">
        <is>
          <t>No</t>
        </is>
      </c>
      <c r="K127" s="16" t="inlineStr">
        <is>
          <t>200–230°C</t>
        </is>
      </c>
      <c r="L127" s="16" t="inlineStr">
        <is>
          <t>45–60°C</t>
        </is>
      </c>
      <c r="M127" s="16" t="inlineStr">
        <is>
          <t>45°C / 4h</t>
        </is>
      </c>
      <c r="N127" s="16" t="inlineStr">
        <is>
          <t>✓</t>
        </is>
      </c>
      <c r="O127" s="16" t="inlineStr">
        <is>
          <t>✓</t>
        </is>
      </c>
      <c r="P127" s="16" t="inlineStr">
        <is>
          <t>✓</t>
        </is>
      </c>
      <c r="Q127" s="16" t="inlineStr">
        <is>
          <t>✓</t>
        </is>
      </c>
      <c r="R127" s="16" t="inlineStr">
        <is>
          <t>C</t>
        </is>
      </c>
      <c r="S127" s="23" t="inlineStr">
        <is>
          <t>Line existence confirmed via official eSUN Product Manual; specs estimated from the closest sibling material, not individually TDS-confirmed</t>
        </is>
      </c>
      <c r="T127" s="23" t="inlineStr">
        <is>
          <t>PLACEHOLDER — line confirmed to exist in official eSUN Product Manual (esun3d.com/uploads/eSUN-3D-Product-Manual) but color list not verified this pass</t>
        </is>
      </c>
    </row>
    <row r="128" ht="20" customHeight="1">
      <c r="A128" s="26" t="inlineStr">
        <is>
          <t>PLA-LW</t>
        </is>
      </c>
      <c r="B128" s="26" t="inlineStr">
        <is>
          <t>E-PH-14</t>
        </is>
      </c>
      <c r="C128" s="26" t="inlineStr">
        <is>
          <t>eSUN PLA-LW (Lightweight)</t>
        </is>
      </c>
      <c r="D128" s="26" t="inlineStr">
        <is>
          <t>Black</t>
        </is>
      </c>
      <c r="E128" s="28" t="inlineStr"/>
      <c r="F128" s="29" t="inlineStr">
        <is>
          <t>#0D0D0D</t>
        </is>
      </c>
      <c r="G128" s="27" t="inlineStr">
        <is>
          <t>1.75mm</t>
        </is>
      </c>
      <c r="H128" s="27" t="inlineStr">
        <is>
          <t>±0.05mm</t>
        </is>
      </c>
      <c r="I128" s="27" t="inlineStr">
        <is>
          <t>Plastic</t>
        </is>
      </c>
      <c r="J128" s="27" t="inlineStr">
        <is>
          <t>No</t>
        </is>
      </c>
      <c r="K128" s="27" t="inlineStr">
        <is>
          <t>210–270°C</t>
        </is>
      </c>
      <c r="L128" s="27" t="inlineStr">
        <is>
          <t>35–45°C</t>
        </is>
      </c>
      <c r="M128" s="27" t="inlineStr">
        <is>
          <t>45°C / 4h</t>
        </is>
      </c>
      <c r="N128" s="27" t="inlineStr">
        <is>
          <t>✓</t>
        </is>
      </c>
      <c r="O128" s="27" t="inlineStr">
        <is>
          <t>✓</t>
        </is>
      </c>
      <c r="P128" s="27" t="inlineStr">
        <is>
          <t>✓</t>
        </is>
      </c>
      <c r="Q128" s="27" t="inlineStr">
        <is>
          <t>✓</t>
        </is>
      </c>
      <c r="R128" s="27" t="inlineStr">
        <is>
          <t>C</t>
        </is>
      </c>
      <c r="S128" s="26" t="inlineStr">
        <is>
          <t>Line existence confirmed via official eSUN Product Manual; specs estimated from the closest sibling material, not individually TDS-confirmed</t>
        </is>
      </c>
      <c r="T128" s="26" t="inlineStr">
        <is>
          <t>PLACEHOLDER — line confirmed to exist in official eSUN Product Manual (esun3d.com/uploads/eSUN-3D-Product-Manual) but color list not verified this pass</t>
        </is>
      </c>
    </row>
    <row r="129" ht="20" customHeight="1">
      <c r="A129" s="23" t="inlineStr">
        <is>
          <t>PLA-Lite</t>
        </is>
      </c>
      <c r="B129" s="23" t="inlineStr">
        <is>
          <t>E-PH-02</t>
        </is>
      </c>
      <c r="C129" s="23" t="inlineStr">
        <is>
          <t>eSUN PLA-Lite</t>
        </is>
      </c>
      <c r="D129" s="23" t="inlineStr">
        <is>
          <t>Black</t>
        </is>
      </c>
      <c r="E129" s="28" t="inlineStr"/>
      <c r="F129" s="29" t="inlineStr">
        <is>
          <t>#0D0D0D</t>
        </is>
      </c>
      <c r="G129" s="16" t="inlineStr">
        <is>
          <t>1.75mm</t>
        </is>
      </c>
      <c r="H129" s="16" t="inlineStr">
        <is>
          <t>±0.03mm</t>
        </is>
      </c>
      <c r="I129" s="16" t="inlineStr">
        <is>
          <t>Plastic</t>
        </is>
      </c>
      <c r="J129" s="16" t="inlineStr">
        <is>
          <t>No</t>
        </is>
      </c>
      <c r="K129" s="16" t="inlineStr">
        <is>
          <t>190–220°C</t>
        </is>
      </c>
      <c r="L129" s="16" t="inlineStr">
        <is>
          <t>35–45°C</t>
        </is>
      </c>
      <c r="M129" s="16" t="inlineStr">
        <is>
          <t>45°C / 4h</t>
        </is>
      </c>
      <c r="N129" s="16" t="inlineStr">
        <is>
          <t>✓</t>
        </is>
      </c>
      <c r="O129" s="16" t="inlineStr">
        <is>
          <t>✓</t>
        </is>
      </c>
      <c r="P129" s="16" t="inlineStr">
        <is>
          <t>✓</t>
        </is>
      </c>
      <c r="Q129" s="16" t="inlineStr">
        <is>
          <t>✓</t>
        </is>
      </c>
      <c r="R129" s="16" t="inlineStr">
        <is>
          <t>C</t>
        </is>
      </c>
      <c r="S129" s="23" t="inlineStr">
        <is>
          <t>Line existence confirmed via official eSUN Product Manual; specs estimated from the closest sibling material, not individually TDS-confirmed</t>
        </is>
      </c>
      <c r="T129" s="23" t="inlineStr">
        <is>
          <t>PLACEHOLDER — line confirmed to exist in official eSUN Product Manual (esun3d.com/uploads/eSUN-3D-Product-Manual) but color list not verified this pass</t>
        </is>
      </c>
    </row>
    <row r="130" ht="20" customHeight="1">
      <c r="A130" s="26" t="inlineStr">
        <is>
          <t>PLA-Marble</t>
        </is>
      </c>
      <c r="B130" s="26" t="inlineStr">
        <is>
          <t>E-PH-17</t>
        </is>
      </c>
      <c r="C130" s="26" t="inlineStr">
        <is>
          <t>eSUN PLA-Marble</t>
        </is>
      </c>
      <c r="D130" s="26" t="inlineStr">
        <is>
          <t>Black</t>
        </is>
      </c>
      <c r="E130" s="28" t="inlineStr"/>
      <c r="F130" s="29" t="inlineStr">
        <is>
          <t>#0D0D0D</t>
        </is>
      </c>
      <c r="G130" s="27" t="inlineStr">
        <is>
          <t>1.75mm</t>
        </is>
      </c>
      <c r="H130" s="27" t="inlineStr">
        <is>
          <t>±0.03mm</t>
        </is>
      </c>
      <c r="I130" s="27" t="inlineStr">
        <is>
          <t>Plastic</t>
        </is>
      </c>
      <c r="J130" s="27" t="inlineStr">
        <is>
          <t>No</t>
        </is>
      </c>
      <c r="K130" s="27" t="inlineStr">
        <is>
          <t>200–230°C</t>
        </is>
      </c>
      <c r="L130" s="27" t="inlineStr">
        <is>
          <t>35–45°C</t>
        </is>
      </c>
      <c r="M130" s="27" t="inlineStr">
        <is>
          <t>45°C / 4h</t>
        </is>
      </c>
      <c r="N130" s="27" t="inlineStr">
        <is>
          <t>✓</t>
        </is>
      </c>
      <c r="O130" s="27" t="inlineStr">
        <is>
          <t>✓</t>
        </is>
      </c>
      <c r="P130" s="27" t="inlineStr">
        <is>
          <t>✓</t>
        </is>
      </c>
      <c r="Q130" s="27" t="inlineStr">
        <is>
          <t>✓</t>
        </is>
      </c>
      <c r="R130" s="27" t="inlineStr">
        <is>
          <t>C</t>
        </is>
      </c>
      <c r="S130" s="26" t="inlineStr">
        <is>
          <t>Line existence confirmed via official eSUN Product Manual; specs estimated from the closest sibling material, not individually TDS-confirmed</t>
        </is>
      </c>
      <c r="T130" s="26" t="inlineStr">
        <is>
          <t>PLACEHOLDER — line confirmed to exist in official eSUN Product Manual (esun3d.com/uploads/eSUN-3D-Product-Manual) but color list not verified this pass</t>
        </is>
      </c>
    </row>
    <row r="131" ht="20" customHeight="1">
      <c r="A131" s="23" t="inlineStr">
        <is>
          <t>PLA-Matte</t>
        </is>
      </c>
      <c r="B131" s="23" t="inlineStr">
        <is>
          <t>E-MATTE-BLA</t>
        </is>
      </c>
      <c r="C131" s="23" t="inlineStr">
        <is>
          <t>eSUN PLA-Matte</t>
        </is>
      </c>
      <c r="D131" s="23" t="inlineStr">
        <is>
          <t>Black</t>
        </is>
      </c>
      <c r="E131" s="24" t="inlineStr"/>
      <c r="F131" s="25" t="inlineStr">
        <is>
          <t>#999999</t>
        </is>
      </c>
      <c r="G131" s="16" t="inlineStr">
        <is>
          <t>1.75mm</t>
        </is>
      </c>
      <c r="H131" s="16" t="inlineStr">
        <is>
          <t>±0.03mm</t>
        </is>
      </c>
      <c r="I131" s="16" t="inlineStr">
        <is>
          <t>Plastic</t>
        </is>
      </c>
      <c r="J131" s="16" t="inlineStr">
        <is>
          <t>No</t>
        </is>
      </c>
      <c r="K131" s="16" t="inlineStr">
        <is>
          <t>200–240°C</t>
        </is>
      </c>
      <c r="L131" s="16" t="inlineStr">
        <is>
          <t>30–60°C</t>
        </is>
      </c>
      <c r="M131" s="16" t="inlineStr">
        <is>
          <t>45°C / 4h</t>
        </is>
      </c>
      <c r="N131" s="16" t="inlineStr">
        <is>
          <t>✓</t>
        </is>
      </c>
      <c r="O131" s="16" t="inlineStr">
        <is>
          <t>✓</t>
        </is>
      </c>
      <c r="P131" s="16" t="inlineStr">
        <is>
          <t>✓</t>
        </is>
      </c>
      <c r="Q131" s="16" t="inlineStr">
        <is>
          <t>✓</t>
        </is>
      </c>
      <c r="R131" s="16" t="inlineStr">
        <is>
          <t>B</t>
        </is>
      </c>
      <c r="S131" s="23" t="inlineStr">
        <is>
          <t>Existing catalog entry — not re-verified this deep-dive pass</t>
        </is>
      </c>
      <c r="T131" s="23" t="inlineStr">
        <is>
          <t>Not independently re-verified this pass</t>
        </is>
      </c>
    </row>
    <row r="132" ht="20" customHeight="1">
      <c r="A132" s="26" t="inlineStr">
        <is>
          <t>PLA-Matte</t>
        </is>
      </c>
      <c r="B132" s="26" t="inlineStr">
        <is>
          <t>E-MATTE-BLU</t>
        </is>
      </c>
      <c r="C132" s="26" t="inlineStr">
        <is>
          <t>eSUN PLA-Matte</t>
        </is>
      </c>
      <c r="D132" s="26" t="inlineStr">
        <is>
          <t>Blue</t>
        </is>
      </c>
      <c r="E132" s="24" t="inlineStr"/>
      <c r="F132" s="25" t="inlineStr">
        <is>
          <t>#999999</t>
        </is>
      </c>
      <c r="G132" s="27" t="inlineStr">
        <is>
          <t>1.75mm</t>
        </is>
      </c>
      <c r="H132" s="27" t="inlineStr">
        <is>
          <t>±0.03mm</t>
        </is>
      </c>
      <c r="I132" s="27" t="inlineStr">
        <is>
          <t>Plastic</t>
        </is>
      </c>
      <c r="J132" s="27" t="inlineStr">
        <is>
          <t>No</t>
        </is>
      </c>
      <c r="K132" s="27" t="inlineStr">
        <is>
          <t>200–240°C</t>
        </is>
      </c>
      <c r="L132" s="27" t="inlineStr">
        <is>
          <t>30–60°C</t>
        </is>
      </c>
      <c r="M132" s="27" t="inlineStr">
        <is>
          <t>45°C / 4h</t>
        </is>
      </c>
      <c r="N132" s="27" t="inlineStr">
        <is>
          <t>✓</t>
        </is>
      </c>
      <c r="O132" s="27" t="inlineStr">
        <is>
          <t>✓</t>
        </is>
      </c>
      <c r="P132" s="27" t="inlineStr">
        <is>
          <t>✓</t>
        </is>
      </c>
      <c r="Q132" s="27" t="inlineStr">
        <is>
          <t>✓</t>
        </is>
      </c>
      <c r="R132" s="27" t="inlineStr">
        <is>
          <t>B</t>
        </is>
      </c>
      <c r="S132" s="26" t="inlineStr">
        <is>
          <t>Existing catalog entry — not re-verified this deep-dive pass</t>
        </is>
      </c>
      <c r="T132" s="26" t="inlineStr">
        <is>
          <t>Not independently re-verified this pass</t>
        </is>
      </c>
    </row>
    <row r="133" ht="20" customHeight="1">
      <c r="A133" s="23" t="inlineStr">
        <is>
          <t>PLA-Matte</t>
        </is>
      </c>
      <c r="B133" s="23" t="inlineStr">
        <is>
          <t>E-MATTE-GRA</t>
        </is>
      </c>
      <c r="C133" s="23" t="inlineStr">
        <is>
          <t>eSUN PLA-Matte</t>
        </is>
      </c>
      <c r="D133" s="23" t="inlineStr">
        <is>
          <t>Gray</t>
        </is>
      </c>
      <c r="E133" s="24" t="inlineStr"/>
      <c r="F133" s="25" t="inlineStr">
        <is>
          <t>#999999</t>
        </is>
      </c>
      <c r="G133" s="16" t="inlineStr">
        <is>
          <t>1.75mm</t>
        </is>
      </c>
      <c r="H133" s="16" t="inlineStr">
        <is>
          <t>±0.03mm</t>
        </is>
      </c>
      <c r="I133" s="16" t="inlineStr">
        <is>
          <t>Plastic</t>
        </is>
      </c>
      <c r="J133" s="16" t="inlineStr">
        <is>
          <t>No</t>
        </is>
      </c>
      <c r="K133" s="16" t="inlineStr">
        <is>
          <t>200–240°C</t>
        </is>
      </c>
      <c r="L133" s="16" t="inlineStr">
        <is>
          <t>30–60°C</t>
        </is>
      </c>
      <c r="M133" s="16" t="inlineStr">
        <is>
          <t>45°C / 4h</t>
        </is>
      </c>
      <c r="N133" s="16" t="inlineStr">
        <is>
          <t>✓</t>
        </is>
      </c>
      <c r="O133" s="16" t="inlineStr">
        <is>
          <t>✓</t>
        </is>
      </c>
      <c r="P133" s="16" t="inlineStr">
        <is>
          <t>✓</t>
        </is>
      </c>
      <c r="Q133" s="16" t="inlineStr">
        <is>
          <t>✓</t>
        </is>
      </c>
      <c r="R133" s="16" t="inlineStr">
        <is>
          <t>B</t>
        </is>
      </c>
      <c r="S133" s="23" t="inlineStr">
        <is>
          <t>Existing catalog entry — not re-verified this deep-dive pass</t>
        </is>
      </c>
      <c r="T133" s="23" t="inlineStr">
        <is>
          <t>Not independently re-verified this pass</t>
        </is>
      </c>
    </row>
    <row r="134" ht="20" customHeight="1">
      <c r="A134" s="26" t="inlineStr">
        <is>
          <t>PLA-Matte</t>
        </is>
      </c>
      <c r="B134" s="26" t="inlineStr">
        <is>
          <t>E-MATTE-RED</t>
        </is>
      </c>
      <c r="C134" s="26" t="inlineStr">
        <is>
          <t>eSUN PLA-Matte</t>
        </is>
      </c>
      <c r="D134" s="26" t="inlineStr">
        <is>
          <t>Red</t>
        </is>
      </c>
      <c r="E134" s="24" t="inlineStr"/>
      <c r="F134" s="25" t="inlineStr">
        <is>
          <t>#999999</t>
        </is>
      </c>
      <c r="G134" s="27" t="inlineStr">
        <is>
          <t>1.75mm</t>
        </is>
      </c>
      <c r="H134" s="27" t="inlineStr">
        <is>
          <t>±0.03mm</t>
        </is>
      </c>
      <c r="I134" s="27" t="inlineStr">
        <is>
          <t>Plastic</t>
        </is>
      </c>
      <c r="J134" s="27" t="inlineStr">
        <is>
          <t>No</t>
        </is>
      </c>
      <c r="K134" s="27" t="inlineStr">
        <is>
          <t>200–240°C</t>
        </is>
      </c>
      <c r="L134" s="27" t="inlineStr">
        <is>
          <t>30–60°C</t>
        </is>
      </c>
      <c r="M134" s="27" t="inlineStr">
        <is>
          <t>45°C / 4h</t>
        </is>
      </c>
      <c r="N134" s="27" t="inlineStr">
        <is>
          <t>✓</t>
        </is>
      </c>
      <c r="O134" s="27" t="inlineStr">
        <is>
          <t>✓</t>
        </is>
      </c>
      <c r="P134" s="27" t="inlineStr">
        <is>
          <t>✓</t>
        </is>
      </c>
      <c r="Q134" s="27" t="inlineStr">
        <is>
          <t>✓</t>
        </is>
      </c>
      <c r="R134" s="27" t="inlineStr">
        <is>
          <t>B</t>
        </is>
      </c>
      <c r="S134" s="26" t="inlineStr">
        <is>
          <t>Existing catalog entry — not re-verified this deep-dive pass</t>
        </is>
      </c>
      <c r="T134" s="26" t="inlineStr">
        <is>
          <t>Not independently re-verified this pass</t>
        </is>
      </c>
    </row>
    <row r="135" ht="20" customHeight="1">
      <c r="A135" s="23" t="inlineStr">
        <is>
          <t>PLA-Matte</t>
        </is>
      </c>
      <c r="B135" s="23" t="inlineStr">
        <is>
          <t>E-MATTE-WHI</t>
        </is>
      </c>
      <c r="C135" s="23" t="inlineStr">
        <is>
          <t>eSUN PLA-Matte</t>
        </is>
      </c>
      <c r="D135" s="23" t="inlineStr">
        <is>
          <t>White</t>
        </is>
      </c>
      <c r="E135" s="24" t="inlineStr"/>
      <c r="F135" s="25" t="inlineStr">
        <is>
          <t>#999999</t>
        </is>
      </c>
      <c r="G135" s="16" t="inlineStr">
        <is>
          <t>1.75mm</t>
        </is>
      </c>
      <c r="H135" s="16" t="inlineStr">
        <is>
          <t>±0.03mm</t>
        </is>
      </c>
      <c r="I135" s="16" t="inlineStr">
        <is>
          <t>Plastic</t>
        </is>
      </c>
      <c r="J135" s="16" t="inlineStr">
        <is>
          <t>No</t>
        </is>
      </c>
      <c r="K135" s="16" t="inlineStr">
        <is>
          <t>200–240°C</t>
        </is>
      </c>
      <c r="L135" s="16" t="inlineStr">
        <is>
          <t>30–60°C</t>
        </is>
      </c>
      <c r="M135" s="16" t="inlineStr">
        <is>
          <t>45°C / 4h</t>
        </is>
      </c>
      <c r="N135" s="16" t="inlineStr">
        <is>
          <t>✓</t>
        </is>
      </c>
      <c r="O135" s="16" t="inlineStr">
        <is>
          <t>✓</t>
        </is>
      </c>
      <c r="P135" s="16" t="inlineStr">
        <is>
          <t>✓</t>
        </is>
      </c>
      <c r="Q135" s="16" t="inlineStr">
        <is>
          <t>✓</t>
        </is>
      </c>
      <c r="R135" s="16" t="inlineStr">
        <is>
          <t>B</t>
        </is>
      </c>
      <c r="S135" s="23" t="inlineStr">
        <is>
          <t>Existing catalog entry — not re-verified this deep-dive pass</t>
        </is>
      </c>
      <c r="T135" s="23" t="inlineStr">
        <is>
          <t>Not independently re-verified this pass</t>
        </is>
      </c>
    </row>
    <row r="136" ht="20" customHeight="1">
      <c r="A136" s="26" t="inlineStr">
        <is>
          <t>PLA-Silk</t>
        </is>
      </c>
      <c r="B136" s="26" t="inlineStr">
        <is>
          <t>E-SILK-COP</t>
        </is>
      </c>
      <c r="C136" s="26" t="inlineStr">
        <is>
          <t>eSUN PLA-Silk</t>
        </is>
      </c>
      <c r="D136" s="26" t="inlineStr">
        <is>
          <t>Copper</t>
        </is>
      </c>
      <c r="E136" s="24" t="inlineStr"/>
      <c r="F136" s="25" t="inlineStr">
        <is>
          <t>#999999</t>
        </is>
      </c>
      <c r="G136" s="27" t="inlineStr">
        <is>
          <t>1.75mm</t>
        </is>
      </c>
      <c r="H136" s="27" t="inlineStr">
        <is>
          <t>±0.03mm</t>
        </is>
      </c>
      <c r="I136" s="27" t="inlineStr">
        <is>
          <t>Plastic</t>
        </is>
      </c>
      <c r="J136" s="27" t="inlineStr">
        <is>
          <t>No</t>
        </is>
      </c>
      <c r="K136" s="27" t="inlineStr">
        <is>
          <t>200–240°C</t>
        </is>
      </c>
      <c r="L136" s="27" t="inlineStr">
        <is>
          <t>30–60°C</t>
        </is>
      </c>
      <c r="M136" s="27" t="inlineStr">
        <is>
          <t>45°C / 4h</t>
        </is>
      </c>
      <c r="N136" s="27" t="inlineStr">
        <is>
          <t>✓</t>
        </is>
      </c>
      <c r="O136" s="27" t="inlineStr">
        <is>
          <t>✓</t>
        </is>
      </c>
      <c r="P136" s="27" t="inlineStr">
        <is>
          <t>✓</t>
        </is>
      </c>
      <c r="Q136" s="27" t="inlineStr">
        <is>
          <t>✓</t>
        </is>
      </c>
      <c r="R136" s="27" t="inlineStr">
        <is>
          <t>B</t>
        </is>
      </c>
      <c r="S136" s="26" t="inlineStr">
        <is>
          <t>Existing catalog entry — not re-verified this deep-dive pass</t>
        </is>
      </c>
      <c r="T136" s="26" t="inlineStr">
        <is>
          <t>Not independently re-verified this pass</t>
        </is>
      </c>
    </row>
    <row r="137" ht="20" customHeight="1">
      <c r="A137" s="23" t="inlineStr">
        <is>
          <t>PLA-Silk</t>
        </is>
      </c>
      <c r="B137" s="23" t="inlineStr">
        <is>
          <t>E-SILK-GOL</t>
        </is>
      </c>
      <c r="C137" s="23" t="inlineStr">
        <is>
          <t>eSUN PLA-Silk</t>
        </is>
      </c>
      <c r="D137" s="23" t="inlineStr">
        <is>
          <t>Gold</t>
        </is>
      </c>
      <c r="E137" s="24" t="inlineStr"/>
      <c r="F137" s="25" t="inlineStr">
        <is>
          <t>#999999</t>
        </is>
      </c>
      <c r="G137" s="16" t="inlineStr">
        <is>
          <t>1.75mm</t>
        </is>
      </c>
      <c r="H137" s="16" t="inlineStr">
        <is>
          <t>±0.03mm</t>
        </is>
      </c>
      <c r="I137" s="16" t="inlineStr">
        <is>
          <t>Plastic</t>
        </is>
      </c>
      <c r="J137" s="16" t="inlineStr">
        <is>
          <t>No</t>
        </is>
      </c>
      <c r="K137" s="16" t="inlineStr">
        <is>
          <t>200–240°C</t>
        </is>
      </c>
      <c r="L137" s="16" t="inlineStr">
        <is>
          <t>30–60°C</t>
        </is>
      </c>
      <c r="M137" s="16" t="inlineStr">
        <is>
          <t>45°C / 4h</t>
        </is>
      </c>
      <c r="N137" s="16" t="inlineStr">
        <is>
          <t>✓</t>
        </is>
      </c>
      <c r="O137" s="16" t="inlineStr">
        <is>
          <t>✓</t>
        </is>
      </c>
      <c r="P137" s="16" t="inlineStr">
        <is>
          <t>✓</t>
        </is>
      </c>
      <c r="Q137" s="16" t="inlineStr">
        <is>
          <t>✓</t>
        </is>
      </c>
      <c r="R137" s="16" t="inlineStr">
        <is>
          <t>B</t>
        </is>
      </c>
      <c r="S137" s="23" t="inlineStr">
        <is>
          <t>Existing catalog entry — not re-verified this deep-dive pass</t>
        </is>
      </c>
      <c r="T137" s="23" t="inlineStr">
        <is>
          <t>Not independently re-verified this pass</t>
        </is>
      </c>
    </row>
    <row r="138" ht="20" customHeight="1">
      <c r="A138" s="26" t="inlineStr">
        <is>
          <t>PLA-Silk</t>
        </is>
      </c>
      <c r="B138" s="26" t="inlineStr">
        <is>
          <t>E-SILK-RAI</t>
        </is>
      </c>
      <c r="C138" s="26" t="inlineStr">
        <is>
          <t>eSUN PLA-Silk</t>
        </is>
      </c>
      <c r="D138" s="26" t="inlineStr">
        <is>
          <t>Rainbow</t>
        </is>
      </c>
      <c r="E138" s="24" t="inlineStr"/>
      <c r="F138" s="25" t="inlineStr">
        <is>
          <t>#999999</t>
        </is>
      </c>
      <c r="G138" s="27" t="inlineStr">
        <is>
          <t>1.75mm</t>
        </is>
      </c>
      <c r="H138" s="27" t="inlineStr">
        <is>
          <t>±0.03mm</t>
        </is>
      </c>
      <c r="I138" s="27" t="inlineStr">
        <is>
          <t>Plastic</t>
        </is>
      </c>
      <c r="J138" s="27" t="inlineStr">
        <is>
          <t>No</t>
        </is>
      </c>
      <c r="K138" s="27" t="inlineStr">
        <is>
          <t>200–240°C</t>
        </is>
      </c>
      <c r="L138" s="27" t="inlineStr">
        <is>
          <t>30–60°C</t>
        </is>
      </c>
      <c r="M138" s="27" t="inlineStr">
        <is>
          <t>45°C / 4h</t>
        </is>
      </c>
      <c r="N138" s="27" t="inlineStr">
        <is>
          <t>✓</t>
        </is>
      </c>
      <c r="O138" s="27" t="inlineStr">
        <is>
          <t>✓</t>
        </is>
      </c>
      <c r="P138" s="27" t="inlineStr">
        <is>
          <t>✓</t>
        </is>
      </c>
      <c r="Q138" s="27" t="inlineStr">
        <is>
          <t>✓</t>
        </is>
      </c>
      <c r="R138" s="27" t="inlineStr">
        <is>
          <t>B</t>
        </is>
      </c>
      <c r="S138" s="26" t="inlineStr">
        <is>
          <t>Existing catalog entry — not re-verified this deep-dive pass</t>
        </is>
      </c>
      <c r="T138" s="26" t="inlineStr">
        <is>
          <t>Not independently re-verified this pass</t>
        </is>
      </c>
    </row>
    <row r="139" ht="20" customHeight="1">
      <c r="A139" s="23" t="inlineStr">
        <is>
          <t>PLA-Silk</t>
        </is>
      </c>
      <c r="B139" s="23" t="inlineStr">
        <is>
          <t>E-SILK-SIL</t>
        </is>
      </c>
      <c r="C139" s="23" t="inlineStr">
        <is>
          <t>eSUN PLA-Silk</t>
        </is>
      </c>
      <c r="D139" s="23" t="inlineStr">
        <is>
          <t>Silver</t>
        </is>
      </c>
      <c r="E139" s="24" t="inlineStr"/>
      <c r="F139" s="25" t="inlineStr">
        <is>
          <t>#999999</t>
        </is>
      </c>
      <c r="G139" s="16" t="inlineStr">
        <is>
          <t>1.75mm</t>
        </is>
      </c>
      <c r="H139" s="16" t="inlineStr">
        <is>
          <t>±0.03mm</t>
        </is>
      </c>
      <c r="I139" s="16" t="inlineStr">
        <is>
          <t>Plastic</t>
        </is>
      </c>
      <c r="J139" s="16" t="inlineStr">
        <is>
          <t>No</t>
        </is>
      </c>
      <c r="K139" s="16" t="inlineStr">
        <is>
          <t>200–240°C</t>
        </is>
      </c>
      <c r="L139" s="16" t="inlineStr">
        <is>
          <t>30–60°C</t>
        </is>
      </c>
      <c r="M139" s="16" t="inlineStr">
        <is>
          <t>45°C / 4h</t>
        </is>
      </c>
      <c r="N139" s="16" t="inlineStr">
        <is>
          <t>✓</t>
        </is>
      </c>
      <c r="O139" s="16" t="inlineStr">
        <is>
          <t>✓</t>
        </is>
      </c>
      <c r="P139" s="16" t="inlineStr">
        <is>
          <t>✓</t>
        </is>
      </c>
      <c r="Q139" s="16" t="inlineStr">
        <is>
          <t>✓</t>
        </is>
      </c>
      <c r="R139" s="16" t="inlineStr">
        <is>
          <t>B</t>
        </is>
      </c>
      <c r="S139" s="23" t="inlineStr">
        <is>
          <t>Existing catalog entry — not re-verified this deep-dive pass</t>
        </is>
      </c>
      <c r="T139" s="23" t="inlineStr">
        <is>
          <t>Not independently re-verified this pass</t>
        </is>
      </c>
    </row>
    <row r="140" ht="20" customHeight="1">
      <c r="A140" s="26" t="inlineStr">
        <is>
          <t>PLA-Wood</t>
        </is>
      </c>
      <c r="B140" s="26" t="inlineStr">
        <is>
          <t>E-PH-16</t>
        </is>
      </c>
      <c r="C140" s="26" t="inlineStr">
        <is>
          <t>eSUN PLA-Wood</t>
        </is>
      </c>
      <c r="D140" s="26" t="inlineStr">
        <is>
          <t>Black</t>
        </is>
      </c>
      <c r="E140" s="28" t="inlineStr"/>
      <c r="F140" s="29" t="inlineStr">
        <is>
          <t>#0D0D0D</t>
        </is>
      </c>
      <c r="G140" s="27" t="inlineStr">
        <is>
          <t>1.75mm</t>
        </is>
      </c>
      <c r="H140" s="27" t="inlineStr">
        <is>
          <t>±0.05mm</t>
        </is>
      </c>
      <c r="I140" s="27" t="inlineStr">
        <is>
          <t>Plastic</t>
        </is>
      </c>
      <c r="J140" s="27" t="inlineStr">
        <is>
          <t>No</t>
        </is>
      </c>
      <c r="K140" s="27" t="inlineStr">
        <is>
          <t>195–215°C</t>
        </is>
      </c>
      <c r="L140" s="27" t="inlineStr">
        <is>
          <t>35–45°C</t>
        </is>
      </c>
      <c r="M140" s="27" t="inlineStr">
        <is>
          <t>45°C / 4h</t>
        </is>
      </c>
      <c r="N140" s="27" t="inlineStr">
        <is>
          <t>✓</t>
        </is>
      </c>
      <c r="O140" s="27" t="inlineStr">
        <is>
          <t>✓</t>
        </is>
      </c>
      <c r="P140" s="27" t="inlineStr">
        <is>
          <t>✓</t>
        </is>
      </c>
      <c r="Q140" s="27" t="inlineStr">
        <is>
          <t>✓</t>
        </is>
      </c>
      <c r="R140" s="27" t="inlineStr">
        <is>
          <t>C</t>
        </is>
      </c>
      <c r="S140" s="26" t="inlineStr">
        <is>
          <t>Line existence confirmed via official eSUN Product Manual; specs estimated from the closest sibling material, not individually TDS-confirmed</t>
        </is>
      </c>
      <c r="T140" s="26" t="inlineStr">
        <is>
          <t>PLACEHOLDER — line confirmed to exist in official eSUN Product Manual (esun3d.com/uploads/eSUN-3D-Product-Manual) but color list not verified this pass</t>
        </is>
      </c>
    </row>
    <row r="141" ht="20" customHeight="1">
      <c r="A141" s="23" t="inlineStr">
        <is>
          <t>TPU</t>
        </is>
      </c>
      <c r="B141" s="23" t="inlineStr">
        <is>
          <t>E-TPU95-01</t>
        </is>
      </c>
      <c r="C141" s="23" t="inlineStr">
        <is>
          <t>eSUN TPU-95A</t>
        </is>
      </c>
      <c r="D141" s="23" t="inlineStr">
        <is>
          <t>Black</t>
        </is>
      </c>
      <c r="E141" s="24" t="inlineStr"/>
      <c r="F141" s="25" t="inlineStr">
        <is>
          <t>#999999</t>
        </is>
      </c>
      <c r="G141" s="16" t="inlineStr">
        <is>
          <t>1.75mm</t>
        </is>
      </c>
      <c r="H141" s="16" t="inlineStr">
        <is>
          <t>±0.03mm</t>
        </is>
      </c>
      <c r="I141" s="16" t="inlineStr">
        <is>
          <t>Plastic</t>
        </is>
      </c>
      <c r="J141" s="16" t="inlineStr">
        <is>
          <t>No</t>
        </is>
      </c>
      <c r="K141" s="16" t="inlineStr">
        <is>
          <t>220–240°C</t>
        </is>
      </c>
      <c r="L141" s="16" t="inlineStr">
        <is>
          <t>35–45°C</t>
        </is>
      </c>
      <c r="M141" s="16" t="inlineStr">
        <is>
          <t>50°C / 8h</t>
        </is>
      </c>
      <c r="N141" s="16" t="inlineStr">
        <is>
          <t>✓</t>
        </is>
      </c>
      <c r="O141" s="16" t="inlineStr">
        <is>
          <t>✓</t>
        </is>
      </c>
      <c r="P141" s="16" t="inlineStr">
        <is>
          <t>✓</t>
        </is>
      </c>
      <c r="Q141" s="16" t="inlineStr">
        <is>
          <t>✓</t>
        </is>
      </c>
      <c r="R141" s="16" t="inlineStr">
        <is>
          <t>A</t>
        </is>
      </c>
      <c r="S141" s="23" t="inlineStr">
        <is>
          <t>Manufacturer-confirmed color list (esun3dstore.com official store, live product page)</t>
        </is>
      </c>
      <c r="T141" s="23" t="inlineStr">
        <is>
          <t>Deep-dive follow-up 2026-07-19</t>
        </is>
      </c>
    </row>
    <row r="142" ht="20" customHeight="1">
      <c r="A142" s="26" t="inlineStr">
        <is>
          <t>TPU</t>
        </is>
      </c>
      <c r="B142" s="26" t="inlineStr">
        <is>
          <t>E-TPU95-02</t>
        </is>
      </c>
      <c r="C142" s="26" t="inlineStr">
        <is>
          <t>eSUN TPU-95A</t>
        </is>
      </c>
      <c r="D142" s="26" t="inlineStr">
        <is>
          <t>Grey</t>
        </is>
      </c>
      <c r="E142" s="24" t="inlineStr"/>
      <c r="F142" s="25" t="inlineStr">
        <is>
          <t>#999999</t>
        </is>
      </c>
      <c r="G142" s="27" t="inlineStr">
        <is>
          <t>1.75mm</t>
        </is>
      </c>
      <c r="H142" s="27" t="inlineStr">
        <is>
          <t>±0.03mm</t>
        </is>
      </c>
      <c r="I142" s="27" t="inlineStr">
        <is>
          <t>Plastic</t>
        </is>
      </c>
      <c r="J142" s="27" t="inlineStr">
        <is>
          <t>No</t>
        </is>
      </c>
      <c r="K142" s="27" t="inlineStr">
        <is>
          <t>220–240°C</t>
        </is>
      </c>
      <c r="L142" s="27" t="inlineStr">
        <is>
          <t>35–45°C</t>
        </is>
      </c>
      <c r="M142" s="27" t="inlineStr">
        <is>
          <t>50°C / 8h</t>
        </is>
      </c>
      <c r="N142" s="27" t="inlineStr">
        <is>
          <t>✓</t>
        </is>
      </c>
      <c r="O142" s="27" t="inlineStr">
        <is>
          <t>✓</t>
        </is>
      </c>
      <c r="P142" s="27" t="inlineStr">
        <is>
          <t>✓</t>
        </is>
      </c>
      <c r="Q142" s="27" t="inlineStr">
        <is>
          <t>✓</t>
        </is>
      </c>
      <c r="R142" s="27" t="inlineStr">
        <is>
          <t>A</t>
        </is>
      </c>
      <c r="S142" s="26" t="inlineStr">
        <is>
          <t>Manufacturer-confirmed color list (esun3dstore.com official store, live product page)</t>
        </is>
      </c>
      <c r="T142" s="26" t="inlineStr">
        <is>
          <t>Deep-dive follow-up 2026-07-19</t>
        </is>
      </c>
    </row>
    <row r="143" ht="20" customHeight="1">
      <c r="A143" s="23" t="inlineStr">
        <is>
          <t>TPU</t>
        </is>
      </c>
      <c r="B143" s="23" t="inlineStr">
        <is>
          <t>E-TPU95-04</t>
        </is>
      </c>
      <c r="C143" s="23" t="inlineStr">
        <is>
          <t>eSUN TPU-95A</t>
        </is>
      </c>
      <c r="D143" s="23" t="inlineStr">
        <is>
          <t>Natural</t>
        </is>
      </c>
      <c r="E143" s="24" t="inlineStr"/>
      <c r="F143" s="25" t="inlineStr">
        <is>
          <t>#999999</t>
        </is>
      </c>
      <c r="G143" s="16" t="inlineStr">
        <is>
          <t>1.75mm</t>
        </is>
      </c>
      <c r="H143" s="16" t="inlineStr">
        <is>
          <t>±0.03mm</t>
        </is>
      </c>
      <c r="I143" s="16" t="inlineStr">
        <is>
          <t>Plastic</t>
        </is>
      </c>
      <c r="J143" s="16" t="inlineStr">
        <is>
          <t>No</t>
        </is>
      </c>
      <c r="K143" s="16" t="inlineStr">
        <is>
          <t>220–240°C</t>
        </is>
      </c>
      <c r="L143" s="16" t="inlineStr">
        <is>
          <t>35–45°C</t>
        </is>
      </c>
      <c r="M143" s="16" t="inlineStr">
        <is>
          <t>50°C / 8h</t>
        </is>
      </c>
      <c r="N143" s="16" t="inlineStr">
        <is>
          <t>✓</t>
        </is>
      </c>
      <c r="O143" s="16" t="inlineStr">
        <is>
          <t>✓</t>
        </is>
      </c>
      <c r="P143" s="16" t="inlineStr">
        <is>
          <t>✓</t>
        </is>
      </c>
      <c r="Q143" s="16" t="inlineStr">
        <is>
          <t>✓</t>
        </is>
      </c>
      <c r="R143" s="16" t="inlineStr">
        <is>
          <t>A</t>
        </is>
      </c>
      <c r="S143" s="23" t="inlineStr">
        <is>
          <t>Manufacturer-confirmed color list (esun3dstore.com official store, live product page)</t>
        </is>
      </c>
      <c r="T143" s="23" t="inlineStr">
        <is>
          <t>Deep-dive follow-up 2026-07-19</t>
        </is>
      </c>
    </row>
    <row r="144" ht="20" customHeight="1">
      <c r="A144" s="26" t="inlineStr">
        <is>
          <t>TPU</t>
        </is>
      </c>
      <c r="B144" s="26" t="inlineStr">
        <is>
          <t>E-TPU95-05</t>
        </is>
      </c>
      <c r="C144" s="26" t="inlineStr">
        <is>
          <t>eSUN TPU-95A</t>
        </is>
      </c>
      <c r="D144" s="26" t="inlineStr">
        <is>
          <t>Rainbow</t>
        </is>
      </c>
      <c r="E144" s="24" t="inlineStr"/>
      <c r="F144" s="25" t="inlineStr">
        <is>
          <t>#999999</t>
        </is>
      </c>
      <c r="G144" s="27" t="inlineStr">
        <is>
          <t>1.75mm</t>
        </is>
      </c>
      <c r="H144" s="27" t="inlineStr">
        <is>
          <t>±0.03mm</t>
        </is>
      </c>
      <c r="I144" s="27" t="inlineStr">
        <is>
          <t>Plastic</t>
        </is>
      </c>
      <c r="J144" s="27" t="inlineStr">
        <is>
          <t>No</t>
        </is>
      </c>
      <c r="K144" s="27" t="inlineStr">
        <is>
          <t>220–240°C</t>
        </is>
      </c>
      <c r="L144" s="27" t="inlineStr">
        <is>
          <t>35–45°C</t>
        </is>
      </c>
      <c r="M144" s="27" t="inlineStr">
        <is>
          <t>50°C / 8h</t>
        </is>
      </c>
      <c r="N144" s="27" t="inlineStr">
        <is>
          <t>✓</t>
        </is>
      </c>
      <c r="O144" s="27" t="inlineStr">
        <is>
          <t>✓</t>
        </is>
      </c>
      <c r="P144" s="27" t="inlineStr">
        <is>
          <t>✓</t>
        </is>
      </c>
      <c r="Q144" s="27" t="inlineStr">
        <is>
          <t>✓</t>
        </is>
      </c>
      <c r="R144" s="27" t="inlineStr">
        <is>
          <t>A</t>
        </is>
      </c>
      <c r="S144" s="26" t="inlineStr">
        <is>
          <t>Manufacturer-confirmed color list (esun3dstore.com official store, live product page)</t>
        </is>
      </c>
      <c r="T144" s="26" t="inlineStr">
        <is>
          <t>Deep-dive follow-up 2026-07-19</t>
        </is>
      </c>
    </row>
    <row r="145" ht="20" customHeight="1">
      <c r="A145" s="23" t="inlineStr">
        <is>
          <t>TPU</t>
        </is>
      </c>
      <c r="B145" s="23" t="inlineStr">
        <is>
          <t>E-TPU95-09</t>
        </is>
      </c>
      <c r="C145" s="23" t="inlineStr">
        <is>
          <t>eSUN TPU-95A</t>
        </is>
      </c>
      <c r="D145" s="23" t="inlineStr">
        <is>
          <t>Transparent Blue</t>
        </is>
      </c>
      <c r="E145" s="24" t="inlineStr"/>
      <c r="F145" s="25" t="inlineStr">
        <is>
          <t>#999999</t>
        </is>
      </c>
      <c r="G145" s="16" t="inlineStr">
        <is>
          <t>1.75mm</t>
        </is>
      </c>
      <c r="H145" s="16" t="inlineStr">
        <is>
          <t>±0.03mm</t>
        </is>
      </c>
      <c r="I145" s="16" t="inlineStr">
        <is>
          <t>Plastic</t>
        </is>
      </c>
      <c r="J145" s="16" t="inlineStr">
        <is>
          <t>No</t>
        </is>
      </c>
      <c r="K145" s="16" t="inlineStr">
        <is>
          <t>220–240°C</t>
        </is>
      </c>
      <c r="L145" s="16" t="inlineStr">
        <is>
          <t>35–45°C</t>
        </is>
      </c>
      <c r="M145" s="16" t="inlineStr">
        <is>
          <t>50°C / 8h</t>
        </is>
      </c>
      <c r="N145" s="16" t="inlineStr">
        <is>
          <t>✓</t>
        </is>
      </c>
      <c r="O145" s="16" t="inlineStr">
        <is>
          <t>✓</t>
        </is>
      </c>
      <c r="P145" s="16" t="inlineStr">
        <is>
          <t>✓</t>
        </is>
      </c>
      <c r="Q145" s="16" t="inlineStr">
        <is>
          <t>✓</t>
        </is>
      </c>
      <c r="R145" s="16" t="inlineStr">
        <is>
          <t>A</t>
        </is>
      </c>
      <c r="S145" s="23" t="inlineStr">
        <is>
          <t>Manufacturer-confirmed color list (esun3dstore.com official store, live product page)</t>
        </is>
      </c>
      <c r="T145" s="23" t="inlineStr">
        <is>
          <t>Deep-dive follow-up 2026-07-19</t>
        </is>
      </c>
    </row>
    <row r="146" ht="20" customHeight="1">
      <c r="A146" s="26" t="inlineStr">
        <is>
          <t>TPU</t>
        </is>
      </c>
      <c r="B146" s="26" t="inlineStr">
        <is>
          <t>E-TPU95-10</t>
        </is>
      </c>
      <c r="C146" s="26" t="inlineStr">
        <is>
          <t>eSUN TPU-95A</t>
        </is>
      </c>
      <c r="D146" s="26" t="inlineStr">
        <is>
          <t>Transparent Green</t>
        </is>
      </c>
      <c r="E146" s="24" t="inlineStr"/>
      <c r="F146" s="25" t="inlineStr">
        <is>
          <t>#999999</t>
        </is>
      </c>
      <c r="G146" s="27" t="inlineStr">
        <is>
          <t>1.75mm</t>
        </is>
      </c>
      <c r="H146" s="27" t="inlineStr">
        <is>
          <t>±0.03mm</t>
        </is>
      </c>
      <c r="I146" s="27" t="inlineStr">
        <is>
          <t>Plastic</t>
        </is>
      </c>
      <c r="J146" s="27" t="inlineStr">
        <is>
          <t>No</t>
        </is>
      </c>
      <c r="K146" s="27" t="inlineStr">
        <is>
          <t>220–240°C</t>
        </is>
      </c>
      <c r="L146" s="27" t="inlineStr">
        <is>
          <t>35–45°C</t>
        </is>
      </c>
      <c r="M146" s="27" t="inlineStr">
        <is>
          <t>50°C / 8h</t>
        </is>
      </c>
      <c r="N146" s="27" t="inlineStr">
        <is>
          <t>✓</t>
        </is>
      </c>
      <c r="O146" s="27" t="inlineStr">
        <is>
          <t>✓</t>
        </is>
      </c>
      <c r="P146" s="27" t="inlineStr">
        <is>
          <t>✓</t>
        </is>
      </c>
      <c r="Q146" s="27" t="inlineStr">
        <is>
          <t>✓</t>
        </is>
      </c>
      <c r="R146" s="27" t="inlineStr">
        <is>
          <t>A</t>
        </is>
      </c>
      <c r="S146" s="26" t="inlineStr">
        <is>
          <t>Manufacturer-confirmed color list (esun3dstore.com official store, live product page)</t>
        </is>
      </c>
      <c r="T146" s="26" t="inlineStr">
        <is>
          <t>Deep-dive follow-up 2026-07-19</t>
        </is>
      </c>
    </row>
    <row r="147" ht="20" customHeight="1">
      <c r="A147" s="23" t="inlineStr">
        <is>
          <t>TPU</t>
        </is>
      </c>
      <c r="B147" s="23" t="inlineStr">
        <is>
          <t>E-TPU95-07</t>
        </is>
      </c>
      <c r="C147" s="23" t="inlineStr">
        <is>
          <t>eSUN TPU-95A</t>
        </is>
      </c>
      <c r="D147" s="23" t="inlineStr">
        <is>
          <t>Transparent Orange</t>
        </is>
      </c>
      <c r="E147" s="24" t="inlineStr"/>
      <c r="F147" s="25" t="inlineStr">
        <is>
          <t>#999999</t>
        </is>
      </c>
      <c r="G147" s="16" t="inlineStr">
        <is>
          <t>1.75mm</t>
        </is>
      </c>
      <c r="H147" s="16" t="inlineStr">
        <is>
          <t>±0.03mm</t>
        </is>
      </c>
      <c r="I147" s="16" t="inlineStr">
        <is>
          <t>Plastic</t>
        </is>
      </c>
      <c r="J147" s="16" t="inlineStr">
        <is>
          <t>No</t>
        </is>
      </c>
      <c r="K147" s="16" t="inlineStr">
        <is>
          <t>220–240°C</t>
        </is>
      </c>
      <c r="L147" s="16" t="inlineStr">
        <is>
          <t>35–45°C</t>
        </is>
      </c>
      <c r="M147" s="16" t="inlineStr">
        <is>
          <t>50°C / 8h</t>
        </is>
      </c>
      <c r="N147" s="16" t="inlineStr">
        <is>
          <t>✓</t>
        </is>
      </c>
      <c r="O147" s="16" t="inlineStr">
        <is>
          <t>✓</t>
        </is>
      </c>
      <c r="P147" s="16" t="inlineStr">
        <is>
          <t>✓</t>
        </is>
      </c>
      <c r="Q147" s="16" t="inlineStr">
        <is>
          <t>✓</t>
        </is>
      </c>
      <c r="R147" s="16" t="inlineStr">
        <is>
          <t>A</t>
        </is>
      </c>
      <c r="S147" s="23" t="inlineStr">
        <is>
          <t>Manufacturer-confirmed color list (esun3dstore.com official store, live product page)</t>
        </is>
      </c>
      <c r="T147" s="23" t="inlineStr">
        <is>
          <t>Deep-dive follow-up 2026-07-19</t>
        </is>
      </c>
    </row>
    <row r="148" ht="20" customHeight="1">
      <c r="A148" s="26" t="inlineStr">
        <is>
          <t>TPU</t>
        </is>
      </c>
      <c r="B148" s="26" t="inlineStr">
        <is>
          <t>E-TPU95-12</t>
        </is>
      </c>
      <c r="C148" s="26" t="inlineStr">
        <is>
          <t>eSUN TPU-95A</t>
        </is>
      </c>
      <c r="D148" s="26" t="inlineStr">
        <is>
          <t>Transparent Pink</t>
        </is>
      </c>
      <c r="E148" s="24" t="inlineStr"/>
      <c r="F148" s="25" t="inlineStr">
        <is>
          <t>#999999</t>
        </is>
      </c>
      <c r="G148" s="27" t="inlineStr">
        <is>
          <t>1.75mm</t>
        </is>
      </c>
      <c r="H148" s="27" t="inlineStr">
        <is>
          <t>±0.03mm</t>
        </is>
      </c>
      <c r="I148" s="27" t="inlineStr">
        <is>
          <t>Plastic</t>
        </is>
      </c>
      <c r="J148" s="27" t="inlineStr">
        <is>
          <t>No</t>
        </is>
      </c>
      <c r="K148" s="27" t="inlineStr">
        <is>
          <t>220–240°C</t>
        </is>
      </c>
      <c r="L148" s="27" t="inlineStr">
        <is>
          <t>35–45°C</t>
        </is>
      </c>
      <c r="M148" s="27" t="inlineStr">
        <is>
          <t>50°C / 8h</t>
        </is>
      </c>
      <c r="N148" s="27" t="inlineStr">
        <is>
          <t>✓</t>
        </is>
      </c>
      <c r="O148" s="27" t="inlineStr">
        <is>
          <t>✓</t>
        </is>
      </c>
      <c r="P148" s="27" t="inlineStr">
        <is>
          <t>✓</t>
        </is>
      </c>
      <c r="Q148" s="27" t="inlineStr">
        <is>
          <t>✓</t>
        </is>
      </c>
      <c r="R148" s="27" t="inlineStr">
        <is>
          <t>A</t>
        </is>
      </c>
      <c r="S148" s="26" t="inlineStr">
        <is>
          <t>Manufacturer-confirmed color list (esun3dstore.com official store, live product page)</t>
        </is>
      </c>
      <c r="T148" s="26" t="inlineStr">
        <is>
          <t>Deep-dive follow-up 2026-07-19</t>
        </is>
      </c>
    </row>
    <row r="149" ht="20" customHeight="1">
      <c r="A149" s="23" t="inlineStr">
        <is>
          <t>TPU</t>
        </is>
      </c>
      <c r="B149" s="23" t="inlineStr">
        <is>
          <t>E-TPU95-11</t>
        </is>
      </c>
      <c r="C149" s="23" t="inlineStr">
        <is>
          <t>eSUN TPU-95A</t>
        </is>
      </c>
      <c r="D149" s="23" t="inlineStr">
        <is>
          <t>Transparent Purple</t>
        </is>
      </c>
      <c r="E149" s="24" t="inlineStr"/>
      <c r="F149" s="25" t="inlineStr">
        <is>
          <t>#999999</t>
        </is>
      </c>
      <c r="G149" s="16" t="inlineStr">
        <is>
          <t>1.75mm</t>
        </is>
      </c>
      <c r="H149" s="16" t="inlineStr">
        <is>
          <t>±0.03mm</t>
        </is>
      </c>
      <c r="I149" s="16" t="inlineStr">
        <is>
          <t>Plastic</t>
        </is>
      </c>
      <c r="J149" s="16" t="inlineStr">
        <is>
          <t>No</t>
        </is>
      </c>
      <c r="K149" s="16" t="inlineStr">
        <is>
          <t>220–240°C</t>
        </is>
      </c>
      <c r="L149" s="16" t="inlineStr">
        <is>
          <t>35–45°C</t>
        </is>
      </c>
      <c r="M149" s="16" t="inlineStr">
        <is>
          <t>50°C / 8h</t>
        </is>
      </c>
      <c r="N149" s="16" t="inlineStr">
        <is>
          <t>✓</t>
        </is>
      </c>
      <c r="O149" s="16" t="inlineStr">
        <is>
          <t>✓</t>
        </is>
      </c>
      <c r="P149" s="16" t="inlineStr">
        <is>
          <t>✓</t>
        </is>
      </c>
      <c r="Q149" s="16" t="inlineStr">
        <is>
          <t>✓</t>
        </is>
      </c>
      <c r="R149" s="16" t="inlineStr">
        <is>
          <t>A</t>
        </is>
      </c>
      <c r="S149" s="23" t="inlineStr">
        <is>
          <t>Manufacturer-confirmed color list (esun3dstore.com official store, live product page)</t>
        </is>
      </c>
      <c r="T149" s="23" t="inlineStr">
        <is>
          <t>Deep-dive follow-up 2026-07-19</t>
        </is>
      </c>
    </row>
    <row r="150" ht="20" customHeight="1">
      <c r="A150" s="26" t="inlineStr">
        <is>
          <t>TPU</t>
        </is>
      </c>
      <c r="B150" s="26" t="inlineStr">
        <is>
          <t>E-TPU95-08</t>
        </is>
      </c>
      <c r="C150" s="26" t="inlineStr">
        <is>
          <t>eSUN TPU-95A</t>
        </is>
      </c>
      <c r="D150" s="26" t="inlineStr">
        <is>
          <t>Transparent Red</t>
        </is>
      </c>
      <c r="E150" s="24" t="inlineStr"/>
      <c r="F150" s="25" t="inlineStr">
        <is>
          <t>#999999</t>
        </is>
      </c>
      <c r="G150" s="27" t="inlineStr">
        <is>
          <t>1.75mm</t>
        </is>
      </c>
      <c r="H150" s="27" t="inlineStr">
        <is>
          <t>±0.03mm</t>
        </is>
      </c>
      <c r="I150" s="27" t="inlineStr">
        <is>
          <t>Plastic</t>
        </is>
      </c>
      <c r="J150" s="27" t="inlineStr">
        <is>
          <t>No</t>
        </is>
      </c>
      <c r="K150" s="27" t="inlineStr">
        <is>
          <t>220–240°C</t>
        </is>
      </c>
      <c r="L150" s="27" t="inlineStr">
        <is>
          <t>35–45°C</t>
        </is>
      </c>
      <c r="M150" s="27" t="inlineStr">
        <is>
          <t>50°C / 8h</t>
        </is>
      </c>
      <c r="N150" s="27" t="inlineStr">
        <is>
          <t>✓</t>
        </is>
      </c>
      <c r="O150" s="27" t="inlineStr">
        <is>
          <t>✓</t>
        </is>
      </c>
      <c r="P150" s="27" t="inlineStr">
        <is>
          <t>✓</t>
        </is>
      </c>
      <c r="Q150" s="27" t="inlineStr">
        <is>
          <t>✓</t>
        </is>
      </c>
      <c r="R150" s="27" t="inlineStr">
        <is>
          <t>A</t>
        </is>
      </c>
      <c r="S150" s="26" t="inlineStr">
        <is>
          <t>Manufacturer-confirmed color list (esun3dstore.com official store, live product page)</t>
        </is>
      </c>
      <c r="T150" s="26" t="inlineStr">
        <is>
          <t>Deep-dive follow-up 2026-07-19</t>
        </is>
      </c>
    </row>
    <row r="151" ht="20" customHeight="1">
      <c r="A151" s="23" t="inlineStr">
        <is>
          <t>TPU</t>
        </is>
      </c>
      <c r="B151" s="23" t="inlineStr">
        <is>
          <t>E-TPU95-06</t>
        </is>
      </c>
      <c r="C151" s="23" t="inlineStr">
        <is>
          <t>eSUN TPU-95A</t>
        </is>
      </c>
      <c r="D151" s="23" t="inlineStr">
        <is>
          <t>Transparent Yellow</t>
        </is>
      </c>
      <c r="E151" s="24" t="inlineStr"/>
      <c r="F151" s="25" t="inlineStr">
        <is>
          <t>#999999</t>
        </is>
      </c>
      <c r="G151" s="16" t="inlineStr">
        <is>
          <t>1.75mm</t>
        </is>
      </c>
      <c r="H151" s="16" t="inlineStr">
        <is>
          <t>±0.03mm</t>
        </is>
      </c>
      <c r="I151" s="16" t="inlineStr">
        <is>
          <t>Plastic</t>
        </is>
      </c>
      <c r="J151" s="16" t="inlineStr">
        <is>
          <t>No</t>
        </is>
      </c>
      <c r="K151" s="16" t="inlineStr">
        <is>
          <t>220–240°C</t>
        </is>
      </c>
      <c r="L151" s="16" t="inlineStr">
        <is>
          <t>35–45°C</t>
        </is>
      </c>
      <c r="M151" s="16" t="inlineStr">
        <is>
          <t>50°C / 8h</t>
        </is>
      </c>
      <c r="N151" s="16" t="inlineStr">
        <is>
          <t>✓</t>
        </is>
      </c>
      <c r="O151" s="16" t="inlineStr">
        <is>
          <t>✓</t>
        </is>
      </c>
      <c r="P151" s="16" t="inlineStr">
        <is>
          <t>✓</t>
        </is>
      </c>
      <c r="Q151" s="16" t="inlineStr">
        <is>
          <t>✓</t>
        </is>
      </c>
      <c r="R151" s="16" t="inlineStr">
        <is>
          <t>A</t>
        </is>
      </c>
      <c r="S151" s="23" t="inlineStr">
        <is>
          <t>Manufacturer-confirmed color list (esun3dstore.com official store, live product page)</t>
        </is>
      </c>
      <c r="T151" s="23" t="inlineStr">
        <is>
          <t>Deep-dive follow-up 2026-07-19</t>
        </is>
      </c>
    </row>
    <row r="152" ht="20" customHeight="1">
      <c r="A152" s="26" t="inlineStr">
        <is>
          <t>TPU</t>
        </is>
      </c>
      <c r="B152" s="26" t="inlineStr">
        <is>
          <t>E-TPU95-03</t>
        </is>
      </c>
      <c r="C152" s="26" t="inlineStr">
        <is>
          <t>eSUN TPU-95A</t>
        </is>
      </c>
      <c r="D152" s="26" t="inlineStr">
        <is>
          <t>White</t>
        </is>
      </c>
      <c r="E152" s="24" t="inlineStr"/>
      <c r="F152" s="25" t="inlineStr">
        <is>
          <t>#999999</t>
        </is>
      </c>
      <c r="G152" s="27" t="inlineStr">
        <is>
          <t>1.75mm</t>
        </is>
      </c>
      <c r="H152" s="27" t="inlineStr">
        <is>
          <t>±0.03mm</t>
        </is>
      </c>
      <c r="I152" s="27" t="inlineStr">
        <is>
          <t>Plastic</t>
        </is>
      </c>
      <c r="J152" s="27" t="inlineStr">
        <is>
          <t>No</t>
        </is>
      </c>
      <c r="K152" s="27" t="inlineStr">
        <is>
          <t>220–240°C</t>
        </is>
      </c>
      <c r="L152" s="27" t="inlineStr">
        <is>
          <t>35–45°C</t>
        </is>
      </c>
      <c r="M152" s="27" t="inlineStr">
        <is>
          <t>50°C / 8h</t>
        </is>
      </c>
      <c r="N152" s="27" t="inlineStr">
        <is>
          <t>✓</t>
        </is>
      </c>
      <c r="O152" s="27" t="inlineStr">
        <is>
          <t>✓</t>
        </is>
      </c>
      <c r="P152" s="27" t="inlineStr">
        <is>
          <t>✓</t>
        </is>
      </c>
      <c r="Q152" s="27" t="inlineStr">
        <is>
          <t>✓</t>
        </is>
      </c>
      <c r="R152" s="27" t="inlineStr">
        <is>
          <t>A</t>
        </is>
      </c>
      <c r="S152" s="26" t="inlineStr">
        <is>
          <t>Manufacturer-confirmed color list (esun3dstore.com official store, live product page)</t>
        </is>
      </c>
      <c r="T152" s="26" t="inlineStr">
        <is>
          <t>Deep-dive follow-up 2026-07-19</t>
        </is>
      </c>
    </row>
    <row r="153" ht="20" customHeight="1">
      <c r="A153" s="23" t="inlineStr">
        <is>
          <t>TPU-LW</t>
        </is>
      </c>
      <c r="B153" s="23" t="inlineStr">
        <is>
          <t>E-PH-13</t>
        </is>
      </c>
      <c r="C153" s="23" t="inlineStr">
        <is>
          <t>eSUN TPU-LW (Lightweight)</t>
        </is>
      </c>
      <c r="D153" s="23" t="inlineStr">
        <is>
          <t>Black</t>
        </is>
      </c>
      <c r="E153" s="28" t="inlineStr"/>
      <c r="F153" s="29" t="inlineStr">
        <is>
          <t>#0D0D0D</t>
        </is>
      </c>
      <c r="G153" s="16" t="inlineStr">
        <is>
          <t>1.75mm</t>
        </is>
      </c>
      <c r="H153" s="16" t="inlineStr">
        <is>
          <t>±0.05mm</t>
        </is>
      </c>
      <c r="I153" s="16" t="inlineStr">
        <is>
          <t>Plastic</t>
        </is>
      </c>
      <c r="J153" s="16" t="inlineStr">
        <is>
          <t>No</t>
        </is>
      </c>
      <c r="K153" s="16" t="inlineStr">
        <is>
          <t>210–240°C</t>
        </is>
      </c>
      <c r="L153" s="16" t="inlineStr">
        <is>
          <t>35–45°C</t>
        </is>
      </c>
      <c r="M153" s="16" t="inlineStr">
        <is>
          <t>50°C / 8h</t>
        </is>
      </c>
      <c r="N153" s="16" t="inlineStr">
        <is>
          <t>✓</t>
        </is>
      </c>
      <c r="O153" s="16" t="inlineStr">
        <is>
          <t>✓</t>
        </is>
      </c>
      <c r="P153" s="16" t="inlineStr">
        <is>
          <t>✓</t>
        </is>
      </c>
      <c r="Q153" s="16" t="inlineStr">
        <is>
          <t>✓</t>
        </is>
      </c>
      <c r="R153" s="16" t="inlineStr">
        <is>
          <t>C</t>
        </is>
      </c>
      <c r="S153" s="23" t="inlineStr">
        <is>
          <t>Line existence confirmed via official eSUN Product Manual; specs estimated from the closest sibling material, not individually TDS-confirmed</t>
        </is>
      </c>
      <c r="T153" s="23" t="inlineStr">
        <is>
          <t>PLACEHOLDER — line confirmed to exist in official eSUN Product Manual (esun3d.com/uploads/eSUN-3D-Product-Manual) but color list not verified this pass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254" showDropDown="0" showInputMessage="0" showErrorMessage="0" allowBlank="1" type="list">
      <formula1>"S,A,B,C"</formula1>
    </dataValidation>
    <dataValidation sqref="I3:I254" showDropDown="0" showInputMessage="0" showErrorMessage="0" allowBlank="1" type="list">
      <formula1>"Cardboard,Plastic"</formula1>
    </dataValidation>
    <dataValidation sqref="J3:J254" showDropDown="0" showInputMessage="0" showErrorMessage="0" allowBlank="1" type="list">
      <formula1>"Yes,No"</formula1>
    </dataValidation>
    <dataValidation sqref="G3:G254" showDropDown="0" showInputMessage="0" showErrorMessage="0" allowBlank="1" type="list">
      <formula1>"1.75mm,2.85mm"</formula1>
    </dataValidation>
    <dataValidation sqref="N3:N254" showDropDown="0" showInputMessage="0" showErrorMessage="0" allowBlank="1" type="list">
      <formula1>"✓,✗,⚠"</formula1>
    </dataValidation>
    <dataValidation sqref="O3:O254" showDropDown="0" showInputMessage="0" showErrorMessage="0" allowBlank="1" type="list">
      <formula1>"✓,✗,⚠"</formula1>
    </dataValidation>
    <dataValidation sqref="P3:P254" showDropDown="0" showInputMessage="0" showErrorMessage="0" allowBlank="1" type="list">
      <formula1>"✓,✗,⚠"</formula1>
    </dataValidation>
    <dataValidation sqref="Q3:Q254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eSUN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PLA+</t>
        </is>
      </c>
      <c r="B3" s="16" t="inlineStr">
        <is>
          <t>200–240°C</t>
        </is>
      </c>
      <c r="C3" s="16" t="inlineStr">
        <is>
          <t>30–60°C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4h</t>
        </is>
      </c>
      <c r="H3" s="23" t="inlineStr">
        <is>
          <t>ePLA+ — high consistency; AMS-compatible with generic PLA profile</t>
        </is>
      </c>
    </row>
    <row r="4" ht="20" customHeight="1">
      <c r="A4" s="26" t="inlineStr">
        <is>
          <t>PETG</t>
        </is>
      </c>
      <c r="B4" s="27" t="inlineStr">
        <is>
          <t>230–260°C</t>
        </is>
      </c>
      <c r="C4" s="27" t="inlineStr">
        <is>
          <t>75–90°C</t>
        </is>
      </c>
      <c r="D4" s="27" t="inlineStr">
        <is>
          <t>No</t>
        </is>
      </c>
      <c r="E4" s="27" t="inlineStr">
        <is>
          <t>Yes</t>
        </is>
      </c>
      <c r="F4" s="27" t="inlineStr">
        <is>
          <t>Yes</t>
        </is>
      </c>
      <c r="G4" s="27" t="inlineStr">
        <is>
          <t>65°C / 6h</t>
        </is>
      </c>
      <c r="H4" s="26" t="inlineStr">
        <is>
          <t>ePETG</t>
        </is>
      </c>
    </row>
    <row r="5" ht="20" customHeight="1">
      <c r="A5" s="23" t="inlineStr">
        <is>
          <t>ABS</t>
        </is>
      </c>
      <c r="B5" s="16" t="inlineStr">
        <is>
          <t>230–260°C</t>
        </is>
      </c>
      <c r="C5" s="16" t="inlineStr">
        <is>
          <t>90–110°C</t>
        </is>
      </c>
      <c r="D5" s="16" t="inlineStr">
        <is>
          <t>Yes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8h</t>
        </is>
      </c>
      <c r="H5" s="23" t="inlineStr">
        <is>
          <t>eABS+ — enclosure required; AMS Lite ✗</t>
        </is>
      </c>
    </row>
    <row r="6" ht="20" customHeight="1">
      <c r="A6" s="26" t="inlineStr">
        <is>
          <t>ASA</t>
        </is>
      </c>
      <c r="B6" s="27" t="inlineStr">
        <is>
          <t>240–270°C</t>
        </is>
      </c>
      <c r="C6" s="27" t="inlineStr">
        <is>
          <t>90–110°C</t>
        </is>
      </c>
      <c r="D6" s="27" t="inlineStr">
        <is>
          <t>Yes</t>
        </is>
      </c>
      <c r="E6" s="27" t="inlineStr">
        <is>
          <t>Yes</t>
        </is>
      </c>
      <c r="F6" s="27" t="inlineStr">
        <is>
          <t>Yes</t>
        </is>
      </c>
      <c r="G6" s="27" t="inlineStr">
        <is>
          <t>65°C / 8h</t>
        </is>
      </c>
      <c r="H6" s="26" t="inlineStr">
        <is>
          <t>eASA — UV-stable outdoor use; enclosure required; AMS Lite ✗</t>
        </is>
      </c>
    </row>
    <row r="7" ht="20" customHeight="1">
      <c r="A7" s="23" t="inlineStr">
        <is>
          <t>TPU</t>
        </is>
      </c>
      <c r="B7" s="16" t="inlineStr">
        <is>
          <t>220–240°C</t>
        </is>
      </c>
      <c r="C7" s="16" t="inlineStr">
        <is>
          <t>20–40°C</t>
        </is>
      </c>
      <c r="D7" s="16" t="inlineStr">
        <is>
          <t>No</t>
        </is>
      </c>
      <c r="E7" s="16" t="inlineStr">
        <is>
          <t>No</t>
        </is>
      </c>
      <c r="F7" s="16" t="inlineStr">
        <is>
          <t>Yes</t>
        </is>
      </c>
      <c r="G7" s="16" t="inlineStr">
        <is>
          <t>45°C / 6h</t>
        </is>
      </c>
      <c r="H7" s="23" t="inlineStr">
        <is>
          <t>eTPU-95A — external spool only on all Bambu AMS variants</t>
        </is>
      </c>
    </row>
    <row r="8" ht="20" customHeight="1">
      <c r="A8" s="26" t="inlineStr">
        <is>
          <t>PLA Matte</t>
        </is>
      </c>
      <c r="B8" s="27" t="inlineStr">
        <is>
          <t>190–230°C</t>
        </is>
      </c>
      <c r="C8" s="27" t="inlineStr">
        <is>
          <t>25–60°C</t>
        </is>
      </c>
      <c r="D8" s="27" t="inlineStr">
        <is>
          <t>No</t>
        </is>
      </c>
      <c r="E8" s="27" t="inlineStr">
        <is>
          <t>Yes</t>
        </is>
      </c>
      <c r="F8" s="27" t="inlineStr">
        <is>
          <t>Recommended</t>
        </is>
      </c>
      <c r="G8" s="27" t="inlineStr">
        <is>
          <t>45°C / 4h</t>
        </is>
      </c>
      <c r="H8" s="26" t="inlineStr">
        <is>
          <t>ePLA-Matte — smooth low-gloss finish</t>
        </is>
      </c>
    </row>
    <row r="9" ht="20" customHeight="1">
      <c r="A9" s="23" t="inlineStr">
        <is>
          <t>PLA Silk</t>
        </is>
      </c>
      <c r="B9" s="16" t="inlineStr">
        <is>
          <t>190–230°C</t>
        </is>
      </c>
      <c r="C9" s="16" t="inlineStr">
        <is>
          <t>25–60°C</t>
        </is>
      </c>
      <c r="D9" s="16" t="inlineStr">
        <is>
          <t>No</t>
        </is>
      </c>
      <c r="E9" s="16" t="inlineStr">
        <is>
          <t>Yes</t>
        </is>
      </c>
      <c r="F9" s="16" t="inlineStr">
        <is>
          <t>Recommended</t>
        </is>
      </c>
      <c r="G9" s="16" t="inlineStr">
        <is>
          <t>45°C / 4h</t>
        </is>
      </c>
      <c r="H9" s="23" t="inlineStr">
        <is>
          <t>ePLA-Silk — metallic sheen; more brittle than matte PLA</t>
        </is>
      </c>
    </row>
    <row r="10" ht="20" customHeight="1">
      <c r="A10" s="26" t="inlineStr">
        <is>
          <t>PLA-CF</t>
        </is>
      </c>
      <c r="B10" s="27" t="inlineStr">
        <is>
          <t>200–230°C</t>
        </is>
      </c>
      <c r="C10" s="27" t="inlineStr">
        <is>
          <t>50–70°C</t>
        </is>
      </c>
      <c r="D10" s="27" t="inlineStr">
        <is>
          <t>No</t>
        </is>
      </c>
      <c r="E10" s="27" t="inlineStr">
        <is>
          <t>Yes</t>
        </is>
      </c>
      <c r="F10" s="27" t="inlineStr">
        <is>
          <t>Yes</t>
        </is>
      </c>
      <c r="G10" s="27" t="inlineStr">
        <is>
          <t>65°C / 8h</t>
        </is>
      </c>
      <c r="H10" s="26" t="inlineStr">
        <is>
          <t>ePLA-CF — abrasive; hardened nozzle (≥0.4mm) required</t>
        </is>
      </c>
    </row>
    <row r="11" ht="20" customHeight="1">
      <c r="A11" s="23" t="inlineStr">
        <is>
          <t>PETG-CF</t>
        </is>
      </c>
      <c r="B11" s="16" t="inlineStr">
        <is>
          <t>240–260°C</t>
        </is>
      </c>
      <c r="C11" s="16" t="inlineStr">
        <is>
          <t>75–90°C</t>
        </is>
      </c>
      <c r="D11" s="16" t="inlineStr">
        <is>
          <t>No</t>
        </is>
      </c>
      <c r="E11" s="16" t="inlineStr">
        <is>
          <t>Yes</t>
        </is>
      </c>
      <c r="F11" s="16" t="inlineStr">
        <is>
          <t>Yes</t>
        </is>
      </c>
      <c r="G11" s="16" t="inlineStr">
        <is>
          <t>65°C / 8h</t>
        </is>
      </c>
      <c r="H11" s="23" t="inlineStr">
        <is>
          <t>ePETG-CF — abrasive; hardened nozzle required</t>
        </is>
      </c>
    </row>
    <row r="12" ht="20" customHeight="1">
      <c r="A12" s="26" t="inlineStr">
        <is>
          <t>PA</t>
        </is>
      </c>
      <c r="B12" s="27" t="inlineStr">
        <is>
          <t>230–260°C</t>
        </is>
      </c>
      <c r="C12" s="27" t="inlineStr">
        <is>
          <t>45–70°C</t>
        </is>
      </c>
      <c r="D12" s="27" t="inlineStr">
        <is>
          <t>No</t>
        </is>
      </c>
      <c r="E12" s="27" t="inlineStr">
        <is>
          <t>Yes</t>
        </is>
      </c>
      <c r="F12" s="27" t="inlineStr">
        <is>
          <t>Yes</t>
        </is>
      </c>
      <c r="G12" s="27" t="inlineStr">
        <is>
          <t>80°C / 12h</t>
        </is>
      </c>
      <c r="H12" s="26" t="inlineStr">
        <is>
          <t>ePA-12 — extremely moisture-sensitive; dry immediately before use; external spool preferred</t>
        </is>
      </c>
    </row>
  </sheetData>
  <autoFilter ref="A2:H63"/>
  <mergeCells count="1">
    <mergeCell ref="A1:H1"/>
  </mergeCells>
  <conditionalFormatting sqref="D3:D23">
    <cfRule type="expression" priority="1" dxfId="8">
      <formula>$D3="Yes"</formula>
    </cfRule>
  </conditionalFormatting>
  <conditionalFormatting sqref="E3:E23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38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39" t="inlineStr">
        <is>
          <t>Brand</t>
        </is>
      </c>
      <c r="B3" s="40" t="inlineStr">
        <is>
          <t>eSUN</t>
        </is>
      </c>
      <c r="C3" s="41" t="inlineStr"/>
    </row>
    <row r="4" ht="18" customHeight="1">
      <c r="A4" s="39" t="inlineStr">
        <is>
          <t>File Version</t>
        </is>
      </c>
      <c r="B4" s="42" t="inlineStr">
        <is>
          <t>v3</t>
        </is>
      </c>
      <c r="C4" s="41" t="inlineStr"/>
    </row>
    <row r="5" ht="18" customHeight="1">
      <c r="A5" s="39" t="inlineStr">
        <is>
          <t>Generated</t>
        </is>
      </c>
      <c r="B5" s="42" t="inlineStr">
        <is>
          <t>2026-07-25</t>
        </is>
      </c>
      <c r="C5" s="41" t="inlineStr">
        <is>
          <t>Date this file was last generated by generate_all.py</t>
        </is>
      </c>
    </row>
    <row r="6" ht="18" customHeight="1">
      <c r="A6" s="39" t="inlineStr">
        <is>
          <t>SKU Note</t>
        </is>
      </c>
      <c r="B6" s="42" t="inlineStr">
        <is>
          <t>Reference codes based on eSUN naming convention</t>
        </is>
      </c>
      <c r="C6" s="41" t="inlineStr">
        <is>
          <t>SKU column: confirmed mfr codes noted above; others are internal reference codes</t>
        </is>
      </c>
    </row>
    <row r="7" ht="18" customHeight="1">
      <c r="A7" s="39" t="inlineStr">
        <is>
          <t>Hex Note</t>
        </is>
      </c>
      <c r="B7" s="42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41" t="inlineStr">
        <is>
          <t>Approximate hex = visually representative; not manufacturer-confirmed</t>
        </is>
      </c>
    </row>
    <row r="8" ht="18" customHeight="1">
      <c r="A8" s="39" t="inlineStr">
        <is>
          <t>Inventory Note</t>
        </is>
      </c>
      <c r="B8" s="42" t="inlineStr">
        <is>
          <t>This workbook covers catalog reference data only. On-hand spool inventory is tracked separately in Filament_Inventory.xlsx.</t>
        </is>
      </c>
      <c r="C8" s="41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2026-07-25T21:17:03Z</dcterms:created>
  <dcterms:modified xmlns:dcterms="http://purl.org/dc/terms/" xmlns:xsi="http://www.w3.org/2001/XMLSchema-instance" xsi:type="dcterms:W3CDTF">2026-07-25T21:17:03Z</dcterms:modified>
</cp:coreProperties>
</file>