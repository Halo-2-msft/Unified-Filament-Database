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17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6161A"/>
      </patternFill>
    </fill>
    <fill>
      <patternFill patternType="solid">
        <fgColor rgb="FFE3E3E3"/>
      </patternFill>
    </fill>
    <fill>
      <patternFill patternType="solid">
        <fgColor rgb="FFEEF3FB"/>
      </patternFill>
    </fill>
    <fill>
      <patternFill patternType="solid">
        <fgColor rgb="FF003276"/>
      </patternFill>
    </fill>
    <fill>
      <patternFill patternType="solid">
        <fgColor rgb="FFE0E6EE"/>
      </patternFill>
    </fill>
    <fill>
      <patternFill patternType="solid">
        <fgColor rgb="FF8C8D93"/>
      </patternFill>
    </fill>
    <fill>
      <patternFill patternType="solid">
        <fgColor rgb="FFF1F1F2"/>
      </patternFill>
    </fill>
    <fill>
      <patternFill patternType="solid">
        <fgColor rgb="FFF3442B"/>
      </patternFill>
    </fill>
    <fill>
      <patternFill patternType="solid">
        <fgColor rgb="FFFDE8E5"/>
      </patternFill>
    </fill>
    <fill>
      <patternFill patternType="solid">
        <fgColor rgb="FFF0EBE8"/>
      </patternFill>
    </fill>
    <fill>
      <patternFill patternType="solid">
        <fgColor rgb="FFFDFCFC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999999"/>
      </patternFill>
    </fill>
    <fill>
      <patternFill patternType="solid">
        <fgColor rgb="FF070908"/>
      </patternFill>
    </fill>
    <fill>
      <patternFill patternType="solid">
        <fgColor rgb="FF1B3B99"/>
      </patternFill>
    </fill>
    <fill>
      <patternFill patternType="solid">
        <fgColor rgb="FFE3E7F2"/>
      </patternFill>
    </fill>
    <fill>
      <patternFill patternType="solid">
        <fgColor rgb="FF38B837"/>
      </patternFill>
    </fill>
    <fill>
      <patternFill patternType="solid">
        <fgColor rgb="FFE7F6E7"/>
      </patternFill>
    </fill>
    <fill>
      <patternFill patternType="solid">
        <fgColor rgb="FFA7AEB2"/>
      </patternFill>
    </fill>
    <fill>
      <patternFill patternType="solid">
        <fgColor rgb="FFF4F5F5"/>
      </patternFill>
    </fill>
    <fill>
      <patternFill patternType="solid">
        <fgColor rgb="FFDC7C40"/>
      </patternFill>
    </fill>
    <fill>
      <patternFill patternType="solid">
        <fgColor rgb="FFFAEFE8"/>
      </patternFill>
    </fill>
    <fill>
      <patternFill patternType="solid">
        <fgColor rgb="FFC23320"/>
      </patternFill>
    </fill>
    <fill>
      <patternFill patternType="solid">
        <fgColor rgb="FFF7E6E4"/>
      </patternFill>
    </fill>
    <fill>
      <patternFill patternType="solid">
        <fgColor rgb="FFF8FAF8"/>
      </patternFill>
    </fill>
    <fill>
      <patternFill patternType="solid">
        <fgColor rgb="FFFEFEFE"/>
      </patternFill>
    </fill>
    <fill>
      <patternFill patternType="solid">
        <fgColor rgb="FFFBE95C"/>
      </patternFill>
    </fill>
    <fill>
      <patternFill patternType="solid">
        <fgColor rgb="FFFEFCEB"/>
      </patternFill>
    </fill>
    <fill>
      <patternFill patternType="solid">
        <fgColor rgb="FF5EBDDB"/>
      </patternFill>
    </fill>
    <fill>
      <patternFill patternType="solid">
        <fgColor rgb="FFEBF7FA"/>
      </patternFill>
    </fill>
    <fill>
      <patternFill patternType="solid">
        <fgColor rgb="FF0061D5"/>
      </patternFill>
    </fill>
    <fill>
      <patternFill patternType="solid">
        <fgColor rgb="FFE0ECF9"/>
      </patternFill>
    </fill>
    <fill>
      <patternFill patternType="solid">
        <fgColor rgb="FFC2AB72"/>
      </patternFill>
    </fill>
    <fill>
      <patternFill patternType="solid">
        <fgColor rgb="FFF7F4EE"/>
      </patternFill>
    </fill>
    <fill>
      <patternFill patternType="solid">
        <fgColor rgb="FF030305"/>
      </patternFill>
    </fill>
    <fill>
      <patternFill patternType="solid">
        <fgColor rgb="FFE0E0E1"/>
      </patternFill>
    </fill>
    <fill>
      <patternFill patternType="solid">
        <fgColor rgb="FF013178"/>
      </patternFill>
    </fill>
    <fill>
      <patternFill patternType="solid">
        <fgColor rgb="FF4B2A17"/>
      </patternFill>
    </fill>
    <fill>
      <patternFill patternType="solid">
        <fgColor rgb="FFE9E5E3"/>
      </patternFill>
    </fill>
    <fill>
      <patternFill patternType="solid">
        <fgColor rgb="FFEAECF5"/>
      </patternFill>
    </fill>
    <fill>
      <patternFill patternType="solid">
        <fgColor rgb="FFFCFCFD"/>
      </patternFill>
    </fill>
    <fill>
      <patternFill patternType="solid">
        <fgColor rgb="FFEED1A8"/>
      </patternFill>
    </fill>
    <fill>
      <patternFill patternType="solid">
        <fgColor rgb="FFFCF9F4"/>
      </patternFill>
    </fill>
    <fill>
      <patternFill patternType="solid">
        <fgColor rgb="FF4C5F46"/>
      </patternFill>
    </fill>
    <fill>
      <patternFill patternType="solid">
        <fgColor rgb="FFE9EBE8"/>
      </patternFill>
    </fill>
    <fill>
      <patternFill patternType="solid">
        <fgColor rgb="FF6E8393"/>
      </patternFill>
    </fill>
    <fill>
      <patternFill patternType="solid">
        <fgColor rgb="FFEDF0F2"/>
      </patternFill>
    </fill>
    <fill>
      <patternFill patternType="solid">
        <fgColor rgb="FF30A45F"/>
      </patternFill>
    </fill>
    <fill>
      <patternFill patternType="solid">
        <fgColor rgb="FFE6F4EB"/>
      </patternFill>
    </fill>
    <fill>
      <patternFill patternType="solid">
        <fgColor rgb="FF8B8E96"/>
      </patternFill>
    </fill>
    <fill>
      <patternFill patternType="solid">
        <fgColor rgb="FF4E742D"/>
      </patternFill>
    </fill>
    <fill>
      <patternFill patternType="solid">
        <fgColor rgb="FFE9EEE5"/>
      </patternFill>
    </fill>
    <fill>
      <patternFill patternType="solid">
        <fgColor rgb="FFEED230"/>
      </patternFill>
    </fill>
    <fill>
      <patternFill patternType="solid">
        <fgColor rgb="FFFCF9E6"/>
      </patternFill>
    </fill>
    <fill>
      <patternFill patternType="solid">
        <fgColor rgb="FFD5D701"/>
      </patternFill>
    </fill>
    <fill>
      <patternFill patternType="solid">
        <fgColor rgb="FFF9FAE0"/>
      </patternFill>
    </fill>
    <fill>
      <patternFill patternType="solid">
        <fgColor rgb="FFF24574"/>
      </patternFill>
    </fill>
    <fill>
      <patternFill patternType="solid">
        <fgColor rgb="FFFDE8EE"/>
      </patternFill>
    </fill>
    <fill>
      <patternFill patternType="solid">
        <fgColor rgb="FFDFD3C3"/>
      </patternFill>
    </fill>
    <fill>
      <patternFill patternType="solid">
        <fgColor rgb="FFFBF9F7"/>
      </patternFill>
    </fill>
    <fill>
      <patternFill patternType="solid">
        <fgColor rgb="FFA79565"/>
      </patternFill>
    </fill>
    <fill>
      <patternFill patternType="solid">
        <fgColor rgb="FFF4F2EC"/>
      </patternFill>
    </fill>
    <fill>
      <patternFill patternType="solid">
        <fgColor rgb="FF948902"/>
      </patternFill>
    </fill>
    <fill>
      <patternFill patternType="solid">
        <fgColor rgb="FFF2F0E0"/>
      </patternFill>
    </fill>
    <fill>
      <patternFill patternType="solid">
        <fgColor rgb="FFF36201"/>
      </patternFill>
    </fill>
    <fill>
      <patternFill patternType="solid">
        <fgColor rgb="FFFDECE0"/>
      </patternFill>
    </fill>
    <fill>
      <patternFill patternType="solid">
        <fgColor rgb="FFF1A1AF"/>
      </patternFill>
    </fill>
    <fill>
      <patternFill patternType="solid">
        <fgColor rgb="FFFDF3F5"/>
      </patternFill>
    </fill>
    <fill>
      <patternFill patternType="solid">
        <fgColor rgb="FF48B9C2"/>
      </patternFill>
    </fill>
    <fill>
      <patternFill patternType="solid">
        <fgColor rgb="FFE9F6F7"/>
      </patternFill>
    </fill>
    <fill>
      <patternFill patternType="solid">
        <fgColor rgb="FF6447A5"/>
      </patternFill>
    </fill>
    <fill>
      <patternFill patternType="solid">
        <fgColor rgb="FFECE8F4"/>
      </patternFill>
    </fill>
    <fill>
      <patternFill patternType="solid">
        <fgColor rgb="FFD90102"/>
      </patternFill>
    </fill>
    <fill>
      <patternFill patternType="solid">
        <fgColor rgb="FFFAE0E0"/>
      </patternFill>
    </fill>
    <fill>
      <patternFill patternType="solid">
        <fgColor rgb="FF5D5E63"/>
      </patternFill>
    </fill>
    <fill>
      <patternFill patternType="solid">
        <fgColor rgb="FFEBEBEC"/>
      </patternFill>
    </fill>
    <fill>
      <patternFill patternType="solid">
        <fgColor rgb="FF487BA2"/>
      </patternFill>
    </fill>
    <fill>
      <patternFill patternType="solid">
        <fgColor rgb="FFE9EFF3"/>
      </patternFill>
    </fill>
    <fill>
      <patternFill patternType="solid">
        <fgColor rgb="FFDDD7D3"/>
      </patternFill>
    </fill>
    <fill>
      <patternFill patternType="solid">
        <fgColor rgb="FFFAFAF9"/>
      </patternFill>
    </fill>
    <fill>
      <patternFill patternType="solid">
        <fgColor rgb="FFD60212"/>
      </patternFill>
    </fill>
    <fill>
      <patternFill patternType="solid">
        <fgColor rgb="FFFAE0E2"/>
      </patternFill>
    </fill>
    <fill>
      <patternFill patternType="solid">
        <fgColor rgb="FFF3AA01"/>
      </patternFill>
    </fill>
    <fill>
      <patternFill patternType="solid">
        <fgColor rgb="FFFDF4E0"/>
      </patternFill>
    </fill>
    <fill>
      <patternFill patternType="solid">
        <fgColor rgb="FF5AABB1"/>
      </patternFill>
    </fill>
    <fill>
      <patternFill patternType="solid">
        <fgColor rgb="FFEBF4F5"/>
      </patternFill>
    </fill>
    <fill>
      <patternFill patternType="solid">
        <fgColor rgb="FFCCA897"/>
      </patternFill>
    </fill>
    <fill>
      <patternFill patternType="solid">
        <fgColor rgb="FFF8F4F2"/>
      </patternFill>
    </fill>
    <fill>
      <patternFill patternType="solid">
        <fgColor rgb="FF724E3D"/>
      </patternFill>
    </fill>
    <fill>
      <patternFill patternType="solid">
        <fgColor rgb="FFEEE9E7"/>
      </patternFill>
    </fill>
    <fill>
      <patternFill patternType="solid">
        <fgColor rgb="FF515234"/>
      </patternFill>
    </fill>
    <fill>
      <patternFill patternType="solid">
        <fgColor rgb="FFEAEAE6"/>
      </patternFill>
    </fill>
    <fill>
      <patternFill patternType="solid">
        <fgColor rgb="FFA78403"/>
      </patternFill>
    </fill>
    <fill>
      <patternFill patternType="solid">
        <fgColor rgb="FFF4F0E0"/>
      </patternFill>
    </fill>
    <fill>
      <patternFill patternType="solid">
        <fgColor rgb="FF1C1C1C"/>
      </patternFill>
    </fill>
    <fill>
      <patternFill patternType="solid">
        <fgColor rgb="FFE6DDDB"/>
      </patternFill>
    </fill>
    <fill>
      <patternFill patternType="solid">
        <fgColor rgb="FFFCFAFA"/>
      </patternFill>
    </fill>
    <fill>
      <patternFill patternType="solid">
        <fgColor rgb="FF623E2A"/>
      </patternFill>
    </fill>
    <fill>
      <patternFill patternType="solid">
        <fgColor rgb="FFECE7E5"/>
      </patternFill>
    </fill>
    <fill>
      <patternFill patternType="solid">
        <fgColor rgb="FF519F61"/>
      </patternFill>
    </fill>
    <fill>
      <patternFill patternType="solid">
        <fgColor rgb="FFEAF3EC"/>
      </patternFill>
    </fill>
    <fill>
      <patternFill patternType="solid">
        <fgColor rgb="FF6F727E"/>
      </patternFill>
    </fill>
    <fill>
      <patternFill patternType="solid">
        <fgColor rgb="FFEDEEEF"/>
      </patternFill>
    </fill>
    <fill>
      <patternFill patternType="solid">
        <fgColor rgb="FFDE1619"/>
      </patternFill>
    </fill>
    <fill>
      <patternFill patternType="solid">
        <fgColor rgb="FFFBE3E3"/>
      </patternFill>
    </fill>
    <fill>
      <patternFill patternType="solid">
        <fgColor rgb="FF8A68B5"/>
      </patternFill>
    </fill>
    <fill>
      <patternFill patternType="solid">
        <fgColor rgb="FFF0ECF6"/>
      </patternFill>
    </fill>
    <fill>
      <patternFill patternType="solid">
        <fgColor rgb="FFD0E740"/>
      </patternFill>
    </fill>
    <fill>
      <patternFill patternType="solid">
        <fgColor rgb="FFF9FCE8"/>
      </patternFill>
    </fill>
    <fill>
      <patternFill patternType="solid">
        <fgColor rgb="FF2C3449"/>
      </patternFill>
    </fill>
    <fill>
      <patternFill patternType="solid">
        <fgColor rgb="FFE5E6E9"/>
      </patternFill>
    </fill>
    <fill>
      <patternFill patternType="solid">
        <fgColor rgb="FF656D60"/>
      </patternFill>
    </fill>
    <fill>
      <patternFill patternType="solid">
        <fgColor rgb="FFECEDEB"/>
      </patternFill>
    </fill>
    <fill>
      <patternFill patternType="solid">
        <fgColor rgb="FFAFA198"/>
      </patternFill>
    </fill>
    <fill>
      <patternFill patternType="solid">
        <fgColor rgb="FFF5F3F2"/>
      </patternFill>
    </fill>
    <fill>
      <patternFill patternType="solid">
        <fgColor rgb="FFF5CF6F"/>
      </patternFill>
    </fill>
    <fill>
      <patternFill patternType="solid">
        <fgColor rgb="FFFDF9ED"/>
      </patternFill>
    </fill>
    <fill>
      <patternFill patternType="solid">
        <fgColor rgb="FF95C5D3"/>
      </patternFill>
    </fill>
    <fill>
      <patternFill patternType="solid">
        <fgColor rgb="FFF2F8F9"/>
      </patternFill>
    </fill>
    <fill>
      <patternFill patternType="solid">
        <fgColor rgb="FFBEC9A5"/>
      </patternFill>
    </fill>
    <fill>
      <patternFill patternType="solid">
        <fgColor rgb="FFF7F8F4"/>
      </patternFill>
    </fill>
    <fill>
      <patternFill patternType="solid">
        <fgColor rgb="FFF2B67A"/>
      </patternFill>
    </fill>
    <fill>
      <patternFill patternType="solid">
        <fgColor rgb="FFFDF6EF"/>
      </patternFill>
    </fill>
    <fill>
      <patternFill patternType="solid">
        <fgColor rgb="FFC29572"/>
      </patternFill>
    </fill>
    <fill>
      <patternFill patternType="solid">
        <fgColor rgb="FFF7F2EE"/>
      </patternFill>
    </fill>
    <fill>
      <patternFill patternType="solid">
        <fgColor rgb="FFE0A8BB"/>
      </patternFill>
    </fill>
    <fill>
      <patternFill patternType="solid">
        <fgColor rgb="FFFBF4F6"/>
      </patternFill>
    </fill>
    <fill>
      <patternFill patternType="solid">
        <fgColor rgb="FF005AA2"/>
      </patternFill>
    </fill>
    <fill>
      <patternFill patternType="solid">
        <fgColor rgb="FFE0EBF3"/>
      </patternFill>
    </fill>
    <fill>
      <patternFill patternType="solid">
        <fgColor rgb="FFF0BE02"/>
      </patternFill>
    </fill>
    <fill>
      <patternFill patternType="solid">
        <fgColor rgb="FFFDF7E0"/>
      </patternFill>
    </fill>
    <fill>
      <patternFill patternType="solid">
        <fgColor rgb="FFF78E0E"/>
      </patternFill>
    </fill>
    <fill>
      <patternFill patternType="solid">
        <fgColor rgb="FFFEF1E2"/>
      </patternFill>
    </fill>
    <fill>
      <patternFill patternType="solid">
        <fgColor rgb="FFE93A3F"/>
      </patternFill>
    </fill>
    <fill>
      <patternFill patternType="solid">
        <fgColor rgb="FFFCE7E7"/>
      </patternFill>
    </fill>
    <fill>
      <patternFill patternType="solid">
        <fgColor rgb="FFAD7441"/>
      </patternFill>
    </fill>
    <fill>
      <patternFill patternType="solid">
        <fgColor rgb="FFF5EEE8"/>
      </patternFill>
    </fill>
    <fill>
      <patternFill patternType="solid">
        <fgColor rgb="FF151515"/>
      </patternFill>
    </fill>
    <fill>
      <patternFill patternType="solid">
        <fgColor rgb="FFE2E2E2"/>
      </patternFill>
    </fill>
    <fill>
      <patternFill patternType="solid">
        <fgColor rgb="FF0064B9"/>
      </patternFill>
    </fill>
    <fill>
      <patternFill patternType="solid">
        <fgColor rgb="FFE0ECF6"/>
      </patternFill>
    </fill>
    <fill>
      <patternFill patternType="solid">
        <fgColor rgb="FF60AB61"/>
      </patternFill>
    </fill>
    <fill>
      <patternFill patternType="solid">
        <fgColor rgb="FFEBF4EC"/>
      </patternFill>
    </fill>
    <fill>
      <patternFill patternType="solid">
        <fgColor rgb="FF939598"/>
      </patternFill>
    </fill>
    <fill>
      <patternFill patternType="solid">
        <fgColor rgb="FFFF9812"/>
      </patternFill>
    </fill>
    <fill>
      <patternFill patternType="solid">
        <fgColor rgb="FFFFF2E2"/>
      </patternFill>
    </fill>
    <fill>
      <patternFill patternType="solid">
        <fgColor rgb="FF64C2CA"/>
      </patternFill>
    </fill>
    <fill>
      <patternFill patternType="solid">
        <fgColor rgb="FFECF7F8"/>
      </patternFill>
    </fill>
    <fill>
      <patternFill patternType="solid">
        <fgColor rgb="FF8B63C4"/>
      </patternFill>
    </fill>
    <fill>
      <patternFill patternType="solid">
        <fgColor rgb="FFF1ECF7"/>
      </patternFill>
    </fill>
    <fill>
      <patternFill patternType="solid">
        <fgColor rgb="FFDD1116"/>
      </patternFill>
    </fill>
    <fill>
      <patternFill patternType="solid">
        <fgColor rgb="FFFAE2E3"/>
      </patternFill>
    </fill>
    <fill>
      <patternFill patternType="solid">
        <fgColor rgb="FFE6DEDB"/>
      </patternFill>
    </fill>
    <fill>
      <patternFill patternType="solid">
        <fgColor rgb="FFFCFBFA"/>
      </patternFill>
    </fill>
    <fill>
      <patternFill patternType="solid">
        <fgColor rgb="FFF7C603"/>
      </patternFill>
    </fill>
    <fill>
      <patternFill patternType="solid">
        <fgColor rgb="FFFEF8E0"/>
      </patternFill>
    </fill>
    <fill>
      <patternFill patternType="solid">
        <fgColor rgb="FFB56600"/>
      </patternFill>
    </fill>
    <fill>
      <patternFill patternType="solid">
        <fgColor rgb="FFF6ECE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5" fillId="49" borderId="1" applyAlignment="1" pivotButton="0" quotePrefix="0" xfId="0">
      <alignment horizontal="center" vertical="center" wrapText="1"/>
    </xf>
    <xf numFmtId="0" fontId="11" fillId="50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11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11" fillId="54" borderId="1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11" fillId="56" borderId="1" applyAlignment="1" pivotButton="0" quotePrefix="0" xfId="0">
      <alignment horizontal="center" vertical="center" wrapText="1"/>
    </xf>
    <xf numFmtId="0" fontId="5" fillId="57" borderId="1" applyAlignment="1" pivotButton="0" quotePrefix="0" xfId="0">
      <alignment horizontal="center" vertical="center" wrapText="1"/>
    </xf>
    <xf numFmtId="0" fontId="11" fillId="58" borderId="1" applyAlignment="1" pivotButton="0" quotePrefix="0" xfId="0">
      <alignment horizontal="center" vertical="center" wrapText="1"/>
    </xf>
    <xf numFmtId="0" fontId="5" fillId="59" borderId="1" applyAlignment="1" pivotButton="0" quotePrefix="0" xfId="0">
      <alignment horizontal="center" vertical="center" wrapText="1"/>
    </xf>
    <xf numFmtId="0" fontId="11" fillId="60" borderId="1" applyAlignment="1" pivotButton="0" quotePrefix="0" xfId="0">
      <alignment horizontal="center" vertical="center" wrapText="1"/>
    </xf>
    <xf numFmtId="0" fontId="5" fillId="61" borderId="1" applyAlignment="1" pivotButton="0" quotePrefix="0" xfId="0">
      <alignment horizontal="center" vertical="center" wrapText="1"/>
    </xf>
    <xf numFmtId="0" fontId="5" fillId="62" borderId="1" applyAlignment="1" pivotButton="0" quotePrefix="0" xfId="0">
      <alignment horizontal="center" vertical="center" wrapText="1"/>
    </xf>
    <xf numFmtId="0" fontId="11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11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11" fillId="67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11" fillId="69" borderId="1" applyAlignment="1" pivotButton="0" quotePrefix="0" xfId="0">
      <alignment horizontal="center" vertical="center" wrapText="1"/>
    </xf>
    <xf numFmtId="0" fontId="5" fillId="70" borderId="1" applyAlignment="1" pivotButton="0" quotePrefix="0" xfId="0">
      <alignment horizontal="center" vertical="center" wrapText="1"/>
    </xf>
    <xf numFmtId="0" fontId="11" fillId="71" borderId="1" applyAlignment="1" pivotButton="0" quotePrefix="0" xfId="0">
      <alignment horizontal="center" vertical="center" wrapText="1"/>
    </xf>
    <xf numFmtId="0" fontId="5" fillId="72" borderId="1" applyAlignment="1" pivotButton="0" quotePrefix="0" xfId="0">
      <alignment horizontal="center" vertical="center" wrapText="1"/>
    </xf>
    <xf numFmtId="0" fontId="11" fillId="73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11" fillId="75" borderId="1" applyAlignment="1" pivotButton="0" quotePrefix="0" xfId="0">
      <alignment horizontal="center" vertical="center" wrapText="1"/>
    </xf>
    <xf numFmtId="0" fontId="5" fillId="76" borderId="1" applyAlignment="1" pivotButton="0" quotePrefix="0" xfId="0">
      <alignment horizontal="center" vertical="center" wrapText="1"/>
    </xf>
    <xf numFmtId="0" fontId="11" fillId="77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11" fillId="79" borderId="1" applyAlignment="1" pivotButton="0" quotePrefix="0" xfId="0">
      <alignment horizontal="center" vertical="center" wrapText="1"/>
    </xf>
    <xf numFmtId="0" fontId="5" fillId="80" borderId="1" applyAlignment="1" pivotButton="0" quotePrefix="0" xfId="0">
      <alignment horizontal="center" vertical="center" wrapText="1"/>
    </xf>
    <xf numFmtId="0" fontId="11" fillId="81" borderId="1" applyAlignment="1" pivotButton="0" quotePrefix="0" xfId="0">
      <alignment horizontal="center" vertical="center" wrapText="1"/>
    </xf>
    <xf numFmtId="0" fontId="5" fillId="82" borderId="1" applyAlignment="1" pivotButton="0" quotePrefix="0" xfId="0">
      <alignment horizontal="center" vertical="center" wrapText="1"/>
    </xf>
    <xf numFmtId="0" fontId="11" fillId="83" borderId="1" applyAlignment="1" pivotButton="0" quotePrefix="0" xfId="0">
      <alignment horizontal="center" vertical="center" wrapText="1"/>
    </xf>
    <xf numFmtId="0" fontId="5" fillId="84" borderId="1" applyAlignment="1" pivotButton="0" quotePrefix="0" xfId="0">
      <alignment horizontal="center" vertical="center" wrapText="1"/>
    </xf>
    <xf numFmtId="0" fontId="11" fillId="85" borderId="1" applyAlignment="1" pivotButton="0" quotePrefix="0" xfId="0">
      <alignment horizontal="center" vertical="center" wrapText="1"/>
    </xf>
    <xf numFmtId="0" fontId="5" fillId="86" borderId="1" applyAlignment="1" pivotButton="0" quotePrefix="0" xfId="0">
      <alignment horizontal="center" vertical="center" wrapText="1"/>
    </xf>
    <xf numFmtId="0" fontId="11" fillId="87" borderId="1" applyAlignment="1" pivotButton="0" quotePrefix="0" xfId="0">
      <alignment horizontal="center" vertical="center" wrapText="1"/>
    </xf>
    <xf numFmtId="0" fontId="5" fillId="88" borderId="1" applyAlignment="1" pivotButton="0" quotePrefix="0" xfId="0">
      <alignment horizontal="center" vertical="center" wrapText="1"/>
    </xf>
    <xf numFmtId="0" fontId="11" fillId="89" borderId="1" applyAlignment="1" pivotButton="0" quotePrefix="0" xfId="0">
      <alignment horizontal="center" vertical="center" wrapText="1"/>
    </xf>
    <xf numFmtId="0" fontId="5" fillId="90" borderId="1" applyAlignment="1" pivotButton="0" quotePrefix="0" xfId="0">
      <alignment horizontal="center" vertical="center" wrapText="1"/>
    </xf>
    <xf numFmtId="0" fontId="11" fillId="91" borderId="1" applyAlignment="1" pivotButton="0" quotePrefix="0" xfId="0">
      <alignment horizontal="center" vertical="center" wrapText="1"/>
    </xf>
    <xf numFmtId="0" fontId="5" fillId="92" borderId="1" applyAlignment="1" pivotButton="0" quotePrefix="0" xfId="0">
      <alignment horizontal="center" vertical="center" wrapText="1"/>
    </xf>
    <xf numFmtId="0" fontId="11" fillId="93" borderId="1" applyAlignment="1" pivotButton="0" quotePrefix="0" xfId="0">
      <alignment horizontal="center" vertical="center" wrapText="1"/>
    </xf>
    <xf numFmtId="0" fontId="5" fillId="94" borderId="1" applyAlignment="1" pivotButton="0" quotePrefix="0" xfId="0">
      <alignment horizontal="center" vertical="center" wrapText="1"/>
    </xf>
    <xf numFmtId="0" fontId="11" fillId="95" borderId="1" applyAlignment="1" pivotButton="0" quotePrefix="0" xfId="0">
      <alignment horizontal="center" vertical="center" wrapText="1"/>
    </xf>
    <xf numFmtId="0" fontId="5" fillId="96" borderId="1" applyAlignment="1" pivotButton="0" quotePrefix="0" xfId="0">
      <alignment horizontal="center" vertical="center" wrapText="1"/>
    </xf>
    <xf numFmtId="0" fontId="11" fillId="97" borderId="1" applyAlignment="1" pivotButton="0" quotePrefix="0" xfId="0">
      <alignment horizontal="center" vertical="center" wrapText="1"/>
    </xf>
    <xf numFmtId="0" fontId="5" fillId="98" borderId="1" applyAlignment="1" pivotButton="0" quotePrefix="0" xfId="0">
      <alignment horizontal="center" vertical="center" wrapText="1"/>
    </xf>
    <xf numFmtId="0" fontId="11" fillId="99" borderId="1" applyAlignment="1" pivotButton="0" quotePrefix="0" xfId="0">
      <alignment horizontal="center" vertical="center" wrapText="1"/>
    </xf>
    <xf numFmtId="0" fontId="5" fillId="100" borderId="1" applyAlignment="1" pivotButton="0" quotePrefix="0" xfId="0">
      <alignment horizontal="center" vertical="center" wrapText="1"/>
    </xf>
    <xf numFmtId="0" fontId="11" fillId="101" borderId="1" applyAlignment="1" pivotButton="0" quotePrefix="0" xfId="0">
      <alignment horizontal="center" vertical="center" wrapText="1"/>
    </xf>
    <xf numFmtId="0" fontId="5" fillId="102" borderId="1" applyAlignment="1" pivotButton="0" quotePrefix="0" xfId="0">
      <alignment horizontal="center" vertical="center" wrapText="1"/>
    </xf>
    <xf numFmtId="0" fontId="11" fillId="103" borderId="1" applyAlignment="1" pivotButton="0" quotePrefix="0" xfId="0">
      <alignment horizontal="center" vertical="center" wrapText="1"/>
    </xf>
    <xf numFmtId="0" fontId="5" fillId="104" borderId="1" applyAlignment="1" pivotButton="0" quotePrefix="0" xfId="0">
      <alignment horizontal="center" vertical="center" wrapText="1"/>
    </xf>
    <xf numFmtId="0" fontId="11" fillId="105" borderId="1" applyAlignment="1" pivotButton="0" quotePrefix="0" xfId="0">
      <alignment horizontal="center" vertical="center" wrapText="1"/>
    </xf>
    <xf numFmtId="0" fontId="5" fillId="106" borderId="1" applyAlignment="1" pivotButton="0" quotePrefix="0" xfId="0">
      <alignment horizontal="center" vertical="center" wrapText="1"/>
    </xf>
    <xf numFmtId="0" fontId="5" fillId="107" borderId="1" applyAlignment="1" pivotButton="0" quotePrefix="0" xfId="0">
      <alignment horizontal="center" vertical="center" wrapText="1"/>
    </xf>
    <xf numFmtId="0" fontId="11" fillId="108" borderId="1" applyAlignment="1" pivotButton="0" quotePrefix="0" xfId="0">
      <alignment horizontal="center" vertical="center" wrapText="1"/>
    </xf>
    <xf numFmtId="0" fontId="5" fillId="109" borderId="1" applyAlignment="1" pivotButton="0" quotePrefix="0" xfId="0">
      <alignment horizontal="center" vertical="center" wrapText="1"/>
    </xf>
    <xf numFmtId="0" fontId="11" fillId="110" borderId="1" applyAlignment="1" pivotButton="0" quotePrefix="0" xfId="0">
      <alignment horizontal="center" vertical="center" wrapText="1"/>
    </xf>
    <xf numFmtId="0" fontId="5" fillId="111" borderId="1" applyAlignment="1" pivotButton="0" quotePrefix="0" xfId="0">
      <alignment horizontal="center" vertical="center" wrapText="1"/>
    </xf>
    <xf numFmtId="0" fontId="11" fillId="112" borderId="1" applyAlignment="1" pivotButton="0" quotePrefix="0" xfId="0">
      <alignment horizontal="center" vertical="center" wrapText="1"/>
    </xf>
    <xf numFmtId="0" fontId="5" fillId="113" borderId="1" applyAlignment="1" pivotButton="0" quotePrefix="0" xfId="0">
      <alignment horizontal="center" vertical="center" wrapText="1"/>
    </xf>
    <xf numFmtId="0" fontId="11" fillId="114" borderId="1" applyAlignment="1" pivotButton="0" quotePrefix="0" xfId="0">
      <alignment horizontal="center" vertical="center" wrapText="1"/>
    </xf>
    <xf numFmtId="0" fontId="5" fillId="115" borderId="1" applyAlignment="1" pivotButton="0" quotePrefix="0" xfId="0">
      <alignment horizontal="center" vertical="center" wrapText="1"/>
    </xf>
    <xf numFmtId="0" fontId="11" fillId="116" borderId="1" applyAlignment="1" pivotButton="0" quotePrefix="0" xfId="0">
      <alignment horizontal="center" vertical="center" wrapText="1"/>
    </xf>
    <xf numFmtId="0" fontId="5" fillId="117" borderId="1" applyAlignment="1" pivotButton="0" quotePrefix="0" xfId="0">
      <alignment horizontal="center" vertical="center" wrapText="1"/>
    </xf>
    <xf numFmtId="0" fontId="11" fillId="118" borderId="1" applyAlignment="1" pivotButton="0" quotePrefix="0" xfId="0">
      <alignment horizontal="center" vertical="center" wrapText="1"/>
    </xf>
    <xf numFmtId="0" fontId="5" fillId="119" borderId="1" applyAlignment="1" pivotButton="0" quotePrefix="0" xfId="0">
      <alignment horizontal="center" vertical="center" wrapText="1"/>
    </xf>
    <xf numFmtId="0" fontId="11" fillId="120" borderId="1" applyAlignment="1" pivotButton="0" quotePrefix="0" xfId="0">
      <alignment horizontal="center" vertical="center" wrapText="1"/>
    </xf>
    <xf numFmtId="0" fontId="5" fillId="121" borderId="1" applyAlignment="1" pivotButton="0" quotePrefix="0" xfId="0">
      <alignment horizontal="center" vertical="center" wrapText="1"/>
    </xf>
    <xf numFmtId="0" fontId="11" fillId="122" borderId="1" applyAlignment="1" pivotButton="0" quotePrefix="0" xfId="0">
      <alignment horizontal="center" vertical="center" wrapText="1"/>
    </xf>
    <xf numFmtId="0" fontId="5" fillId="123" borderId="1" applyAlignment="1" pivotButton="0" quotePrefix="0" xfId="0">
      <alignment horizontal="center" vertical="center" wrapText="1"/>
    </xf>
    <xf numFmtId="0" fontId="11" fillId="124" borderId="1" applyAlignment="1" pivotButton="0" quotePrefix="0" xfId="0">
      <alignment horizontal="center" vertical="center" wrapText="1"/>
    </xf>
    <xf numFmtId="0" fontId="5" fillId="125" borderId="1" applyAlignment="1" pivotButton="0" quotePrefix="0" xfId="0">
      <alignment horizontal="center" vertical="center" wrapText="1"/>
    </xf>
    <xf numFmtId="0" fontId="11" fillId="126" borderId="1" applyAlignment="1" pivotButton="0" quotePrefix="0" xfId="0">
      <alignment horizontal="center" vertical="center" wrapText="1"/>
    </xf>
    <xf numFmtId="0" fontId="5" fillId="127" borderId="1" applyAlignment="1" pivotButton="0" quotePrefix="0" xfId="0">
      <alignment horizontal="center" vertical="center" wrapText="1"/>
    </xf>
    <xf numFmtId="0" fontId="11" fillId="128" borderId="1" applyAlignment="1" pivotButton="0" quotePrefix="0" xfId="0">
      <alignment horizontal="center" vertical="center" wrapText="1"/>
    </xf>
    <xf numFmtId="0" fontId="5" fillId="129" borderId="1" applyAlignment="1" pivotButton="0" quotePrefix="0" xfId="0">
      <alignment horizontal="center" vertical="center" wrapText="1"/>
    </xf>
    <xf numFmtId="0" fontId="11" fillId="130" borderId="1" applyAlignment="1" pivotButton="0" quotePrefix="0" xfId="0">
      <alignment horizontal="center" vertical="center" wrapText="1"/>
    </xf>
    <xf numFmtId="0" fontId="5" fillId="131" borderId="1" applyAlignment="1" pivotButton="0" quotePrefix="0" xfId="0">
      <alignment horizontal="center" vertical="center" wrapText="1"/>
    </xf>
    <xf numFmtId="0" fontId="11" fillId="132" borderId="1" applyAlignment="1" pivotButton="0" quotePrefix="0" xfId="0">
      <alignment horizontal="center" vertical="center" wrapText="1"/>
    </xf>
    <xf numFmtId="0" fontId="5" fillId="133" borderId="1" applyAlignment="1" pivotButton="0" quotePrefix="0" xfId="0">
      <alignment horizontal="center" vertical="center" wrapText="1"/>
    </xf>
    <xf numFmtId="0" fontId="11" fillId="134" borderId="1" applyAlignment="1" pivotButton="0" quotePrefix="0" xfId="0">
      <alignment horizontal="center" vertical="center" wrapText="1"/>
    </xf>
    <xf numFmtId="0" fontId="5" fillId="135" borderId="1" applyAlignment="1" pivotButton="0" quotePrefix="0" xfId="0">
      <alignment horizontal="center" vertical="center" wrapText="1"/>
    </xf>
    <xf numFmtId="0" fontId="11" fillId="136" borderId="1" applyAlignment="1" pivotButton="0" quotePrefix="0" xfId="0">
      <alignment horizontal="center" vertical="center" wrapText="1"/>
    </xf>
    <xf numFmtId="0" fontId="5" fillId="137" borderId="1" applyAlignment="1" pivotButton="0" quotePrefix="0" xfId="0">
      <alignment horizontal="center" vertical="center" wrapText="1"/>
    </xf>
    <xf numFmtId="0" fontId="11" fillId="138" borderId="1" applyAlignment="1" pivotButton="0" quotePrefix="0" xfId="0">
      <alignment horizontal="center" vertical="center" wrapText="1"/>
    </xf>
    <xf numFmtId="0" fontId="5" fillId="139" borderId="1" applyAlignment="1" pivotButton="0" quotePrefix="0" xfId="0">
      <alignment horizontal="center" vertical="center" wrapText="1"/>
    </xf>
    <xf numFmtId="0" fontId="11" fillId="140" borderId="1" applyAlignment="1" pivotButton="0" quotePrefix="0" xfId="0">
      <alignment horizontal="center" vertical="center" wrapText="1"/>
    </xf>
    <xf numFmtId="0" fontId="5" fillId="141" borderId="1" applyAlignment="1" pivotButton="0" quotePrefix="0" xfId="0">
      <alignment horizontal="center" vertical="center" wrapText="1"/>
    </xf>
    <xf numFmtId="0" fontId="11" fillId="142" borderId="1" applyAlignment="1" pivotButton="0" quotePrefix="0" xfId="0">
      <alignment horizontal="center" vertical="center" wrapText="1"/>
    </xf>
    <xf numFmtId="0" fontId="5" fillId="143" borderId="1" applyAlignment="1" pivotButton="0" quotePrefix="0" xfId="0">
      <alignment horizontal="center" vertical="center" wrapText="1"/>
    </xf>
    <xf numFmtId="0" fontId="11" fillId="144" borderId="1" applyAlignment="1" pivotButton="0" quotePrefix="0" xfId="0">
      <alignment horizontal="center" vertical="center" wrapText="1"/>
    </xf>
    <xf numFmtId="0" fontId="5" fillId="145" borderId="1" applyAlignment="1" pivotButton="0" quotePrefix="0" xfId="0">
      <alignment horizontal="center" vertical="center" wrapText="1"/>
    </xf>
    <xf numFmtId="0" fontId="11" fillId="146" borderId="1" applyAlignment="1" pivotButton="0" quotePrefix="0" xfId="0">
      <alignment horizontal="center" vertical="center" wrapText="1"/>
    </xf>
    <xf numFmtId="0" fontId="5" fillId="147" borderId="1" applyAlignment="1" pivotButton="0" quotePrefix="0" xfId="0">
      <alignment horizontal="center" vertical="center" wrapText="1"/>
    </xf>
    <xf numFmtId="0" fontId="11" fillId="148" borderId="1" applyAlignment="1" pivotButton="0" quotePrefix="0" xfId="0">
      <alignment horizontal="center" vertical="center" wrapText="1"/>
    </xf>
    <xf numFmtId="0" fontId="5" fillId="149" borderId="1" applyAlignment="1" pivotButton="0" quotePrefix="0" xfId="0">
      <alignment horizontal="center" vertical="center" wrapText="1"/>
    </xf>
    <xf numFmtId="0" fontId="11" fillId="150" borderId="1" applyAlignment="1" pivotButton="0" quotePrefix="0" xfId="0">
      <alignment horizontal="center" vertical="center" wrapText="1"/>
    </xf>
    <xf numFmtId="0" fontId="5" fillId="151" borderId="1" applyAlignment="1" pivotButton="0" quotePrefix="0" xfId="0">
      <alignment horizontal="center" vertical="center" wrapText="1"/>
    </xf>
    <xf numFmtId="0" fontId="11" fillId="152" borderId="1" applyAlignment="1" pivotButton="0" quotePrefix="0" xfId="0">
      <alignment horizontal="center" vertical="center" wrapText="1"/>
    </xf>
    <xf numFmtId="0" fontId="5" fillId="153" borderId="1" applyAlignment="1" pivotButton="0" quotePrefix="0" xfId="0">
      <alignment horizontal="center" vertical="center" wrapText="1"/>
    </xf>
    <xf numFmtId="0" fontId="11" fillId="154" borderId="1" applyAlignment="1" pivotButton="0" quotePrefix="0" xfId="0">
      <alignment horizontal="center" vertical="center" wrapText="1"/>
    </xf>
    <xf numFmtId="0" fontId="5" fillId="155" borderId="1" applyAlignment="1" pivotButton="0" quotePrefix="0" xfId="0">
      <alignment horizontal="center" vertical="center" wrapText="1"/>
    </xf>
    <xf numFmtId="0" fontId="5" fillId="156" borderId="1" applyAlignment="1" pivotButton="0" quotePrefix="0" xfId="0">
      <alignment horizontal="center" vertical="center" wrapText="1"/>
    </xf>
    <xf numFmtId="0" fontId="11" fillId="157" borderId="1" applyAlignment="1" pivotButton="0" quotePrefix="0" xfId="0">
      <alignment horizontal="center" vertical="center" wrapText="1"/>
    </xf>
    <xf numFmtId="0" fontId="5" fillId="158" borderId="1" applyAlignment="1" pivotButton="0" quotePrefix="0" xfId="0">
      <alignment horizontal="center" vertical="center" wrapText="1"/>
    </xf>
    <xf numFmtId="0" fontId="11" fillId="159" borderId="1" applyAlignment="1" pivotButton="0" quotePrefix="0" xfId="0">
      <alignment horizontal="center" vertical="center" wrapText="1"/>
    </xf>
    <xf numFmtId="0" fontId="5" fillId="160" borderId="1" applyAlignment="1" pivotButton="0" quotePrefix="0" xfId="0">
      <alignment horizontal="center" vertical="center" wrapText="1"/>
    </xf>
    <xf numFmtId="0" fontId="11" fillId="161" borderId="1" applyAlignment="1" pivotButton="0" quotePrefix="0" xfId="0">
      <alignment horizontal="center" vertical="center" wrapText="1"/>
    </xf>
    <xf numFmtId="0" fontId="5" fillId="162" borderId="1" applyAlignment="1" pivotButton="0" quotePrefix="0" xfId="0">
      <alignment horizontal="center" vertical="center" wrapText="1"/>
    </xf>
    <xf numFmtId="0" fontId="11" fillId="163" borderId="1" applyAlignment="1" pivotButton="0" quotePrefix="0" xfId="0">
      <alignment horizontal="center" vertical="center" wrapText="1"/>
    </xf>
    <xf numFmtId="0" fontId="5" fillId="164" borderId="1" applyAlignment="1" pivotButton="0" quotePrefix="0" xfId="0">
      <alignment horizontal="center" vertical="center" wrapText="1"/>
    </xf>
    <xf numFmtId="0" fontId="11" fillId="165" borderId="1" applyAlignment="1" pivotButton="0" quotePrefix="0" xfId="0">
      <alignment horizontal="center" vertical="center" wrapText="1"/>
    </xf>
    <xf numFmtId="0" fontId="5" fillId="166" borderId="1" applyAlignment="1" pivotButton="0" quotePrefix="0" xfId="0">
      <alignment horizontal="center" vertical="center" wrapText="1"/>
    </xf>
    <xf numFmtId="0" fontId="11" fillId="167" borderId="1" applyAlignment="1" pivotButton="0" quotePrefix="0" xfId="0">
      <alignment horizontal="center" vertical="center" wrapText="1"/>
    </xf>
    <xf numFmtId="0" fontId="5" fillId="168" borderId="1" applyAlignment="1" pivotButton="0" quotePrefix="0" xfId="0">
      <alignment horizontal="center" vertical="center" wrapText="1"/>
    </xf>
    <xf numFmtId="0" fontId="11" fillId="169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17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17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Polymaker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ASA</t>
        </is>
      </c>
      <c r="B27" s="20">
        <f>COUNTIF(Catalog!A3:A700,"ASA")</f>
        <v/>
      </c>
    </row>
    <row r="28" ht="18" customHeight="1">
      <c r="A28" s="19" t="inlineStr">
        <is>
          <t>PA</t>
        </is>
      </c>
      <c r="B28" s="20">
        <f>COUNTIF(Catalog!A3:A700,"PA")</f>
        <v/>
      </c>
    </row>
    <row r="29" ht="18" customHeight="1">
      <c r="A29" s="19" t="inlineStr">
        <is>
          <t>PA-CF</t>
        </is>
      </c>
      <c r="B29" s="20">
        <f>COUNTIF(Catalog!A3:A700,"PA-CF")</f>
        <v/>
      </c>
    </row>
    <row r="30" ht="18" customHeight="1">
      <c r="A30" s="19" t="inlineStr">
        <is>
          <t>PC</t>
        </is>
      </c>
      <c r="B30" s="20">
        <f>COUNTIF(Catalog!A3:A700,"PC")</f>
        <v/>
      </c>
    </row>
    <row r="31" ht="18" customHeight="1">
      <c r="A31" s="19" t="inlineStr">
        <is>
          <t>PETG</t>
        </is>
      </c>
      <c r="B31" s="20">
        <f>COUNTIF(Catalog!A3:A700,"PETG")</f>
        <v/>
      </c>
    </row>
    <row r="32" ht="18" customHeight="1">
      <c r="A32" s="19" t="inlineStr">
        <is>
          <t>PLA</t>
        </is>
      </c>
      <c r="B32" s="20">
        <f>COUNTIF(Catalog!A3:A700,"PLA")</f>
        <v/>
      </c>
    </row>
    <row r="33" ht="18" customHeight="1">
      <c r="A33" s="19" t="inlineStr">
        <is>
          <t>PLA Matte</t>
        </is>
      </c>
      <c r="B33" s="20">
        <f>COUNTIF(Catalog!A3:A700,"PLA Matte")</f>
        <v/>
      </c>
    </row>
    <row r="34" ht="18" customHeight="1">
      <c r="A34" s="19" t="inlineStr">
        <is>
          <t>PLA Satin</t>
        </is>
      </c>
      <c r="B34" s="20">
        <f>COUNTIF(Catalog!A3:A700,"PLA Satin")</f>
        <v/>
      </c>
    </row>
    <row r="35" ht="18" customHeight="1">
      <c r="A35" s="19" t="inlineStr">
        <is>
          <t>PLA Silk</t>
        </is>
      </c>
      <c r="B35" s="20">
        <f>COUNTIF(Catalog!A3:A700,"PLA Silk")</f>
        <v/>
      </c>
    </row>
    <row r="36" ht="18" customHeight="1">
      <c r="A36" s="19" t="inlineStr">
        <is>
          <t>PLA-CF</t>
        </is>
      </c>
      <c r="B36" s="20">
        <f>COUNTIF(Catalog!A3:A700,"PLA-CF")</f>
        <v/>
      </c>
    </row>
    <row r="37" ht="18" customHeight="1">
      <c r="A37" s="19" t="inlineStr">
        <is>
          <t>PLA-LW</t>
        </is>
      </c>
      <c r="B37" s="20">
        <f>COUNTIF(Catalog!A3:A700,"PLA-LW")</f>
        <v/>
      </c>
    </row>
    <row r="38" ht="18" customHeight="1">
      <c r="A38" s="19" t="inlineStr">
        <is>
          <t>Support</t>
        </is>
      </c>
      <c r="B38" s="20">
        <f>COUNTIF(Catalog!A3:A700,"Support")</f>
        <v/>
      </c>
    </row>
    <row r="39" ht="18" customHeight="1">
      <c r="A39" s="19" t="inlineStr">
        <is>
          <t>TPU</t>
        </is>
      </c>
      <c r="B39" s="20">
        <f>COUNTIF(Catalog!A3:A700,"TPU")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Polymaker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PM-ABS-BLA</t>
        </is>
      </c>
      <c r="C3" s="23" t="inlineStr">
        <is>
          <t>PolyLite ABS</t>
        </is>
      </c>
      <c r="D3" s="23" t="inlineStr">
        <is>
          <t>Black</t>
        </is>
      </c>
      <c r="E3" s="24" t="inlineStr"/>
      <c r="F3" s="25" t="inlineStr">
        <is>
          <t>#16161A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245–265°C</t>
        </is>
      </c>
      <c r="L3" s="16" t="inlineStr">
        <is>
          <t>90–100°C</t>
        </is>
      </c>
      <c r="M3" s="16" t="inlineStr">
        <is>
          <t>70°C / 4h</t>
        </is>
      </c>
      <c r="N3" s="16" t="inlineStr">
        <is>
          <t>✓</t>
        </is>
      </c>
      <c r="O3" s="16" t="inlineStr">
        <is>
          <t>✓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B</t>
        </is>
      </c>
      <c r="S3" s="23" t="inlineStr">
        <is>
          <t>Existing catalog entries — not re-verified this deep-dive pass</t>
        </is>
      </c>
      <c r="T3" s="23" t="inlineStr">
        <is>
          <t>Hex confirmed via official Polymaker shop.polymaker.com product page, 2026-07-22</t>
        </is>
      </c>
    </row>
    <row r="4" ht="20" customHeight="1">
      <c r="A4" s="26" t="inlineStr">
        <is>
          <t>ABS</t>
        </is>
      </c>
      <c r="B4" s="26" t="inlineStr">
        <is>
          <t>PM-ABS-BLU</t>
        </is>
      </c>
      <c r="C4" s="26" t="inlineStr">
        <is>
          <t>PolyLite ABS</t>
        </is>
      </c>
      <c r="D4" s="26" t="inlineStr">
        <is>
          <t>Blue</t>
        </is>
      </c>
      <c r="E4" s="27" t="inlineStr"/>
      <c r="F4" s="28" t="inlineStr">
        <is>
          <t>#003276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245–265°C</t>
        </is>
      </c>
      <c r="L4" s="29" t="inlineStr">
        <is>
          <t>90–100°C</t>
        </is>
      </c>
      <c r="M4" s="29" t="inlineStr">
        <is>
          <t>70°C / 4h</t>
        </is>
      </c>
      <c r="N4" s="29" t="inlineStr">
        <is>
          <t>✓</t>
        </is>
      </c>
      <c r="O4" s="29" t="inlineStr">
        <is>
          <t>✓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B</t>
        </is>
      </c>
      <c r="S4" s="26" t="inlineStr">
        <is>
          <t>Existing catalog entries — not re-verified this deep-dive pass</t>
        </is>
      </c>
      <c r="T4" s="26" t="inlineStr">
        <is>
          <t>Hex confirmed via official Polymaker shop.polymaker.com product page, 2026-07-22</t>
        </is>
      </c>
    </row>
    <row r="5" ht="20" customHeight="1">
      <c r="A5" s="23" t="inlineStr">
        <is>
          <t>ABS</t>
        </is>
      </c>
      <c r="B5" s="23" t="inlineStr">
        <is>
          <t>PM-ABS-GRE</t>
        </is>
      </c>
      <c r="C5" s="23" t="inlineStr">
        <is>
          <t>PolyLite ABS</t>
        </is>
      </c>
      <c r="D5" s="23" t="inlineStr">
        <is>
          <t>Grey</t>
        </is>
      </c>
      <c r="E5" s="30" t="inlineStr"/>
      <c r="F5" s="31" t="inlineStr">
        <is>
          <t>#8C8D93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245–265°C</t>
        </is>
      </c>
      <c r="L5" s="16" t="inlineStr">
        <is>
          <t>90–100°C</t>
        </is>
      </c>
      <c r="M5" s="16" t="inlineStr">
        <is>
          <t>70°C / 4h</t>
        </is>
      </c>
      <c r="N5" s="16" t="inlineStr">
        <is>
          <t>✓</t>
        </is>
      </c>
      <c r="O5" s="16" t="inlineStr">
        <is>
          <t>✓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B</t>
        </is>
      </c>
      <c r="S5" s="23" t="inlineStr">
        <is>
          <t>Existing catalog entries — not re-verified this deep-dive pass</t>
        </is>
      </c>
      <c r="T5" s="23" t="inlineStr">
        <is>
          <t>Hex confirmed via official Polymaker shop.polymaker.com product page, 2026-07-22</t>
        </is>
      </c>
    </row>
    <row r="6" ht="20" customHeight="1">
      <c r="A6" s="26" t="inlineStr">
        <is>
          <t>ABS</t>
        </is>
      </c>
      <c r="B6" s="26" t="inlineStr">
        <is>
          <t>PM-ABS-RED</t>
        </is>
      </c>
      <c r="C6" s="26" t="inlineStr">
        <is>
          <t>PolyLite ABS</t>
        </is>
      </c>
      <c r="D6" s="26" t="inlineStr">
        <is>
          <t>Red</t>
        </is>
      </c>
      <c r="E6" s="32" t="inlineStr"/>
      <c r="F6" s="33" t="inlineStr">
        <is>
          <t>#F3442B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245–265°C</t>
        </is>
      </c>
      <c r="L6" s="29" t="inlineStr">
        <is>
          <t>90–100°C</t>
        </is>
      </c>
      <c r="M6" s="29" t="inlineStr">
        <is>
          <t>70°C / 4h</t>
        </is>
      </c>
      <c r="N6" s="29" t="inlineStr">
        <is>
          <t>✓</t>
        </is>
      </c>
      <c r="O6" s="29" t="inlineStr">
        <is>
          <t>✓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B</t>
        </is>
      </c>
      <c r="S6" s="26" t="inlineStr">
        <is>
          <t>Existing catalog entries — not re-verified this deep-dive pass</t>
        </is>
      </c>
      <c r="T6" s="26" t="inlineStr">
        <is>
          <t>Hex confirmed via official Polymaker shop.polymaker.com product page, 2026-07-22</t>
        </is>
      </c>
    </row>
    <row r="7" ht="20" customHeight="1">
      <c r="A7" s="23" t="inlineStr">
        <is>
          <t>ABS</t>
        </is>
      </c>
      <c r="B7" s="23" t="inlineStr">
        <is>
          <t>PM-ABS-WHI</t>
        </is>
      </c>
      <c r="C7" s="23" t="inlineStr">
        <is>
          <t>PolyLite ABS</t>
        </is>
      </c>
      <c r="D7" s="23" t="inlineStr">
        <is>
          <t>White</t>
        </is>
      </c>
      <c r="E7" s="34" t="inlineStr"/>
      <c r="F7" s="35" t="inlineStr">
        <is>
          <t>#F0EBE8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245–265°C</t>
        </is>
      </c>
      <c r="L7" s="16" t="inlineStr">
        <is>
          <t>90–100°C</t>
        </is>
      </c>
      <c r="M7" s="16" t="inlineStr">
        <is>
          <t>70°C / 4h</t>
        </is>
      </c>
      <c r="N7" s="16" t="inlineStr">
        <is>
          <t>✓</t>
        </is>
      </c>
      <c r="O7" s="16" t="inlineStr">
        <is>
          <t>✓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B</t>
        </is>
      </c>
      <c r="S7" s="23" t="inlineStr">
        <is>
          <t>Existing catalog entries — not re-verified this deep-dive pass</t>
        </is>
      </c>
      <c r="T7" s="23" t="inlineStr">
        <is>
          <t>Hex confirmed via official Polymaker shop.polymaker.com product page, 2026-07-22</t>
        </is>
      </c>
    </row>
    <row r="8" ht="20" customHeight="1">
      <c r="A8" s="26" t="inlineStr">
        <is>
          <t>ASA</t>
        </is>
      </c>
      <c r="B8" s="26" t="inlineStr">
        <is>
          <t>PM-PH-05</t>
        </is>
      </c>
      <c r="C8" s="26" t="inlineStr">
        <is>
          <t>PolyLite ASA</t>
        </is>
      </c>
      <c r="D8" s="26" t="inlineStr">
        <is>
          <t>Black</t>
        </is>
      </c>
      <c r="E8" s="36" t="inlineStr"/>
      <c r="F8" s="37" t="inlineStr">
        <is>
          <t>#0D0D0D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240–260°C</t>
        </is>
      </c>
      <c r="L8" s="29" t="inlineStr">
        <is>
          <t>90–110°C</t>
        </is>
      </c>
      <c r="M8" s="29" t="inlineStr">
        <is>
          <t>70°C / 4h</t>
        </is>
      </c>
      <c r="N8" s="29" t="inlineStr">
        <is>
          <t>✓</t>
        </is>
      </c>
      <c r="O8" s="29" t="inlineStr">
        <is>
          <t>✓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C</t>
        </is>
      </c>
      <c r="S8" s="26" t="inlineStr">
        <is>
          <t>Line existence confirmed via Polymaker wiki/shop; specs estimated from sibling materials, not individually TDS-confirmed</t>
        </is>
      </c>
      <c r="T8" s="26" t="inlineStr">
        <is>
          <t>PLACEHOLDER — line confirmed to exist (shop.polymaker.com / wiki.polymaker.com) but color list not verified this pass</t>
        </is>
      </c>
    </row>
    <row r="9" ht="20" customHeight="1">
      <c r="A9" s="23" t="inlineStr">
        <is>
          <t>PA</t>
        </is>
      </c>
      <c r="B9" s="23" t="inlineStr">
        <is>
          <t>PM-PH-07</t>
        </is>
      </c>
      <c r="C9" s="23" t="inlineStr">
        <is>
          <t>PolyMide PA6</t>
        </is>
      </c>
      <c r="D9" s="23" t="inlineStr">
        <is>
          <t>Natural</t>
        </is>
      </c>
      <c r="E9" s="38" t="inlineStr"/>
      <c r="F9" s="39" t="inlineStr">
        <is>
          <t>#999999</t>
        </is>
      </c>
      <c r="G9" s="16" t="inlineStr">
        <is>
          <t>1.75mm</t>
        </is>
      </c>
      <c r="H9" s="16" t="inlineStr">
        <is>
          <t>±0.05mm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260–280°C</t>
        </is>
      </c>
      <c r="L9" s="16" t="inlineStr">
        <is>
          <t>60–90°C</t>
        </is>
      </c>
      <c r="M9" s="16" t="inlineStr">
        <is>
          <t>80°C / 24h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C</t>
        </is>
      </c>
      <c r="S9" s="23" t="inlineStr">
        <is>
          <t>Line existence confirmed via Polymaker wiki/shop; specs estimated from sibling materials, not individually TDS-confirmed</t>
        </is>
      </c>
      <c r="T9" s="23" t="inlineStr">
        <is>
          <t>PLACEHOLDER — line confirmed to exist (shop.polymaker.com / wiki.polymaker.com) but color list not verified this pass</t>
        </is>
      </c>
    </row>
    <row r="10" ht="20" customHeight="1">
      <c r="A10" s="26" t="inlineStr">
        <is>
          <t>PA-CF</t>
        </is>
      </c>
      <c r="B10" s="26" t="inlineStr">
        <is>
          <t>PM-PH-08</t>
        </is>
      </c>
      <c r="C10" s="26" t="inlineStr">
        <is>
          <t>PolyMide PA6-CF</t>
        </is>
      </c>
      <c r="D10" s="26" t="inlineStr">
        <is>
          <t>Black</t>
        </is>
      </c>
      <c r="E10" s="36" t="inlineStr"/>
      <c r="F10" s="37" t="inlineStr">
        <is>
          <t>#0D0D0D</t>
        </is>
      </c>
      <c r="G10" s="29" t="inlineStr">
        <is>
          <t>1.75mm</t>
        </is>
      </c>
      <c r="H10" s="29" t="inlineStr">
        <is>
          <t>±0.05mm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260–280°C</t>
        </is>
      </c>
      <c r="L10" s="29" t="inlineStr">
        <is>
          <t>60–90°C</t>
        </is>
      </c>
      <c r="M10" s="29" t="inlineStr">
        <is>
          <t>80°C / 24h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C</t>
        </is>
      </c>
      <c r="S10" s="26" t="inlineStr">
        <is>
          <t>Line existence confirmed via Polymaker wiki/shop; specs estimated from sibling materials, not individually TDS-confirmed</t>
        </is>
      </c>
      <c r="T10" s="26" t="inlineStr">
        <is>
          <t>PLACEHOLDER — line confirmed to exist (shop.polymaker.com / wiki.polymaker.com) but color list not verified this pass</t>
        </is>
      </c>
    </row>
    <row r="11" ht="20" customHeight="1">
      <c r="A11" s="23" t="inlineStr">
        <is>
          <t>PC</t>
        </is>
      </c>
      <c r="B11" s="23" t="inlineStr">
        <is>
          <t>PM-PH-06</t>
        </is>
      </c>
      <c r="C11" s="23" t="inlineStr">
        <is>
          <t>PolyMax PC</t>
        </is>
      </c>
      <c r="D11" s="23" t="inlineStr">
        <is>
          <t>Black</t>
        </is>
      </c>
      <c r="E11" s="36" t="inlineStr"/>
      <c r="F11" s="37" t="inlineStr">
        <is>
          <t>#0D0D0D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260–280°C</t>
        </is>
      </c>
      <c r="L11" s="16" t="inlineStr">
        <is>
          <t>100–120°C</t>
        </is>
      </c>
      <c r="M11" s="16" t="inlineStr">
        <is>
          <t>80°C / 8h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C</t>
        </is>
      </c>
      <c r="S11" s="23" t="inlineStr">
        <is>
          <t>Line existence confirmed via Polymaker wiki/shop; specs estimated from sibling materials, not individually TDS-confirmed</t>
        </is>
      </c>
      <c r="T11" s="23" t="inlineStr">
        <is>
          <t>PLACEHOLDER — line confirmed to exist (shop.polymaker.com / wiki.polymaker.com) but color list not verified this pass</t>
        </is>
      </c>
    </row>
    <row r="12" ht="20" customHeight="1">
      <c r="A12" s="26" t="inlineStr">
        <is>
          <t>PETG</t>
        </is>
      </c>
      <c r="B12" s="26" t="inlineStr">
        <is>
          <t>PM-PETG-BLA</t>
        </is>
      </c>
      <c r="C12" s="26" t="inlineStr">
        <is>
          <t>PolyLite PETG</t>
        </is>
      </c>
      <c r="D12" s="26" t="inlineStr">
        <is>
          <t>Black</t>
        </is>
      </c>
      <c r="E12" s="40" t="inlineStr"/>
      <c r="F12" s="37" t="inlineStr">
        <is>
          <t>#070908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230–240°C</t>
        </is>
      </c>
      <c r="L12" s="29" t="inlineStr">
        <is>
          <t>70–80°C</t>
        </is>
      </c>
      <c r="M12" s="29" t="inlineStr">
        <is>
          <t>65°C / 6h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B</t>
        </is>
      </c>
      <c r="S12" s="26" t="inlineStr">
        <is>
          <t>Existing catalog entries — not re-verified this deep-dive pass</t>
        </is>
      </c>
      <c r="T12" s="26" t="inlineStr">
        <is>
          <t>Hex confirmed via official Polymaker shop.polymaker.com product page, 2026-07-22</t>
        </is>
      </c>
    </row>
    <row r="13" ht="20" customHeight="1">
      <c r="A13" s="23" t="inlineStr">
        <is>
          <t>PETG</t>
        </is>
      </c>
      <c r="B13" s="23" t="inlineStr">
        <is>
          <t>PM-PETG-BLU</t>
        </is>
      </c>
      <c r="C13" s="23" t="inlineStr">
        <is>
          <t>PolyLite PETG</t>
        </is>
      </c>
      <c r="D13" s="23" t="inlineStr">
        <is>
          <t>Blue</t>
        </is>
      </c>
      <c r="E13" s="41" t="inlineStr"/>
      <c r="F13" s="42" t="inlineStr">
        <is>
          <t>#1B3B99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230–240°C</t>
        </is>
      </c>
      <c r="L13" s="16" t="inlineStr">
        <is>
          <t>70–80°C</t>
        </is>
      </c>
      <c r="M13" s="16" t="inlineStr">
        <is>
          <t>65°C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B</t>
        </is>
      </c>
      <c r="S13" s="23" t="inlineStr">
        <is>
          <t>Existing catalog entries — not re-verified this deep-dive pass</t>
        </is>
      </c>
      <c r="T13" s="23" t="inlineStr">
        <is>
          <t>Hex confirmed via official Polymaker shop.polymaker.com product page, 2026-07-22</t>
        </is>
      </c>
    </row>
    <row r="14" ht="20" customHeight="1">
      <c r="A14" s="26" t="inlineStr">
        <is>
          <t>PETG</t>
        </is>
      </c>
      <c r="B14" s="26" t="inlineStr">
        <is>
          <t>PM-PETG-GRN</t>
        </is>
      </c>
      <c r="C14" s="26" t="inlineStr">
        <is>
          <t>PolyLite PETG</t>
        </is>
      </c>
      <c r="D14" s="26" t="inlineStr">
        <is>
          <t>Green</t>
        </is>
      </c>
      <c r="E14" s="43" t="inlineStr"/>
      <c r="F14" s="44" t="inlineStr">
        <is>
          <t>#38B837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230–240°C</t>
        </is>
      </c>
      <c r="L14" s="29" t="inlineStr">
        <is>
          <t>70–80°C</t>
        </is>
      </c>
      <c r="M14" s="29" t="inlineStr">
        <is>
          <t>65°C / 6h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B</t>
        </is>
      </c>
      <c r="S14" s="26" t="inlineStr">
        <is>
          <t>Existing catalog entries — not re-verified this deep-dive pass</t>
        </is>
      </c>
      <c r="T14" s="26" t="inlineStr">
        <is>
          <t>Hex confirmed via official Polymaker shop.polymaker.com product page, 2026-07-22</t>
        </is>
      </c>
    </row>
    <row r="15" ht="20" customHeight="1">
      <c r="A15" s="23" t="inlineStr">
        <is>
          <t>PETG</t>
        </is>
      </c>
      <c r="B15" s="23" t="inlineStr">
        <is>
          <t>PM-PETG-GRE</t>
        </is>
      </c>
      <c r="C15" s="23" t="inlineStr">
        <is>
          <t>PolyLite PETG</t>
        </is>
      </c>
      <c r="D15" s="23" t="inlineStr">
        <is>
          <t>Grey</t>
        </is>
      </c>
      <c r="E15" s="45" t="inlineStr"/>
      <c r="F15" s="46" t="inlineStr">
        <is>
          <t>#A7AEB2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230–240°C</t>
        </is>
      </c>
      <c r="L15" s="16" t="inlineStr">
        <is>
          <t>70–80°C</t>
        </is>
      </c>
      <c r="M15" s="16" t="inlineStr">
        <is>
          <t>65°C / 6h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B</t>
        </is>
      </c>
      <c r="S15" s="23" t="inlineStr">
        <is>
          <t>Existing catalog entries — not re-verified this deep-dive pass</t>
        </is>
      </c>
      <c r="T15" s="23" t="inlineStr">
        <is>
          <t>Hex confirmed via official Polymaker shop.polymaker.com product page, 2026-07-22</t>
        </is>
      </c>
    </row>
    <row r="16" ht="20" customHeight="1">
      <c r="A16" s="26" t="inlineStr">
        <is>
          <t>PETG</t>
        </is>
      </c>
      <c r="B16" s="26" t="inlineStr">
        <is>
          <t>PM-PETG-ORA</t>
        </is>
      </c>
      <c r="C16" s="26" t="inlineStr">
        <is>
          <t>PolyLite PETG</t>
        </is>
      </c>
      <c r="D16" s="26" t="inlineStr">
        <is>
          <t>Orange</t>
        </is>
      </c>
      <c r="E16" s="47" t="inlineStr"/>
      <c r="F16" s="48" t="inlineStr">
        <is>
          <t>#DC7C40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230–240°C</t>
        </is>
      </c>
      <c r="L16" s="29" t="inlineStr">
        <is>
          <t>70–80°C</t>
        </is>
      </c>
      <c r="M16" s="29" t="inlineStr">
        <is>
          <t>65°C / 6h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B</t>
        </is>
      </c>
      <c r="S16" s="26" t="inlineStr">
        <is>
          <t>Existing catalog entries — not re-verified this deep-dive pass</t>
        </is>
      </c>
      <c r="T16" s="26" t="inlineStr">
        <is>
          <t>Hex confirmed via official Polymaker shop.polymaker.com product page, 2026-07-22</t>
        </is>
      </c>
    </row>
    <row r="17" ht="20" customHeight="1">
      <c r="A17" s="23" t="inlineStr">
        <is>
          <t>PETG</t>
        </is>
      </c>
      <c r="B17" s="23" t="inlineStr">
        <is>
          <t>PM-PETG-RED</t>
        </is>
      </c>
      <c r="C17" s="23" t="inlineStr">
        <is>
          <t>PolyLite PETG</t>
        </is>
      </c>
      <c r="D17" s="23" t="inlineStr">
        <is>
          <t>Red</t>
        </is>
      </c>
      <c r="E17" s="49" t="inlineStr"/>
      <c r="F17" s="50" t="inlineStr">
        <is>
          <t>#C23320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230–240°C</t>
        </is>
      </c>
      <c r="L17" s="16" t="inlineStr">
        <is>
          <t>70–80°C</t>
        </is>
      </c>
      <c r="M17" s="16" t="inlineStr">
        <is>
          <t>65°C / 6h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B</t>
        </is>
      </c>
      <c r="S17" s="23" t="inlineStr">
        <is>
          <t>Existing catalog entries — not re-verified this deep-dive pass</t>
        </is>
      </c>
      <c r="T17" s="23" t="inlineStr">
        <is>
          <t>Hex confirmed via official Polymaker shop.polymaker.com product page, 2026-07-22</t>
        </is>
      </c>
    </row>
    <row r="18" ht="20" customHeight="1">
      <c r="A18" s="26" t="inlineStr">
        <is>
          <t>PETG</t>
        </is>
      </c>
      <c r="B18" s="26" t="inlineStr">
        <is>
          <t>PM-PETG-TRA</t>
        </is>
      </c>
      <c r="C18" s="26" t="inlineStr">
        <is>
          <t>PolyLite PETG</t>
        </is>
      </c>
      <c r="D18" s="26" t="inlineStr">
        <is>
          <t>Transparent</t>
        </is>
      </c>
      <c r="E18" s="38" t="inlineStr"/>
      <c r="F18" s="39" t="inlineStr">
        <is>
          <t>#999999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230–240°C</t>
        </is>
      </c>
      <c r="L18" s="29" t="inlineStr">
        <is>
          <t>70–80°C</t>
        </is>
      </c>
      <c r="M18" s="29" t="inlineStr">
        <is>
          <t>65°C / 6h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B</t>
        </is>
      </c>
      <c r="S18" s="26" t="inlineStr">
        <is>
          <t>Existing catalog entries — not re-verified this deep-dive pass</t>
        </is>
      </c>
      <c r="T18" s="26" t="inlineStr">
        <is>
          <t>Carried forward unverified</t>
        </is>
      </c>
    </row>
    <row r="19" ht="20" customHeight="1">
      <c r="A19" s="23" t="inlineStr">
        <is>
          <t>PETG</t>
        </is>
      </c>
      <c r="B19" s="23" t="inlineStr">
        <is>
          <t>PM-PETG-WHI</t>
        </is>
      </c>
      <c r="C19" s="23" t="inlineStr">
        <is>
          <t>PolyLite PETG</t>
        </is>
      </c>
      <c r="D19" s="23" t="inlineStr">
        <is>
          <t>White</t>
        </is>
      </c>
      <c r="E19" s="51" t="inlineStr"/>
      <c r="F19" s="52" t="inlineStr">
        <is>
          <t>#F8FAF8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230–240°C</t>
        </is>
      </c>
      <c r="L19" s="16" t="inlineStr">
        <is>
          <t>70–80°C</t>
        </is>
      </c>
      <c r="M19" s="16" t="inlineStr">
        <is>
          <t>65°C / 6h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B</t>
        </is>
      </c>
      <c r="S19" s="23" t="inlineStr">
        <is>
          <t>Existing catalog entries — not re-verified this deep-dive pass</t>
        </is>
      </c>
      <c r="T19" s="23" t="inlineStr">
        <is>
          <t>Hex confirmed via official Polymaker shop.polymaker.com product page, 2026-07-22</t>
        </is>
      </c>
    </row>
    <row r="20" ht="20" customHeight="1">
      <c r="A20" s="26" t="inlineStr">
        <is>
          <t>PETG</t>
        </is>
      </c>
      <c r="B20" s="26" t="inlineStr">
        <is>
          <t>PM-PETG-YEL</t>
        </is>
      </c>
      <c r="C20" s="26" t="inlineStr">
        <is>
          <t>PolyLite PETG</t>
        </is>
      </c>
      <c r="D20" s="26" t="inlineStr">
        <is>
          <t>Yellow</t>
        </is>
      </c>
      <c r="E20" s="53" t="inlineStr"/>
      <c r="F20" s="54" t="inlineStr">
        <is>
          <t>#FBE95C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230–240°C</t>
        </is>
      </c>
      <c r="L20" s="29" t="inlineStr">
        <is>
          <t>70–80°C</t>
        </is>
      </c>
      <c r="M20" s="29" t="inlineStr">
        <is>
          <t>65°C / 6h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B</t>
        </is>
      </c>
      <c r="S20" s="26" t="inlineStr">
        <is>
          <t>Existing catalog entries — not re-verified this deep-dive pass</t>
        </is>
      </c>
      <c r="T20" s="26" t="inlineStr">
        <is>
          <t>Hex confirmed via official Polymaker shop.polymaker.com product page, 2026-07-22</t>
        </is>
      </c>
    </row>
    <row r="21" ht="20" customHeight="1">
      <c r="A21" s="23" t="inlineStr">
        <is>
          <t>PLA</t>
        </is>
      </c>
      <c r="B21" s="23" t="inlineStr">
        <is>
          <t>PM-PLA-01</t>
        </is>
      </c>
      <c r="C21" s="23" t="inlineStr">
        <is>
          <t>PolyLite PLA</t>
        </is>
      </c>
      <c r="D21" s="23" t="inlineStr">
        <is>
          <t>Aqua Blue</t>
        </is>
      </c>
      <c r="E21" s="55" t="inlineStr"/>
      <c r="F21" s="56" t="inlineStr">
        <is>
          <t>#5EBDDB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190–230°C</t>
        </is>
      </c>
      <c r="L21" s="16" t="inlineStr">
        <is>
          <t>25–60°C</t>
        </is>
      </c>
      <c r="M21" s="16" t="inlineStr">
        <is>
          <t>55°C / 6h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B</t>
        </is>
      </c>
      <c r="S21" s="23" t="inlineStr">
        <is>
          <t>Existing catalog entries; official color range confirmed to be ~29-32 colors (shop.polymaker.com), so this line was already close to complete — not individually re-verified this pass</t>
        </is>
      </c>
      <c r="T21" s="23" t="inlineStr">
        <is>
          <t>Hex confirmed via official Polymaker shop.polymaker.com product page, 2026-07-22</t>
        </is>
      </c>
    </row>
    <row r="22" ht="20" customHeight="1">
      <c r="A22" s="26" t="inlineStr">
        <is>
          <t>PLA</t>
        </is>
      </c>
      <c r="B22" s="26" t="inlineStr">
        <is>
          <t>PM-PLA-02</t>
        </is>
      </c>
      <c r="C22" s="26" t="inlineStr">
        <is>
          <t>PolyLite PLA</t>
        </is>
      </c>
      <c r="D22" s="26" t="inlineStr">
        <is>
          <t>Azure Blue</t>
        </is>
      </c>
      <c r="E22" s="57" t="inlineStr"/>
      <c r="F22" s="58" t="inlineStr">
        <is>
          <t>#0061D5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190–230°C</t>
        </is>
      </c>
      <c r="L22" s="29" t="inlineStr">
        <is>
          <t>25–60°C</t>
        </is>
      </c>
      <c r="M22" s="29" t="inlineStr">
        <is>
          <t>55°C / 6h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B</t>
        </is>
      </c>
      <c r="S22" s="26" t="inlineStr">
        <is>
          <t>Existing catalog entries; official color range confirmed to be ~29-32 colors (shop.polymaker.com), so this line was already close to complete — not individually re-verified this pass</t>
        </is>
      </c>
      <c r="T22" s="26" t="inlineStr">
        <is>
          <t>Hex confirmed via official Polymaker shop.polymaker.com product page, 2026-07-22</t>
        </is>
      </c>
    </row>
    <row r="23" ht="20" customHeight="1">
      <c r="A23" s="23" t="inlineStr">
        <is>
          <t>PLA</t>
        </is>
      </c>
      <c r="B23" s="23" t="inlineStr">
        <is>
          <t>PM-PLA-03</t>
        </is>
      </c>
      <c r="C23" s="23" t="inlineStr">
        <is>
          <t>PolyLite PLA</t>
        </is>
      </c>
      <c r="D23" s="23" t="inlineStr">
        <is>
          <t>Beige</t>
        </is>
      </c>
      <c r="E23" s="59" t="inlineStr"/>
      <c r="F23" s="60" t="inlineStr">
        <is>
          <t>#C2AB72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190–230°C</t>
        </is>
      </c>
      <c r="L23" s="16" t="inlineStr">
        <is>
          <t>25–60°C</t>
        </is>
      </c>
      <c r="M23" s="16" t="inlineStr">
        <is>
          <t>55°C / 6h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B</t>
        </is>
      </c>
      <c r="S23" s="23" t="inlineStr">
        <is>
          <t>Existing catalog entries; official color range confirmed to be ~29-32 colors (shop.polymaker.com), so this line was already close to complete — not individually re-verified this pass</t>
        </is>
      </c>
      <c r="T23" s="23" t="inlineStr">
        <is>
          <t>Hex confirmed via official Polymaker shop.polymaker.com product page, 2026-07-22</t>
        </is>
      </c>
    </row>
    <row r="24" ht="20" customHeight="1">
      <c r="A24" s="26" t="inlineStr">
        <is>
          <t>PLA</t>
        </is>
      </c>
      <c r="B24" s="26" t="inlineStr">
        <is>
          <t>PM-PLA-04</t>
        </is>
      </c>
      <c r="C24" s="26" t="inlineStr">
        <is>
          <t>PolyLite PLA</t>
        </is>
      </c>
      <c r="D24" s="26" t="inlineStr">
        <is>
          <t>Black</t>
        </is>
      </c>
      <c r="E24" s="61" t="inlineStr"/>
      <c r="F24" s="62" t="inlineStr">
        <is>
          <t>#030305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190–230°C</t>
        </is>
      </c>
      <c r="L24" s="29" t="inlineStr">
        <is>
          <t>25–60°C</t>
        </is>
      </c>
      <c r="M24" s="29" t="inlineStr">
        <is>
          <t>55°C / 6h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B</t>
        </is>
      </c>
      <c r="S24" s="26" t="inlineStr">
        <is>
          <t>Existing catalog entries; official color range confirmed to be ~29-32 colors (shop.polymaker.com), so this line was already close to complete — not individually re-verified this pass</t>
        </is>
      </c>
      <c r="T24" s="26" t="inlineStr">
        <is>
          <t>Hex confirmed via official Polymaker shop.polymaker.com product page, 2026-07-22</t>
        </is>
      </c>
    </row>
    <row r="25" ht="20" customHeight="1">
      <c r="A25" s="23" t="inlineStr">
        <is>
          <t>PLA</t>
        </is>
      </c>
      <c r="B25" s="23" t="inlineStr">
        <is>
          <t>PM-PH-01</t>
        </is>
      </c>
      <c r="C25" s="23" t="inlineStr">
        <is>
          <t>PolyMax PLA</t>
        </is>
      </c>
      <c r="D25" s="23" t="inlineStr">
        <is>
          <t>Black</t>
        </is>
      </c>
      <c r="E25" s="36" t="inlineStr"/>
      <c r="F25" s="37" t="inlineStr">
        <is>
          <t>#0D0D0D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195–230°C</t>
        </is>
      </c>
      <c r="L25" s="16" t="inlineStr">
        <is>
          <t>25–60°C</t>
        </is>
      </c>
      <c r="M25" s="16" t="inlineStr">
        <is>
          <t>55°C / 6h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C</t>
        </is>
      </c>
      <c r="S25" s="23" t="inlineStr">
        <is>
          <t>Line existence confirmed via Polymaker wiki/shop; specs estimated from sibling materials, not individually TDS-confirmed</t>
        </is>
      </c>
      <c r="T25" s="23" t="inlineStr">
        <is>
          <t>PLACEHOLDER — line confirmed to exist (shop.polymaker.com / wiki.polymaker.com) but color list not verified this pass</t>
        </is>
      </c>
    </row>
    <row r="26" ht="20" customHeight="1">
      <c r="A26" s="26" t="inlineStr">
        <is>
          <t>PLA</t>
        </is>
      </c>
      <c r="B26" s="26" t="inlineStr">
        <is>
          <t>PM-PH-02</t>
        </is>
      </c>
      <c r="C26" s="26" t="inlineStr">
        <is>
          <t>PolyLite PLA Pro</t>
        </is>
      </c>
      <c r="D26" s="26" t="inlineStr">
        <is>
          <t>Black</t>
        </is>
      </c>
      <c r="E26" s="36" t="inlineStr"/>
      <c r="F26" s="37" t="inlineStr">
        <is>
          <t>#0D0D0D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190–220°C</t>
        </is>
      </c>
      <c r="L26" s="29" t="inlineStr">
        <is>
          <t>30–60°C</t>
        </is>
      </c>
      <c r="M26" s="29" t="inlineStr">
        <is>
          <t>55°C / 6h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C</t>
        </is>
      </c>
      <c r="S26" s="26" t="inlineStr">
        <is>
          <t>Line existence confirmed via Polymaker wiki/shop; specs estimated from sibling materials, not individually TDS-confirmed</t>
        </is>
      </c>
      <c r="T26" s="26" t="inlineStr">
        <is>
          <t>PLACEHOLDER — line confirmed to exist (shop.polymaker.com / wiki.polymaker.com) but color list not verified this pass</t>
        </is>
      </c>
    </row>
    <row r="27" ht="20" customHeight="1">
      <c r="A27" s="23" t="inlineStr">
        <is>
          <t>PLA</t>
        </is>
      </c>
      <c r="B27" s="23" t="inlineStr">
        <is>
          <t>PM-PLA-05</t>
        </is>
      </c>
      <c r="C27" s="23" t="inlineStr">
        <is>
          <t>PolyLite PLA</t>
        </is>
      </c>
      <c r="D27" s="23" t="inlineStr">
        <is>
          <t>Blue</t>
        </is>
      </c>
      <c r="E27" s="63" t="inlineStr"/>
      <c r="F27" s="28" t="inlineStr">
        <is>
          <t>#013178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190–230°C</t>
        </is>
      </c>
      <c r="L27" s="16" t="inlineStr">
        <is>
          <t>25–60°C</t>
        </is>
      </c>
      <c r="M27" s="16" t="inlineStr">
        <is>
          <t>55°C / 6h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B</t>
        </is>
      </c>
      <c r="S27" s="23" t="inlineStr">
        <is>
          <t>Existing catalog entries; official color range confirmed to be ~29-32 colors (shop.polymaker.com), so this line was already close to complete — not individually re-verified this pass</t>
        </is>
      </c>
      <c r="T27" s="23" t="inlineStr">
        <is>
          <t>Hex confirmed via official Polymaker shop.polymaker.com product page, 2026-07-22</t>
        </is>
      </c>
    </row>
    <row r="28" ht="20" customHeight="1">
      <c r="A28" s="26" t="inlineStr">
        <is>
          <t>PLA</t>
        </is>
      </c>
      <c r="B28" s="26" t="inlineStr">
        <is>
          <t>PM-PLA-06</t>
        </is>
      </c>
      <c r="C28" s="26" t="inlineStr">
        <is>
          <t>PolyLite PLA</t>
        </is>
      </c>
      <c r="D28" s="26" t="inlineStr">
        <is>
          <t>Brown</t>
        </is>
      </c>
      <c r="E28" s="64" t="inlineStr"/>
      <c r="F28" s="65" t="inlineStr">
        <is>
          <t>#4B2A17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190–230°C</t>
        </is>
      </c>
      <c r="L28" s="29" t="inlineStr">
        <is>
          <t>25–60°C</t>
        </is>
      </c>
      <c r="M28" s="29" t="inlineStr">
        <is>
          <t>55°C / 6h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B</t>
        </is>
      </c>
      <c r="S28" s="26" t="inlineStr">
        <is>
          <t>Existing catalog entries; official color range confirmed to be ~29-32 colors (shop.polymaker.com), so this line was already close to complete — not individually re-verified this pass</t>
        </is>
      </c>
      <c r="T28" s="26" t="inlineStr">
        <is>
          <t>Hex confirmed via official Polymaker shop.polymaker.com product page, 2026-07-22</t>
        </is>
      </c>
    </row>
    <row r="29" ht="20" customHeight="1">
      <c r="A29" s="23" t="inlineStr">
        <is>
          <t>PLA</t>
        </is>
      </c>
      <c r="B29" s="23" t="inlineStr">
        <is>
          <t>PM-PLA-07</t>
        </is>
      </c>
      <c r="C29" s="23" t="inlineStr">
        <is>
          <t>PolyLite PLA</t>
        </is>
      </c>
      <c r="D29" s="23" t="inlineStr">
        <is>
          <t>Cold White</t>
        </is>
      </c>
      <c r="E29" s="66" t="inlineStr"/>
      <c r="F29" s="67" t="inlineStr">
        <is>
          <t>#EAECF5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190–230°C</t>
        </is>
      </c>
      <c r="L29" s="16" t="inlineStr">
        <is>
          <t>25–60°C</t>
        </is>
      </c>
      <c r="M29" s="16" t="inlineStr">
        <is>
          <t>55°C / 6h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B</t>
        </is>
      </c>
      <c r="S29" s="23" t="inlineStr">
        <is>
          <t>Existing catalog entries; official color range confirmed to be ~29-32 colors (shop.polymaker.com), so this line was already close to complete — not individually re-verified this pass</t>
        </is>
      </c>
      <c r="T29" s="23" t="inlineStr">
        <is>
          <t>Hex confirmed via official Polymaker shop.polymaker.com product page, 2026-07-22</t>
        </is>
      </c>
    </row>
    <row r="30" ht="20" customHeight="1">
      <c r="A30" s="26" t="inlineStr">
        <is>
          <t>PLA</t>
        </is>
      </c>
      <c r="B30" s="26" t="inlineStr">
        <is>
          <t>PM-PLA-08</t>
        </is>
      </c>
      <c r="C30" s="26" t="inlineStr">
        <is>
          <t>PolyLite PLA</t>
        </is>
      </c>
      <c r="D30" s="26" t="inlineStr">
        <is>
          <t>Cream</t>
        </is>
      </c>
      <c r="E30" s="68" t="inlineStr"/>
      <c r="F30" s="69" t="inlineStr">
        <is>
          <t>#EED1A8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190–230°C</t>
        </is>
      </c>
      <c r="L30" s="29" t="inlineStr">
        <is>
          <t>25–60°C</t>
        </is>
      </c>
      <c r="M30" s="29" t="inlineStr">
        <is>
          <t>55°C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B</t>
        </is>
      </c>
      <c r="S30" s="26" t="inlineStr">
        <is>
          <t>Existing catalog entries; official color range confirmed to be ~29-32 colors (shop.polymaker.com), so this line was already close to complete — not individually re-verified this pass</t>
        </is>
      </c>
      <c r="T30" s="26" t="inlineStr">
        <is>
          <t>Hex confirmed via official Polymaker shop.polymaker.com product page, 2026-07-22</t>
        </is>
      </c>
    </row>
    <row r="31" ht="20" customHeight="1">
      <c r="A31" s="23" t="inlineStr">
        <is>
          <t>PLA</t>
        </is>
      </c>
      <c r="B31" s="23" t="inlineStr">
        <is>
          <t>PM-PLA-09</t>
        </is>
      </c>
      <c r="C31" s="23" t="inlineStr">
        <is>
          <t>PolyLite PLA</t>
        </is>
      </c>
      <c r="D31" s="23" t="inlineStr">
        <is>
          <t>Dark Gray Green</t>
        </is>
      </c>
      <c r="E31" s="70" t="inlineStr"/>
      <c r="F31" s="71" t="inlineStr">
        <is>
          <t>#4C5F46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190–230°C</t>
        </is>
      </c>
      <c r="L31" s="16" t="inlineStr">
        <is>
          <t>25–60°C</t>
        </is>
      </c>
      <c r="M31" s="16" t="inlineStr">
        <is>
          <t>55°C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B</t>
        </is>
      </c>
      <c r="S31" s="23" t="inlineStr">
        <is>
          <t>Existing catalog entries; official color range confirmed to be ~29-32 colors (shop.polymaker.com), so this line was already close to complete — not individually re-verified this pass</t>
        </is>
      </c>
      <c r="T31" s="23" t="inlineStr">
        <is>
          <t>Hex confirmed via official Polymaker shop.polymaker.com product page, 2026-07-22</t>
        </is>
      </c>
    </row>
    <row r="32" ht="20" customHeight="1">
      <c r="A32" s="26" t="inlineStr">
        <is>
          <t>PLA</t>
        </is>
      </c>
      <c r="B32" s="26" t="inlineStr">
        <is>
          <t>PM-PLA-10</t>
        </is>
      </c>
      <c r="C32" s="26" t="inlineStr">
        <is>
          <t>PolyLite PLA</t>
        </is>
      </c>
      <c r="D32" s="26" t="inlineStr">
        <is>
          <t>Dark Grey</t>
        </is>
      </c>
      <c r="E32" s="72" t="inlineStr"/>
      <c r="F32" s="73" t="inlineStr">
        <is>
          <t>#6E8393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190–230°C</t>
        </is>
      </c>
      <c r="L32" s="29" t="inlineStr">
        <is>
          <t>25–60°C</t>
        </is>
      </c>
      <c r="M32" s="29" t="inlineStr">
        <is>
          <t>55°C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B</t>
        </is>
      </c>
      <c r="S32" s="26" t="inlineStr">
        <is>
          <t>Existing catalog entries; official color range confirmed to be ~29-32 colors (shop.polymaker.com), so this line was already close to complete — not individually re-verified this pass</t>
        </is>
      </c>
      <c r="T32" s="26" t="inlineStr">
        <is>
          <t>Hex confirmed via official Polymaker shop.polymaker.com product page, 2026-07-22</t>
        </is>
      </c>
    </row>
    <row r="33" ht="20" customHeight="1">
      <c r="A33" s="23" t="inlineStr">
        <is>
          <t>PLA</t>
        </is>
      </c>
      <c r="B33" s="23" t="inlineStr">
        <is>
          <t>PM-PLA-11</t>
        </is>
      </c>
      <c r="C33" s="23" t="inlineStr">
        <is>
          <t>PolyLite PLA</t>
        </is>
      </c>
      <c r="D33" s="23" t="inlineStr">
        <is>
          <t>Green</t>
        </is>
      </c>
      <c r="E33" s="74" t="inlineStr"/>
      <c r="F33" s="75" t="inlineStr">
        <is>
          <t>#30A45F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190–230°C</t>
        </is>
      </c>
      <c r="L33" s="16" t="inlineStr">
        <is>
          <t>25–60°C</t>
        </is>
      </c>
      <c r="M33" s="16" t="inlineStr">
        <is>
          <t>55°C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B</t>
        </is>
      </c>
      <c r="S33" s="23" t="inlineStr">
        <is>
          <t>Existing catalog entries; official color range confirmed to be ~29-32 colors (shop.polymaker.com), so this line was already close to complete — not individually re-verified this pass</t>
        </is>
      </c>
      <c r="T33" s="23" t="inlineStr">
        <is>
          <t>Hex confirmed via official Polymaker shop.polymaker.com product page, 2026-07-22</t>
        </is>
      </c>
    </row>
    <row r="34" ht="20" customHeight="1">
      <c r="A34" s="26" t="inlineStr">
        <is>
          <t>PLA</t>
        </is>
      </c>
      <c r="B34" s="26" t="inlineStr">
        <is>
          <t>PM-PLA-12</t>
        </is>
      </c>
      <c r="C34" s="26" t="inlineStr">
        <is>
          <t>PolyLite PLA</t>
        </is>
      </c>
      <c r="D34" s="26" t="inlineStr">
        <is>
          <t>Grey</t>
        </is>
      </c>
      <c r="E34" s="76" t="inlineStr"/>
      <c r="F34" s="31" t="inlineStr">
        <is>
          <t>#8B8E96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190–230°C</t>
        </is>
      </c>
      <c r="L34" s="29" t="inlineStr">
        <is>
          <t>25–60°C</t>
        </is>
      </c>
      <c r="M34" s="29" t="inlineStr">
        <is>
          <t>55°C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B</t>
        </is>
      </c>
      <c r="S34" s="26" t="inlineStr">
        <is>
          <t>Existing catalog entries; official color range confirmed to be ~29-32 colors (shop.polymaker.com), so this line was already close to complete — not individually re-verified this pass</t>
        </is>
      </c>
      <c r="T34" s="26" t="inlineStr">
        <is>
          <t>Hex confirmed via official Polymaker shop.polymaker.com product page, 2026-07-22</t>
        </is>
      </c>
    </row>
    <row r="35" ht="20" customHeight="1">
      <c r="A35" s="23" t="inlineStr">
        <is>
          <t>PLA</t>
        </is>
      </c>
      <c r="B35" s="23" t="inlineStr">
        <is>
          <t>PM-PLA-13</t>
        </is>
      </c>
      <c r="C35" s="23" t="inlineStr">
        <is>
          <t>PolyLite PLA</t>
        </is>
      </c>
      <c r="D35" s="23" t="inlineStr">
        <is>
          <t>Jungle Green</t>
        </is>
      </c>
      <c r="E35" s="77" t="inlineStr"/>
      <c r="F35" s="78" t="inlineStr">
        <is>
          <t>#4E742D</t>
        </is>
      </c>
      <c r="G35" s="16" t="inlineStr">
        <is>
          <t>1.75mm</t>
        </is>
      </c>
      <c r="H35" s="16" t="inlineStr">
        <is>
          <t>±0.03mm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190–230°C</t>
        </is>
      </c>
      <c r="L35" s="16" t="inlineStr">
        <is>
          <t>25–60°C</t>
        </is>
      </c>
      <c r="M35" s="16" t="inlineStr">
        <is>
          <t>55°C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B</t>
        </is>
      </c>
      <c r="S35" s="23" t="inlineStr">
        <is>
          <t>Existing catalog entries; official color range confirmed to be ~29-32 colors (shop.polymaker.com), so this line was already close to complete — not individually re-verified this pass</t>
        </is>
      </c>
      <c r="T35" s="23" t="inlineStr">
        <is>
          <t>Hex confirmed via official Polymaker shop.polymaker.com product page, 2026-07-22</t>
        </is>
      </c>
    </row>
    <row r="36" ht="20" customHeight="1">
      <c r="A36" s="26" t="inlineStr">
        <is>
          <t>PLA</t>
        </is>
      </c>
      <c r="B36" s="26" t="inlineStr">
        <is>
          <t>PM-PLA-14</t>
        </is>
      </c>
      <c r="C36" s="26" t="inlineStr">
        <is>
          <t>PolyLite PLA</t>
        </is>
      </c>
      <c r="D36" s="26" t="inlineStr">
        <is>
          <t>Lemon Yellow</t>
        </is>
      </c>
      <c r="E36" s="79" t="inlineStr"/>
      <c r="F36" s="80" t="inlineStr">
        <is>
          <t>#EED230</t>
        </is>
      </c>
      <c r="G36" s="29" t="inlineStr">
        <is>
          <t>1.75mm</t>
        </is>
      </c>
      <c r="H36" s="29" t="inlineStr">
        <is>
          <t>±0.03mm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190–230°C</t>
        </is>
      </c>
      <c r="L36" s="29" t="inlineStr">
        <is>
          <t>25–60°C</t>
        </is>
      </c>
      <c r="M36" s="29" t="inlineStr">
        <is>
          <t>55°C / 6h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B</t>
        </is>
      </c>
      <c r="S36" s="26" t="inlineStr">
        <is>
          <t>Existing catalog entries; official color range confirmed to be ~29-32 colors (shop.polymaker.com), so this line was already close to complete — not individually re-verified this pass</t>
        </is>
      </c>
      <c r="T36" s="26" t="inlineStr">
        <is>
          <t>Hex confirmed via official Polymaker shop.polymaker.com product page, 2026-07-22</t>
        </is>
      </c>
    </row>
    <row r="37" ht="20" customHeight="1">
      <c r="A37" s="23" t="inlineStr">
        <is>
          <t>PLA</t>
        </is>
      </c>
      <c r="B37" s="23" t="inlineStr">
        <is>
          <t>PM-PLA-15</t>
        </is>
      </c>
      <c r="C37" s="23" t="inlineStr">
        <is>
          <t>PolyLite PLA</t>
        </is>
      </c>
      <c r="D37" s="23" t="inlineStr">
        <is>
          <t>Lime Green</t>
        </is>
      </c>
      <c r="E37" s="81" t="inlineStr"/>
      <c r="F37" s="82" t="inlineStr">
        <is>
          <t>#D5D701</t>
        </is>
      </c>
      <c r="G37" s="16" t="inlineStr">
        <is>
          <t>1.75mm</t>
        </is>
      </c>
      <c r="H37" s="16" t="inlineStr">
        <is>
          <t>±0.03mm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190–230°C</t>
        </is>
      </c>
      <c r="L37" s="16" t="inlineStr">
        <is>
          <t>25–60°C</t>
        </is>
      </c>
      <c r="M37" s="16" t="inlineStr">
        <is>
          <t>55°C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B</t>
        </is>
      </c>
      <c r="S37" s="23" t="inlineStr">
        <is>
          <t>Existing catalog entries; official color range confirmed to be ~29-32 colors (shop.polymaker.com), so this line was already close to complete — not individually re-verified this pass</t>
        </is>
      </c>
      <c r="T37" s="23" t="inlineStr">
        <is>
          <t>Hex confirmed via official Polymaker shop.polymaker.com product page, 2026-07-22</t>
        </is>
      </c>
    </row>
    <row r="38" ht="20" customHeight="1">
      <c r="A38" s="26" t="inlineStr">
        <is>
          <t>PLA</t>
        </is>
      </c>
      <c r="B38" s="26" t="inlineStr">
        <is>
          <t>PM-PLA-16</t>
        </is>
      </c>
      <c r="C38" s="26" t="inlineStr">
        <is>
          <t>PolyLite PLA</t>
        </is>
      </c>
      <c r="D38" s="26" t="inlineStr">
        <is>
          <t>Magenta</t>
        </is>
      </c>
      <c r="E38" s="83" t="inlineStr"/>
      <c r="F38" s="84" t="inlineStr">
        <is>
          <t>#F24574</t>
        </is>
      </c>
      <c r="G38" s="29" t="inlineStr">
        <is>
          <t>1.75mm</t>
        </is>
      </c>
      <c r="H38" s="29" t="inlineStr">
        <is>
          <t>±0.03mm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190–230°C</t>
        </is>
      </c>
      <c r="L38" s="29" t="inlineStr">
        <is>
          <t>25–60°C</t>
        </is>
      </c>
      <c r="M38" s="29" t="inlineStr">
        <is>
          <t>55°C / 6h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B</t>
        </is>
      </c>
      <c r="S38" s="26" t="inlineStr">
        <is>
          <t>Existing catalog entries; official color range confirmed to be ~29-32 colors (shop.polymaker.com), so this line was already close to complete — not individually re-verified this pass</t>
        </is>
      </c>
      <c r="T38" s="26" t="inlineStr">
        <is>
          <t>Hex confirmed via official Polymaker shop.polymaker.com product page, 2026-07-22</t>
        </is>
      </c>
    </row>
    <row r="39" ht="20" customHeight="1">
      <c r="A39" s="23" t="inlineStr">
        <is>
          <t>PLA</t>
        </is>
      </c>
      <c r="B39" s="23" t="inlineStr">
        <is>
          <t>PM-PLA-17</t>
        </is>
      </c>
      <c r="C39" s="23" t="inlineStr">
        <is>
          <t>PolyLite PLA</t>
        </is>
      </c>
      <c r="D39" s="23" t="inlineStr">
        <is>
          <t>Natural</t>
        </is>
      </c>
      <c r="E39" s="85" t="inlineStr"/>
      <c r="F39" s="86" t="inlineStr">
        <is>
          <t>#DFD3C3</t>
        </is>
      </c>
      <c r="G39" s="16" t="inlineStr">
        <is>
          <t>1.75mm</t>
        </is>
      </c>
      <c r="H39" s="16" t="inlineStr">
        <is>
          <t>±0.03mm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190–230°C</t>
        </is>
      </c>
      <c r="L39" s="16" t="inlineStr">
        <is>
          <t>25–60°C</t>
        </is>
      </c>
      <c r="M39" s="16" t="inlineStr">
        <is>
          <t>55°C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B</t>
        </is>
      </c>
      <c r="S39" s="23" t="inlineStr">
        <is>
          <t>Existing catalog entries; official color range confirmed to be ~29-32 colors (shop.polymaker.com), so this line was already close to complete — not individually re-verified this pass</t>
        </is>
      </c>
      <c r="T39" s="23" t="inlineStr">
        <is>
          <t>Hex confirmed via official Polymaker shop.polymaker.com product page, 2026-07-22</t>
        </is>
      </c>
    </row>
    <row r="40" ht="20" customHeight="1">
      <c r="A40" s="26" t="inlineStr">
        <is>
          <t>PLA</t>
        </is>
      </c>
      <c r="B40" s="26" t="inlineStr">
        <is>
          <t>PM-PLA-18</t>
        </is>
      </c>
      <c r="C40" s="26" t="inlineStr">
        <is>
          <t>PolyLite PLA</t>
        </is>
      </c>
      <c r="D40" s="26" t="inlineStr">
        <is>
          <t>Olive Brown</t>
        </is>
      </c>
      <c r="E40" s="87" t="inlineStr"/>
      <c r="F40" s="88" t="inlineStr">
        <is>
          <t>#A79565</t>
        </is>
      </c>
      <c r="G40" s="29" t="inlineStr">
        <is>
          <t>1.75mm</t>
        </is>
      </c>
      <c r="H40" s="29" t="inlineStr">
        <is>
          <t>±0.03mm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190–230°C</t>
        </is>
      </c>
      <c r="L40" s="29" t="inlineStr">
        <is>
          <t>25–60°C</t>
        </is>
      </c>
      <c r="M40" s="29" t="inlineStr">
        <is>
          <t>55°C / 6h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B</t>
        </is>
      </c>
      <c r="S40" s="26" t="inlineStr">
        <is>
          <t>Existing catalog entries; official color range confirmed to be ~29-32 colors (shop.polymaker.com), so this line was already close to complete — not individually re-verified this pass</t>
        </is>
      </c>
      <c r="T40" s="26" t="inlineStr">
        <is>
          <t>Hex confirmed via official Polymaker shop.polymaker.com product page, 2026-07-22</t>
        </is>
      </c>
    </row>
    <row r="41" ht="20" customHeight="1">
      <c r="A41" s="23" t="inlineStr">
        <is>
          <t>PLA</t>
        </is>
      </c>
      <c r="B41" s="23" t="inlineStr">
        <is>
          <t>PM-PLA-19</t>
        </is>
      </c>
      <c r="C41" s="23" t="inlineStr">
        <is>
          <t>PolyLite PLA</t>
        </is>
      </c>
      <c r="D41" s="23" t="inlineStr">
        <is>
          <t>Olive Green</t>
        </is>
      </c>
      <c r="E41" s="89" t="inlineStr"/>
      <c r="F41" s="90" t="inlineStr">
        <is>
          <t>#948902</t>
        </is>
      </c>
      <c r="G41" s="16" t="inlineStr">
        <is>
          <t>1.75mm</t>
        </is>
      </c>
      <c r="H41" s="16" t="inlineStr">
        <is>
          <t>±0.03mm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190–230°C</t>
        </is>
      </c>
      <c r="L41" s="16" t="inlineStr">
        <is>
          <t>25–60°C</t>
        </is>
      </c>
      <c r="M41" s="16" t="inlineStr">
        <is>
          <t>55°C / 6h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B</t>
        </is>
      </c>
      <c r="S41" s="23" t="inlineStr">
        <is>
          <t>Existing catalog entries; official color range confirmed to be ~29-32 colors (shop.polymaker.com), so this line was already close to complete — not individually re-verified this pass</t>
        </is>
      </c>
      <c r="T41" s="23" t="inlineStr">
        <is>
          <t>Hex confirmed via official Polymaker shop.polymaker.com product page, 2026-07-22</t>
        </is>
      </c>
    </row>
    <row r="42" ht="20" customHeight="1">
      <c r="A42" s="26" t="inlineStr">
        <is>
          <t>PLA</t>
        </is>
      </c>
      <c r="B42" s="26" t="inlineStr">
        <is>
          <t>PM-PLA-20</t>
        </is>
      </c>
      <c r="C42" s="26" t="inlineStr">
        <is>
          <t>PolyLite PLA</t>
        </is>
      </c>
      <c r="D42" s="26" t="inlineStr">
        <is>
          <t>Orange</t>
        </is>
      </c>
      <c r="E42" s="91" t="inlineStr"/>
      <c r="F42" s="92" t="inlineStr">
        <is>
          <t>#F36201</t>
        </is>
      </c>
      <c r="G42" s="29" t="inlineStr">
        <is>
          <t>1.75mm</t>
        </is>
      </c>
      <c r="H42" s="29" t="inlineStr">
        <is>
          <t>±0.03mm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190–230°C</t>
        </is>
      </c>
      <c r="L42" s="29" t="inlineStr">
        <is>
          <t>25–60°C</t>
        </is>
      </c>
      <c r="M42" s="29" t="inlineStr">
        <is>
          <t>55°C / 6h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B</t>
        </is>
      </c>
      <c r="S42" s="26" t="inlineStr">
        <is>
          <t>Existing catalog entries; official color range confirmed to be ~29-32 colors (shop.polymaker.com), so this line was already close to complete — not individually re-verified this pass</t>
        </is>
      </c>
      <c r="T42" s="26" t="inlineStr">
        <is>
          <t>Hex confirmed via official Polymaker shop.polymaker.com product page, 2026-07-22</t>
        </is>
      </c>
    </row>
    <row r="43" ht="20" customHeight="1">
      <c r="A43" s="23" t="inlineStr">
        <is>
          <t>PLA</t>
        </is>
      </c>
      <c r="B43" s="23" t="inlineStr">
        <is>
          <t>PM-PLA-21</t>
        </is>
      </c>
      <c r="C43" s="23" t="inlineStr">
        <is>
          <t>PolyLite PLA</t>
        </is>
      </c>
      <c r="D43" s="23" t="inlineStr">
        <is>
          <t>Pink</t>
        </is>
      </c>
      <c r="E43" s="93" t="inlineStr"/>
      <c r="F43" s="94" t="inlineStr">
        <is>
          <t>#F1A1AF</t>
        </is>
      </c>
      <c r="G43" s="16" t="inlineStr">
        <is>
          <t>1.75mm</t>
        </is>
      </c>
      <c r="H43" s="16" t="inlineStr">
        <is>
          <t>±0.03mm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190–230°C</t>
        </is>
      </c>
      <c r="L43" s="16" t="inlineStr">
        <is>
          <t>25–60°C</t>
        </is>
      </c>
      <c r="M43" s="16" t="inlineStr">
        <is>
          <t>55°C / 6h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B</t>
        </is>
      </c>
      <c r="S43" s="23" t="inlineStr">
        <is>
          <t>Existing catalog entries; official color range confirmed to be ~29-32 colors (shop.polymaker.com), so this line was already close to complete — not individually re-verified this pass</t>
        </is>
      </c>
      <c r="T43" s="23" t="inlineStr">
        <is>
          <t>Hex confirmed via official Polymaker shop.polymaker.com product page, 2026-07-22</t>
        </is>
      </c>
    </row>
    <row r="44" ht="20" customHeight="1">
      <c r="A44" s="26" t="inlineStr">
        <is>
          <t>PLA</t>
        </is>
      </c>
      <c r="B44" s="26" t="inlineStr">
        <is>
          <t>PM-PLA-22</t>
        </is>
      </c>
      <c r="C44" s="26" t="inlineStr">
        <is>
          <t>PolyLite PLA</t>
        </is>
      </c>
      <c r="D44" s="26" t="inlineStr">
        <is>
          <t>Polymaker Teal</t>
        </is>
      </c>
      <c r="E44" s="95" t="inlineStr"/>
      <c r="F44" s="96" t="inlineStr">
        <is>
          <t>#48B9C2</t>
        </is>
      </c>
      <c r="G44" s="29" t="inlineStr">
        <is>
          <t>1.75mm</t>
        </is>
      </c>
      <c r="H44" s="29" t="inlineStr">
        <is>
          <t>±0.03mm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190–230°C</t>
        </is>
      </c>
      <c r="L44" s="29" t="inlineStr">
        <is>
          <t>25–60°C</t>
        </is>
      </c>
      <c r="M44" s="29" t="inlineStr">
        <is>
          <t>55°C / 6h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B</t>
        </is>
      </c>
      <c r="S44" s="26" t="inlineStr">
        <is>
          <t>Existing catalog entries; official color range confirmed to be ~29-32 colors (shop.polymaker.com), so this line was already close to complete — not individually re-verified this pass</t>
        </is>
      </c>
      <c r="T44" s="26" t="inlineStr">
        <is>
          <t>Hex confirmed via official Polymaker shop.polymaker.com product page, 2026-07-22</t>
        </is>
      </c>
    </row>
    <row r="45" ht="20" customHeight="1">
      <c r="A45" s="23" t="inlineStr">
        <is>
          <t>PLA</t>
        </is>
      </c>
      <c r="B45" s="23" t="inlineStr">
        <is>
          <t>PM-PLA-23</t>
        </is>
      </c>
      <c r="C45" s="23" t="inlineStr">
        <is>
          <t>PolyLite PLA</t>
        </is>
      </c>
      <c r="D45" s="23" t="inlineStr">
        <is>
          <t>Purple</t>
        </is>
      </c>
      <c r="E45" s="97" t="inlineStr"/>
      <c r="F45" s="98" t="inlineStr">
        <is>
          <t>#6447A5</t>
        </is>
      </c>
      <c r="G45" s="16" t="inlineStr">
        <is>
          <t>1.75mm</t>
        </is>
      </c>
      <c r="H45" s="16" t="inlineStr">
        <is>
          <t>±0.03mm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190–230°C</t>
        </is>
      </c>
      <c r="L45" s="16" t="inlineStr">
        <is>
          <t>25–60°C</t>
        </is>
      </c>
      <c r="M45" s="16" t="inlineStr">
        <is>
          <t>55°C / 6h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B</t>
        </is>
      </c>
      <c r="S45" s="23" t="inlineStr">
        <is>
          <t>Existing catalog entries; official color range confirmed to be ~29-32 colors (shop.polymaker.com), so this line was already close to complete — not individually re-verified this pass</t>
        </is>
      </c>
      <c r="T45" s="23" t="inlineStr">
        <is>
          <t>Hex confirmed via official Polymaker shop.polymaker.com product page, 2026-07-22</t>
        </is>
      </c>
    </row>
    <row r="46" ht="20" customHeight="1">
      <c r="A46" s="26" t="inlineStr">
        <is>
          <t>PLA</t>
        </is>
      </c>
      <c r="B46" s="26" t="inlineStr">
        <is>
          <t>PM-PLA-24</t>
        </is>
      </c>
      <c r="C46" s="26" t="inlineStr">
        <is>
          <t>PolyLite PLA</t>
        </is>
      </c>
      <c r="D46" s="26" t="inlineStr">
        <is>
          <t>Red</t>
        </is>
      </c>
      <c r="E46" s="99" t="inlineStr"/>
      <c r="F46" s="100" t="inlineStr">
        <is>
          <t>#D90102</t>
        </is>
      </c>
      <c r="G46" s="29" t="inlineStr">
        <is>
          <t>1.75mm</t>
        </is>
      </c>
      <c r="H46" s="29" t="inlineStr">
        <is>
          <t>±0.03mm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190–230°C</t>
        </is>
      </c>
      <c r="L46" s="29" t="inlineStr">
        <is>
          <t>25–60°C</t>
        </is>
      </c>
      <c r="M46" s="29" t="inlineStr">
        <is>
          <t>55°C / 6h</t>
        </is>
      </c>
      <c r="N46" s="29" t="inlineStr">
        <is>
          <t>✓</t>
        </is>
      </c>
      <c r="O46" s="29" t="inlineStr">
        <is>
          <t>✓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B</t>
        </is>
      </c>
      <c r="S46" s="26" t="inlineStr">
        <is>
          <t>Existing catalog entries; official color range confirmed to be ~29-32 colors (shop.polymaker.com), so this line was already close to complete — not individually re-verified this pass</t>
        </is>
      </c>
      <c r="T46" s="26" t="inlineStr">
        <is>
          <t>Hex confirmed via official Polymaker shop.polymaker.com product page, 2026-07-22</t>
        </is>
      </c>
    </row>
    <row r="47" ht="20" customHeight="1">
      <c r="A47" s="23" t="inlineStr">
        <is>
          <t>PLA</t>
        </is>
      </c>
      <c r="B47" s="23" t="inlineStr">
        <is>
          <t>PM-PLA-25</t>
        </is>
      </c>
      <c r="C47" s="23" t="inlineStr">
        <is>
          <t>PolyLite PLA</t>
        </is>
      </c>
      <c r="D47" s="23" t="inlineStr">
        <is>
          <t>Steel Grey</t>
        </is>
      </c>
      <c r="E47" s="101" t="inlineStr"/>
      <c r="F47" s="102" t="inlineStr">
        <is>
          <t>#5D5E63</t>
        </is>
      </c>
      <c r="G47" s="16" t="inlineStr">
        <is>
          <t>1.75mm</t>
        </is>
      </c>
      <c r="H47" s="16" t="inlineStr">
        <is>
          <t>±0.03mm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190–230°C</t>
        </is>
      </c>
      <c r="L47" s="16" t="inlineStr">
        <is>
          <t>25–60°C</t>
        </is>
      </c>
      <c r="M47" s="16" t="inlineStr">
        <is>
          <t>55°C / 6h</t>
        </is>
      </c>
      <c r="N47" s="16" t="inlineStr">
        <is>
          <t>✓</t>
        </is>
      </c>
      <c r="O47" s="16" t="inlineStr">
        <is>
          <t>✓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B</t>
        </is>
      </c>
      <c r="S47" s="23" t="inlineStr">
        <is>
          <t>Existing catalog entries; official color range confirmed to be ~29-32 colors (shop.polymaker.com), so this line was already close to complete — not individually re-verified this pass</t>
        </is>
      </c>
      <c r="T47" s="23" t="inlineStr">
        <is>
          <t>Hex confirmed via official Polymaker shop.polymaker.com product page, 2026-07-22</t>
        </is>
      </c>
    </row>
    <row r="48" ht="20" customHeight="1">
      <c r="A48" s="26" t="inlineStr">
        <is>
          <t>PLA</t>
        </is>
      </c>
      <c r="B48" s="26" t="inlineStr">
        <is>
          <t>PM-PLA-26</t>
        </is>
      </c>
      <c r="C48" s="26" t="inlineStr">
        <is>
          <t>PolyLite PLA</t>
        </is>
      </c>
      <c r="D48" s="26" t="inlineStr">
        <is>
          <t>Stone Blue</t>
        </is>
      </c>
      <c r="E48" s="103" t="inlineStr"/>
      <c r="F48" s="104" t="inlineStr">
        <is>
          <t>#487BA2</t>
        </is>
      </c>
      <c r="G48" s="29" t="inlineStr">
        <is>
          <t>1.75mm</t>
        </is>
      </c>
      <c r="H48" s="29" t="inlineStr">
        <is>
          <t>±0.03mm</t>
        </is>
      </c>
      <c r="I48" s="29" t="inlineStr">
        <is>
          <t>Plastic</t>
        </is>
      </c>
      <c r="J48" s="29" t="inlineStr">
        <is>
          <t>No</t>
        </is>
      </c>
      <c r="K48" s="29" t="inlineStr">
        <is>
          <t>190–230°C</t>
        </is>
      </c>
      <c r="L48" s="29" t="inlineStr">
        <is>
          <t>25–60°C</t>
        </is>
      </c>
      <c r="M48" s="29" t="inlineStr">
        <is>
          <t>55°C / 6h</t>
        </is>
      </c>
      <c r="N48" s="29" t="inlineStr">
        <is>
          <t>✓</t>
        </is>
      </c>
      <c r="O48" s="29" t="inlineStr">
        <is>
          <t>✓</t>
        </is>
      </c>
      <c r="P48" s="29" t="inlineStr">
        <is>
          <t>✓</t>
        </is>
      </c>
      <c r="Q48" s="29" t="inlineStr">
        <is>
          <t>✓</t>
        </is>
      </c>
      <c r="R48" s="29" t="inlineStr">
        <is>
          <t>B</t>
        </is>
      </c>
      <c r="S48" s="26" t="inlineStr">
        <is>
          <t>Existing catalog entries; official color range confirmed to be ~29-32 colors (shop.polymaker.com), so this line was already close to complete — not individually re-verified this pass</t>
        </is>
      </c>
      <c r="T48" s="26" t="inlineStr">
        <is>
          <t>Hex confirmed via official Polymaker shop.polymaker.com product page, 2026-07-22</t>
        </is>
      </c>
    </row>
    <row r="49" ht="20" customHeight="1">
      <c r="A49" s="23" t="inlineStr">
        <is>
          <t>PLA</t>
        </is>
      </c>
      <c r="B49" s="23" t="inlineStr">
        <is>
          <t>PM-PLA-27</t>
        </is>
      </c>
      <c r="C49" s="23" t="inlineStr">
        <is>
          <t>PolyLite PLA</t>
        </is>
      </c>
      <c r="D49" s="23" t="inlineStr">
        <is>
          <t>White</t>
        </is>
      </c>
      <c r="E49" s="105" t="inlineStr"/>
      <c r="F49" s="106" t="inlineStr">
        <is>
          <t>#DDD7D3</t>
        </is>
      </c>
      <c r="G49" s="16" t="inlineStr">
        <is>
          <t>1.75mm</t>
        </is>
      </c>
      <c r="H49" s="16" t="inlineStr">
        <is>
          <t>±0.03mm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190–230°C</t>
        </is>
      </c>
      <c r="L49" s="16" t="inlineStr">
        <is>
          <t>25–60°C</t>
        </is>
      </c>
      <c r="M49" s="16" t="inlineStr">
        <is>
          <t>55°C / 6h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B</t>
        </is>
      </c>
      <c r="S49" s="23" t="inlineStr">
        <is>
          <t>Existing catalog entries; official color range confirmed to be ~29-32 colors (shop.polymaker.com), so this line was already close to complete — not individually re-verified this pass</t>
        </is>
      </c>
      <c r="T49" s="23" t="inlineStr">
        <is>
          <t>Hex confirmed via official Polymaker shop.polymaker.com product page, 2026-07-22</t>
        </is>
      </c>
    </row>
    <row r="50" ht="20" customHeight="1">
      <c r="A50" s="26" t="inlineStr">
        <is>
          <t>PLA</t>
        </is>
      </c>
      <c r="B50" s="26" t="inlineStr">
        <is>
          <t>PM-PLA-28</t>
        </is>
      </c>
      <c r="C50" s="26" t="inlineStr">
        <is>
          <t>PolyLite PLA</t>
        </is>
      </c>
      <c r="D50" s="26" t="inlineStr">
        <is>
          <t>Wine Red</t>
        </is>
      </c>
      <c r="E50" s="107" t="inlineStr"/>
      <c r="F50" s="108" t="inlineStr">
        <is>
          <t>#D60212</t>
        </is>
      </c>
      <c r="G50" s="29" t="inlineStr">
        <is>
          <t>1.75mm</t>
        </is>
      </c>
      <c r="H50" s="29" t="inlineStr">
        <is>
          <t>±0.03mm</t>
        </is>
      </c>
      <c r="I50" s="29" t="inlineStr">
        <is>
          <t>Plastic</t>
        </is>
      </c>
      <c r="J50" s="29" t="inlineStr">
        <is>
          <t>No</t>
        </is>
      </c>
      <c r="K50" s="29" t="inlineStr">
        <is>
          <t>190–230°C</t>
        </is>
      </c>
      <c r="L50" s="29" t="inlineStr">
        <is>
          <t>25–60°C</t>
        </is>
      </c>
      <c r="M50" s="29" t="inlineStr">
        <is>
          <t>55°C / 6h</t>
        </is>
      </c>
      <c r="N50" s="29" t="inlineStr">
        <is>
          <t>✓</t>
        </is>
      </c>
      <c r="O50" s="29" t="inlineStr">
        <is>
          <t>✓</t>
        </is>
      </c>
      <c r="P50" s="29" t="inlineStr">
        <is>
          <t>✓</t>
        </is>
      </c>
      <c r="Q50" s="29" t="inlineStr">
        <is>
          <t>✓</t>
        </is>
      </c>
      <c r="R50" s="29" t="inlineStr">
        <is>
          <t>B</t>
        </is>
      </c>
      <c r="S50" s="26" t="inlineStr">
        <is>
          <t>Existing catalog entries; official color range confirmed to be ~29-32 colors (shop.polymaker.com), so this line was already close to complete — not individually re-verified this pass</t>
        </is>
      </c>
      <c r="T50" s="26" t="inlineStr">
        <is>
          <t>Hex confirmed via official Polymaker shop.polymaker.com product page, 2026-07-22</t>
        </is>
      </c>
    </row>
    <row r="51" ht="20" customHeight="1">
      <c r="A51" s="23" t="inlineStr">
        <is>
          <t>PLA</t>
        </is>
      </c>
      <c r="B51" s="23" t="inlineStr">
        <is>
          <t>PM-PLA-29</t>
        </is>
      </c>
      <c r="C51" s="23" t="inlineStr">
        <is>
          <t>PolyLite PLA</t>
        </is>
      </c>
      <c r="D51" s="23" t="inlineStr">
        <is>
          <t>Yellow</t>
        </is>
      </c>
      <c r="E51" s="109" t="inlineStr"/>
      <c r="F51" s="110" t="inlineStr">
        <is>
          <t>#F3AA01</t>
        </is>
      </c>
      <c r="G51" s="16" t="inlineStr">
        <is>
          <t>1.75mm</t>
        </is>
      </c>
      <c r="H51" s="16" t="inlineStr">
        <is>
          <t>±0.03mm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190–230°C</t>
        </is>
      </c>
      <c r="L51" s="16" t="inlineStr">
        <is>
          <t>25–60°C</t>
        </is>
      </c>
      <c r="M51" s="16" t="inlineStr">
        <is>
          <t>55°C / 6h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B</t>
        </is>
      </c>
      <c r="S51" s="23" t="inlineStr">
        <is>
          <t>Existing catalog entries; official color range confirmed to be ~29-32 colors (shop.polymaker.com), so this line was already close to complete — not individually re-verified this pass</t>
        </is>
      </c>
      <c r="T51" s="23" t="inlineStr">
        <is>
          <t>Hex confirmed via official Polymaker shop.polymaker.com product page, 2026-07-22</t>
        </is>
      </c>
    </row>
    <row r="52" ht="20" customHeight="1">
      <c r="A52" s="26" t="inlineStr">
        <is>
          <t>PLA Matte</t>
        </is>
      </c>
      <c r="B52" s="26" t="inlineStr">
        <is>
          <t>PM-MAT-13</t>
        </is>
      </c>
      <c r="C52" s="26" t="inlineStr">
        <is>
          <t>Panchroma Matte PLA (formerly PolyTerra)</t>
        </is>
      </c>
      <c r="D52" s="26" t="inlineStr">
        <is>
          <t>Arctic Teal</t>
        </is>
      </c>
      <c r="E52" s="111" t="inlineStr"/>
      <c r="F52" s="112" t="inlineStr">
        <is>
          <t>#5AABB1</t>
        </is>
      </c>
      <c r="G52" s="29" t="inlineStr">
        <is>
          <t>1.75mm</t>
        </is>
      </c>
      <c r="H52" s="29" t="inlineStr">
        <is>
          <t>±0.03mm</t>
        </is>
      </c>
      <c r="I52" s="29" t="inlineStr">
        <is>
          <t>Plastic</t>
        </is>
      </c>
      <c r="J52" s="29" t="inlineStr">
        <is>
          <t>No</t>
        </is>
      </c>
      <c r="K52" s="29" t="inlineStr">
        <is>
          <t>190–230°C</t>
        </is>
      </c>
      <c r="L52" s="29" t="inlineStr">
        <is>
          <t>25–60°C</t>
        </is>
      </c>
      <c r="M52" s="29" t="inlineStr">
        <is>
          <t>55°C / 6h</t>
        </is>
      </c>
      <c r="N52" s="29" t="inlineStr">
        <is>
          <t>✓</t>
        </is>
      </c>
      <c r="O52" s="29" t="inlineStr">
        <is>
          <t>✓</t>
        </is>
      </c>
      <c r="P52" s="29" t="inlineStr">
        <is>
          <t>✓</t>
        </is>
      </c>
      <c r="Q52" s="29" t="inlineStr">
        <is>
          <t>✓</t>
        </is>
      </c>
      <c r="R52" s="29" t="inlineStr">
        <is>
          <t>A</t>
        </is>
      </c>
      <c r="S52" s="26" t="inlineStr">
        <is>
          <t>Manufacturer-published hex (Polymaker spec data via authorized retailer listings, confirmed earlier this conversation); official Polymaker TDS temps</t>
        </is>
      </c>
      <c r="T52" s="26" t="inlineStr">
        <is>
          <t>Hex confirmed via official Polymaker shop.polymaker.com product page, 2026-07-22</t>
        </is>
      </c>
    </row>
    <row r="53" ht="20" customHeight="1">
      <c r="A53" s="23" t="inlineStr">
        <is>
          <t>PLA Matte</t>
        </is>
      </c>
      <c r="B53" s="23" t="inlineStr">
        <is>
          <t>PM-MAT-03</t>
        </is>
      </c>
      <c r="C53" s="23" t="inlineStr">
        <is>
          <t>Panchroma Matte PLA (formerly PolyTerra)</t>
        </is>
      </c>
      <c r="D53" s="23" t="inlineStr">
        <is>
          <t>Army Beige</t>
        </is>
      </c>
      <c r="E53" s="113" t="inlineStr"/>
      <c r="F53" s="114" t="inlineStr">
        <is>
          <t>#CCA897</t>
        </is>
      </c>
      <c r="G53" s="16" t="inlineStr">
        <is>
          <t>1.75mm</t>
        </is>
      </c>
      <c r="H53" s="16" t="inlineStr">
        <is>
          <t>±0.03mm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190–230°C</t>
        </is>
      </c>
      <c r="L53" s="16" t="inlineStr">
        <is>
          <t>25–60°C</t>
        </is>
      </c>
      <c r="M53" s="16" t="inlineStr">
        <is>
          <t>55°C / 6h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A</t>
        </is>
      </c>
      <c r="S53" s="23" t="inlineStr">
        <is>
          <t>Manufacturer-published hex (Polymaker spec data via authorized retailer listings, confirmed earlier this conversation); official Polymaker TDS temps</t>
        </is>
      </c>
      <c r="T53" s="23" t="inlineStr">
        <is>
          <t>Hex confirmed via official Polymaker shop.polymaker.com product page, 2026-07-22</t>
        </is>
      </c>
    </row>
    <row r="54" ht="20" customHeight="1">
      <c r="A54" s="26" t="inlineStr">
        <is>
          <t>PLA Matte</t>
        </is>
      </c>
      <c r="B54" s="26" t="inlineStr">
        <is>
          <t>PM-MAT-04</t>
        </is>
      </c>
      <c r="C54" s="26" t="inlineStr">
        <is>
          <t>Panchroma Matte PLA (formerly PolyTerra)</t>
        </is>
      </c>
      <c r="D54" s="26" t="inlineStr">
        <is>
          <t>Army Brown</t>
        </is>
      </c>
      <c r="E54" s="115" t="inlineStr"/>
      <c r="F54" s="116" t="inlineStr">
        <is>
          <t>#724E3D</t>
        </is>
      </c>
      <c r="G54" s="29" t="inlineStr">
        <is>
          <t>1.75mm</t>
        </is>
      </c>
      <c r="H54" s="29" t="inlineStr">
        <is>
          <t>±0.03mm</t>
        </is>
      </c>
      <c r="I54" s="29" t="inlineStr">
        <is>
          <t>Plastic</t>
        </is>
      </c>
      <c r="J54" s="29" t="inlineStr">
        <is>
          <t>No</t>
        </is>
      </c>
      <c r="K54" s="29" t="inlineStr">
        <is>
          <t>190–230°C</t>
        </is>
      </c>
      <c r="L54" s="29" t="inlineStr">
        <is>
          <t>25–60°C</t>
        </is>
      </c>
      <c r="M54" s="29" t="inlineStr">
        <is>
          <t>55°C / 6h</t>
        </is>
      </c>
      <c r="N54" s="29" t="inlineStr">
        <is>
          <t>✓</t>
        </is>
      </c>
      <c r="O54" s="29" t="inlineStr">
        <is>
          <t>✓</t>
        </is>
      </c>
      <c r="P54" s="29" t="inlineStr">
        <is>
          <t>✓</t>
        </is>
      </c>
      <c r="Q54" s="29" t="inlineStr">
        <is>
          <t>✓</t>
        </is>
      </c>
      <c r="R54" s="29" t="inlineStr">
        <is>
          <t>A</t>
        </is>
      </c>
      <c r="S54" s="26" t="inlineStr">
        <is>
          <t>Manufacturer-published hex (Polymaker spec data via authorized retailer listings, confirmed earlier this conversation); official Polymaker TDS temps</t>
        </is>
      </c>
      <c r="T54" s="26" t="inlineStr">
        <is>
          <t>Hex confirmed via official Polymaker shop.polymaker.com product page, 2026-07-22</t>
        </is>
      </c>
    </row>
    <row r="55" ht="20" customHeight="1">
      <c r="A55" s="23" t="inlineStr">
        <is>
          <t>PLA Matte</t>
        </is>
      </c>
      <c r="B55" s="23" t="inlineStr">
        <is>
          <t>PM-MAT-11</t>
        </is>
      </c>
      <c r="C55" s="23" t="inlineStr">
        <is>
          <t>Panchroma Matte PLA (formerly PolyTerra)</t>
        </is>
      </c>
      <c r="D55" s="23" t="inlineStr">
        <is>
          <t>Army Dark Green</t>
        </is>
      </c>
      <c r="E55" s="117" t="inlineStr"/>
      <c r="F55" s="118" t="inlineStr">
        <is>
          <t>#515234</t>
        </is>
      </c>
      <c r="G55" s="16" t="inlineStr">
        <is>
          <t>1.75mm</t>
        </is>
      </c>
      <c r="H55" s="16" t="inlineStr">
        <is>
          <t>±0.03mm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190–230°C</t>
        </is>
      </c>
      <c r="L55" s="16" t="inlineStr">
        <is>
          <t>25–60°C</t>
        </is>
      </c>
      <c r="M55" s="16" t="inlineStr">
        <is>
          <t>55°C / 6h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A</t>
        </is>
      </c>
      <c r="S55" s="23" t="inlineStr">
        <is>
          <t>Manufacturer-published hex (Polymaker spec data via authorized retailer listings, confirmed earlier this conversation); official Polymaker TDS temps</t>
        </is>
      </c>
      <c r="T55" s="23" t="inlineStr">
        <is>
          <t>Hex confirmed via official Polymaker shop.polymaker.com product page, 2026-07-22</t>
        </is>
      </c>
    </row>
    <row r="56" ht="20" customHeight="1">
      <c r="A56" s="26" t="inlineStr">
        <is>
          <t>PLA Matte</t>
        </is>
      </c>
      <c r="B56" s="26" t="inlineStr">
        <is>
          <t>PM-MAT-ARM</t>
        </is>
      </c>
      <c r="C56" s="26" t="inlineStr">
        <is>
          <t>Panchroma Matte PLA (formerly PolyTerra)</t>
        </is>
      </c>
      <c r="D56" s="26" t="inlineStr">
        <is>
          <t>Army Light Green</t>
        </is>
      </c>
      <c r="E56" s="119" t="inlineStr"/>
      <c r="F56" s="120" t="inlineStr">
        <is>
          <t>#A78403</t>
        </is>
      </c>
      <c r="G56" s="29" t="inlineStr">
        <is>
          <t>1.75mm</t>
        </is>
      </c>
      <c r="H56" s="29" t="inlineStr">
        <is>
          <t>±0.03mm</t>
        </is>
      </c>
      <c r="I56" s="29" t="inlineStr">
        <is>
          <t>Plastic</t>
        </is>
      </c>
      <c r="J56" s="29" t="inlineStr">
        <is>
          <t>No</t>
        </is>
      </c>
      <c r="K56" s="29" t="inlineStr">
        <is>
          <t>190–230°C</t>
        </is>
      </c>
      <c r="L56" s="29" t="inlineStr">
        <is>
          <t>25–60°C</t>
        </is>
      </c>
      <c r="M56" s="29" t="inlineStr">
        <is>
          <t>55°C / 6h</t>
        </is>
      </c>
      <c r="N56" s="29" t="inlineStr">
        <is>
          <t>✓</t>
        </is>
      </c>
      <c r="O56" s="29" t="inlineStr">
        <is>
          <t>✓</t>
        </is>
      </c>
      <c r="P56" s="29" t="inlineStr">
        <is>
          <t>✓</t>
        </is>
      </c>
      <c r="Q56" s="29" t="inlineStr">
        <is>
          <t>✓</t>
        </is>
      </c>
      <c r="R56" s="29" t="inlineStr">
        <is>
          <t>B</t>
        </is>
      </c>
      <c r="S56" s="26" t="inlineStr">
        <is>
          <t>Color name confirmed (shop.polymaker.com/pages/panchroma); hex not independently confirmed (unlike the other 21 Matte colors, which have manufacturer-published hex)</t>
        </is>
      </c>
      <c r="T56" s="26" t="inlineStr">
        <is>
          <t>Hex confirmed via official Polymaker shop.polymaker.com product page, 2026-07-22</t>
        </is>
      </c>
    </row>
    <row r="57" ht="20" customHeight="1">
      <c r="A57" s="23" t="inlineStr">
        <is>
          <t>PLA Matte</t>
        </is>
      </c>
      <c r="B57" s="23" t="inlineStr">
        <is>
          <t>PM-MAT-01</t>
        </is>
      </c>
      <c r="C57" s="23" t="inlineStr">
        <is>
          <t>Panchroma Matte PLA (formerly PolyTerra)</t>
        </is>
      </c>
      <c r="D57" s="23" t="inlineStr">
        <is>
          <t>Charcoal Black</t>
        </is>
      </c>
      <c r="E57" s="121" t="inlineStr"/>
      <c r="F57" s="25" t="inlineStr">
        <is>
          <t>#1C1C1C</t>
        </is>
      </c>
      <c r="G57" s="16" t="inlineStr">
        <is>
          <t>1.75mm</t>
        </is>
      </c>
      <c r="H57" s="16" t="inlineStr">
        <is>
          <t>±0.03mm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190–230°C</t>
        </is>
      </c>
      <c r="L57" s="16" t="inlineStr">
        <is>
          <t>25–60°C</t>
        </is>
      </c>
      <c r="M57" s="16" t="inlineStr">
        <is>
          <t>55°C / 6h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A</t>
        </is>
      </c>
      <c r="S57" s="23" t="inlineStr">
        <is>
          <t>Manufacturer-published hex (Polymaker spec data via authorized retailer listings, confirmed earlier this conversation); official Polymaker TDS temps</t>
        </is>
      </c>
      <c r="T57" s="23" t="inlineStr">
        <is>
          <t>Hex confirmed via official Polymaker shop.polymaker.com product page, 2026-07-22</t>
        </is>
      </c>
    </row>
    <row r="58" ht="20" customHeight="1">
      <c r="A58" s="26" t="inlineStr">
        <is>
          <t>PLA Matte</t>
        </is>
      </c>
      <c r="B58" s="26" t="inlineStr">
        <is>
          <t>PM-MAT-02</t>
        </is>
      </c>
      <c r="C58" s="26" t="inlineStr">
        <is>
          <t>Panchroma Matte PLA (formerly PolyTerra)</t>
        </is>
      </c>
      <c r="D58" s="26" t="inlineStr">
        <is>
          <t>Cotton White</t>
        </is>
      </c>
      <c r="E58" s="122" t="inlineStr"/>
      <c r="F58" s="123" t="inlineStr">
        <is>
          <t>#E6DDDB</t>
        </is>
      </c>
      <c r="G58" s="29" t="inlineStr">
        <is>
          <t>1.75mm</t>
        </is>
      </c>
      <c r="H58" s="29" t="inlineStr">
        <is>
          <t>±0.03mm</t>
        </is>
      </c>
      <c r="I58" s="29" t="inlineStr">
        <is>
          <t>Plastic</t>
        </is>
      </c>
      <c r="J58" s="29" t="inlineStr">
        <is>
          <t>No</t>
        </is>
      </c>
      <c r="K58" s="29" t="inlineStr">
        <is>
          <t>190–230°C</t>
        </is>
      </c>
      <c r="L58" s="29" t="inlineStr">
        <is>
          <t>25–60°C</t>
        </is>
      </c>
      <c r="M58" s="29" t="inlineStr">
        <is>
          <t>55°C / 6h</t>
        </is>
      </c>
      <c r="N58" s="29" t="inlineStr">
        <is>
          <t>✓</t>
        </is>
      </c>
      <c r="O58" s="29" t="inlineStr">
        <is>
          <t>✓</t>
        </is>
      </c>
      <c r="P58" s="29" t="inlineStr">
        <is>
          <t>✓</t>
        </is>
      </c>
      <c r="Q58" s="29" t="inlineStr">
        <is>
          <t>✓</t>
        </is>
      </c>
      <c r="R58" s="29" t="inlineStr">
        <is>
          <t>A</t>
        </is>
      </c>
      <c r="S58" s="26" t="inlineStr">
        <is>
          <t>Manufacturer-published hex (Polymaker spec data via authorized retailer listings, confirmed earlier this conversation); official Polymaker TDS temps</t>
        </is>
      </c>
      <c r="T58" s="26" t="inlineStr">
        <is>
          <t>Hex confirmed via official Polymaker shop.polymaker.com product page, 2026-07-22</t>
        </is>
      </c>
    </row>
    <row r="59" ht="20" customHeight="1">
      <c r="A59" s="23" t="inlineStr">
        <is>
          <t>PLA Matte</t>
        </is>
      </c>
      <c r="B59" s="23" t="inlineStr">
        <is>
          <t>PM-MAT-05</t>
        </is>
      </c>
      <c r="C59" s="23" t="inlineStr">
        <is>
          <t>Panchroma Matte PLA (formerly PolyTerra)</t>
        </is>
      </c>
      <c r="D59" s="23" t="inlineStr">
        <is>
          <t>Earth Brown</t>
        </is>
      </c>
      <c r="E59" s="124" t="inlineStr"/>
      <c r="F59" s="125" t="inlineStr">
        <is>
          <t>#623E2A</t>
        </is>
      </c>
      <c r="G59" s="16" t="inlineStr">
        <is>
          <t>1.75mm</t>
        </is>
      </c>
      <c r="H59" s="16" t="inlineStr">
        <is>
          <t>±0.03mm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190–230°C</t>
        </is>
      </c>
      <c r="L59" s="16" t="inlineStr">
        <is>
          <t>25–60°C</t>
        </is>
      </c>
      <c r="M59" s="16" t="inlineStr">
        <is>
          <t>55°C / 6h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A</t>
        </is>
      </c>
      <c r="S59" s="23" t="inlineStr">
        <is>
          <t>Manufacturer-published hex (Polymaker spec data via authorized retailer listings, confirmed earlier this conversation); official Polymaker TDS temps</t>
        </is>
      </c>
      <c r="T59" s="23" t="inlineStr">
        <is>
          <t>Hex confirmed via official Polymaker shop.polymaker.com product page, 2026-07-22</t>
        </is>
      </c>
    </row>
    <row r="60" ht="20" customHeight="1">
      <c r="A60" s="26" t="inlineStr">
        <is>
          <t>PLA Matte</t>
        </is>
      </c>
      <c r="B60" s="26" t="inlineStr">
        <is>
          <t>PM-MAT-12</t>
        </is>
      </c>
      <c r="C60" s="26" t="inlineStr">
        <is>
          <t>Panchroma Matte PLA (formerly PolyTerra)</t>
        </is>
      </c>
      <c r="D60" s="26" t="inlineStr">
        <is>
          <t>Forest Green</t>
        </is>
      </c>
      <c r="E60" s="126" t="inlineStr"/>
      <c r="F60" s="127" t="inlineStr">
        <is>
          <t>#519F61</t>
        </is>
      </c>
      <c r="G60" s="29" t="inlineStr">
        <is>
          <t>1.75mm</t>
        </is>
      </c>
      <c r="H60" s="29" t="inlineStr">
        <is>
          <t>±0.03mm</t>
        </is>
      </c>
      <c r="I60" s="29" t="inlineStr">
        <is>
          <t>Plastic</t>
        </is>
      </c>
      <c r="J60" s="29" t="inlineStr">
        <is>
          <t>No</t>
        </is>
      </c>
      <c r="K60" s="29" t="inlineStr">
        <is>
          <t>190–230°C</t>
        </is>
      </c>
      <c r="L60" s="29" t="inlineStr">
        <is>
          <t>25–60°C</t>
        </is>
      </c>
      <c r="M60" s="29" t="inlineStr">
        <is>
          <t>55°C / 6h</t>
        </is>
      </c>
      <c r="N60" s="29" t="inlineStr">
        <is>
          <t>✓</t>
        </is>
      </c>
      <c r="O60" s="29" t="inlineStr">
        <is>
          <t>✓</t>
        </is>
      </c>
      <c r="P60" s="29" t="inlineStr">
        <is>
          <t>✓</t>
        </is>
      </c>
      <c r="Q60" s="29" t="inlineStr">
        <is>
          <t>✓</t>
        </is>
      </c>
      <c r="R60" s="29" t="inlineStr">
        <is>
          <t>A</t>
        </is>
      </c>
      <c r="S60" s="26" t="inlineStr">
        <is>
          <t>Manufacturer-published hex (Polymaker spec data via authorized retailer listings, confirmed earlier this conversation); official Polymaker TDS temps</t>
        </is>
      </c>
      <c r="T60" s="26" t="inlineStr">
        <is>
          <t>Hex confirmed via official Polymaker shop.polymaker.com product page, 2026-07-22</t>
        </is>
      </c>
    </row>
    <row r="61" ht="20" customHeight="1">
      <c r="A61" s="23" t="inlineStr">
        <is>
          <t>PLA Matte</t>
        </is>
      </c>
      <c r="B61" s="23" t="inlineStr">
        <is>
          <t>PM-MAT-15</t>
        </is>
      </c>
      <c r="C61" s="23" t="inlineStr">
        <is>
          <t>Panchroma Matte PLA (formerly PolyTerra)</t>
        </is>
      </c>
      <c r="D61" s="23" t="inlineStr">
        <is>
          <t>Fossil Grey</t>
        </is>
      </c>
      <c r="E61" s="128" t="inlineStr"/>
      <c r="F61" s="129" t="inlineStr">
        <is>
          <t>#6F727E</t>
        </is>
      </c>
      <c r="G61" s="16" t="inlineStr">
        <is>
          <t>1.75mm</t>
        </is>
      </c>
      <c r="H61" s="16" t="inlineStr">
        <is>
          <t>±0.03mm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190–230°C</t>
        </is>
      </c>
      <c r="L61" s="16" t="inlineStr">
        <is>
          <t>25–60°C</t>
        </is>
      </c>
      <c r="M61" s="16" t="inlineStr">
        <is>
          <t>55°C / 6h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A</t>
        </is>
      </c>
      <c r="S61" s="23" t="inlineStr">
        <is>
          <t>Manufacturer-published hex (Polymaker spec data via authorized retailer listings, confirmed earlier this conversation); official Polymaker TDS temps</t>
        </is>
      </c>
      <c r="T61" s="23" t="inlineStr">
        <is>
          <t>Hex confirmed via official Polymaker shop.polymaker.com product page, 2026-07-22</t>
        </is>
      </c>
    </row>
    <row r="62" ht="20" customHeight="1">
      <c r="A62" s="26" t="inlineStr">
        <is>
          <t>PLA Matte</t>
        </is>
      </c>
      <c r="B62" s="26" t="inlineStr">
        <is>
          <t>PM-MAT-16</t>
        </is>
      </c>
      <c r="C62" s="26" t="inlineStr">
        <is>
          <t>Panchroma Matte PLA (formerly PolyTerra)</t>
        </is>
      </c>
      <c r="D62" s="26" t="inlineStr">
        <is>
          <t>Lava Red</t>
        </is>
      </c>
      <c r="E62" s="130" t="inlineStr"/>
      <c r="F62" s="131" t="inlineStr">
        <is>
          <t>#DE1619</t>
        </is>
      </c>
      <c r="G62" s="29" t="inlineStr">
        <is>
          <t>1.75mm</t>
        </is>
      </c>
      <c r="H62" s="29" t="inlineStr">
        <is>
          <t>±0.03mm</t>
        </is>
      </c>
      <c r="I62" s="29" t="inlineStr">
        <is>
          <t>Plastic</t>
        </is>
      </c>
      <c r="J62" s="29" t="inlineStr">
        <is>
          <t>No</t>
        </is>
      </c>
      <c r="K62" s="29" t="inlineStr">
        <is>
          <t>190–230°C</t>
        </is>
      </c>
      <c r="L62" s="29" t="inlineStr">
        <is>
          <t>25–60°C</t>
        </is>
      </c>
      <c r="M62" s="29" t="inlineStr">
        <is>
          <t>55°C / 6h</t>
        </is>
      </c>
      <c r="N62" s="29" t="inlineStr">
        <is>
          <t>✓</t>
        </is>
      </c>
      <c r="O62" s="29" t="inlineStr">
        <is>
          <t>✓</t>
        </is>
      </c>
      <c r="P62" s="29" t="inlineStr">
        <is>
          <t>✓</t>
        </is>
      </c>
      <c r="Q62" s="29" t="inlineStr">
        <is>
          <t>✓</t>
        </is>
      </c>
      <c r="R62" s="29" t="inlineStr">
        <is>
          <t>A</t>
        </is>
      </c>
      <c r="S62" s="26" t="inlineStr">
        <is>
          <t>Manufacturer-published hex (Polymaker spec data via authorized retailer listings, confirmed earlier this conversation); official Polymaker TDS temps</t>
        </is>
      </c>
      <c r="T62" s="26" t="inlineStr">
        <is>
          <t>Hex confirmed via official Polymaker shop.polymaker.com product page, 2026-07-22</t>
        </is>
      </c>
    </row>
    <row r="63" ht="20" customHeight="1">
      <c r="A63" s="23" t="inlineStr">
        <is>
          <t>PLA Matte</t>
        </is>
      </c>
      <c r="B63" s="23" t="inlineStr">
        <is>
          <t>PM-MAT-17</t>
        </is>
      </c>
      <c r="C63" s="23" t="inlineStr">
        <is>
          <t>Panchroma Matte PLA (formerly PolyTerra)</t>
        </is>
      </c>
      <c r="D63" s="23" t="inlineStr">
        <is>
          <t>Lavender Purple</t>
        </is>
      </c>
      <c r="E63" s="132" t="inlineStr"/>
      <c r="F63" s="133" t="inlineStr">
        <is>
          <t>#8A68B5</t>
        </is>
      </c>
      <c r="G63" s="16" t="inlineStr">
        <is>
          <t>1.75mm</t>
        </is>
      </c>
      <c r="H63" s="16" t="inlineStr">
        <is>
          <t>±0.03mm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190–230°C</t>
        </is>
      </c>
      <c r="L63" s="16" t="inlineStr">
        <is>
          <t>25–60°C</t>
        </is>
      </c>
      <c r="M63" s="16" t="inlineStr">
        <is>
          <t>55°C / 6h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A</t>
        </is>
      </c>
      <c r="S63" s="23" t="inlineStr">
        <is>
          <t>Manufacturer-published hex (Polymaker spec data via authorized retailer listings, confirmed earlier this conversation); official Polymaker TDS temps</t>
        </is>
      </c>
      <c r="T63" s="23" t="inlineStr">
        <is>
          <t>Hex confirmed via official Polymaker shop.polymaker.com product page, 2026-07-22</t>
        </is>
      </c>
    </row>
    <row r="64" ht="20" customHeight="1">
      <c r="A64" s="26" t="inlineStr">
        <is>
          <t>PLA Matte</t>
        </is>
      </c>
      <c r="B64" s="26" t="inlineStr">
        <is>
          <t>PM-MAT-LIM</t>
        </is>
      </c>
      <c r="C64" s="26" t="inlineStr">
        <is>
          <t>Panchroma Matte PLA (formerly PolyTerra)</t>
        </is>
      </c>
      <c r="D64" s="26" t="inlineStr">
        <is>
          <t>Lime Green</t>
        </is>
      </c>
      <c r="E64" s="134" t="inlineStr"/>
      <c r="F64" s="135" t="inlineStr">
        <is>
          <t>#D0E740</t>
        </is>
      </c>
      <c r="G64" s="29" t="inlineStr">
        <is>
          <t>1.75mm</t>
        </is>
      </c>
      <c r="H64" s="29" t="inlineStr">
        <is>
          <t>±0.03mm</t>
        </is>
      </c>
      <c r="I64" s="29" t="inlineStr">
        <is>
          <t>Plastic</t>
        </is>
      </c>
      <c r="J64" s="29" t="inlineStr">
        <is>
          <t>No</t>
        </is>
      </c>
      <c r="K64" s="29" t="inlineStr">
        <is>
          <t>190–230°C</t>
        </is>
      </c>
      <c r="L64" s="29" t="inlineStr">
        <is>
          <t>25–60°C</t>
        </is>
      </c>
      <c r="M64" s="29" t="inlineStr">
        <is>
          <t>55°C / 6h</t>
        </is>
      </c>
      <c r="N64" s="29" t="inlineStr">
        <is>
          <t>✓</t>
        </is>
      </c>
      <c r="O64" s="29" t="inlineStr">
        <is>
          <t>✓</t>
        </is>
      </c>
      <c r="P64" s="29" t="inlineStr">
        <is>
          <t>✓</t>
        </is>
      </c>
      <c r="Q64" s="29" t="inlineStr">
        <is>
          <t>✓</t>
        </is>
      </c>
      <c r="R64" s="29" t="inlineStr">
        <is>
          <t>B</t>
        </is>
      </c>
      <c r="S64" s="26" t="inlineStr">
        <is>
          <t>Color name confirmed (shop.polymaker.com/pages/panchroma); hex not independently confirmed (unlike the other 21 Matte colors, which have manufacturer-published hex)</t>
        </is>
      </c>
      <c r="T64" s="26" t="inlineStr">
        <is>
          <t>Hex confirmed via official Polymaker shop.polymaker.com product page, 2026-07-22</t>
        </is>
      </c>
    </row>
    <row r="65" ht="20" customHeight="1">
      <c r="A65" s="23" t="inlineStr">
        <is>
          <t>PLA Matte</t>
        </is>
      </c>
      <c r="B65" s="23" t="inlineStr">
        <is>
          <t>PM-MAT-20</t>
        </is>
      </c>
      <c r="C65" s="23" t="inlineStr">
        <is>
          <t>Panchroma Matte PLA (formerly PolyTerra)</t>
        </is>
      </c>
      <c r="D65" s="23" t="inlineStr">
        <is>
          <t>Metallic Blue</t>
        </is>
      </c>
      <c r="E65" s="136" t="inlineStr"/>
      <c r="F65" s="137" t="inlineStr">
        <is>
          <t>#2C3449</t>
        </is>
      </c>
      <c r="G65" s="16" t="inlineStr">
        <is>
          <t>1.75mm</t>
        </is>
      </c>
      <c r="H65" s="16" t="inlineStr">
        <is>
          <t>±0.03mm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190–230°C</t>
        </is>
      </c>
      <c r="L65" s="16" t="inlineStr">
        <is>
          <t>25–60°C</t>
        </is>
      </c>
      <c r="M65" s="16" t="inlineStr">
        <is>
          <t>55°C / 6h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A</t>
        </is>
      </c>
      <c r="S65" s="23" t="inlineStr">
        <is>
          <t>Manufacturer-published hex (Polymaker spec data via authorized retailer listings, confirmed earlier this conversation); official Polymaker TDS temps</t>
        </is>
      </c>
      <c r="T65" s="23" t="inlineStr">
        <is>
          <t>Deep-dive follow-up 2026-07-19; expanded from 12 to 21 confirmed colors</t>
        </is>
      </c>
    </row>
    <row r="66" ht="20" customHeight="1">
      <c r="A66" s="26" t="inlineStr">
        <is>
          <t>PLA Matte</t>
        </is>
      </c>
      <c r="B66" s="26" t="inlineStr">
        <is>
          <t>PM-MAT-MUT</t>
        </is>
      </c>
      <c r="C66" s="26" t="inlineStr">
        <is>
          <t>Panchroma Matte PLA (formerly PolyTerra)</t>
        </is>
      </c>
      <c r="D66" s="26" t="inlineStr">
        <is>
          <t>Muted Green</t>
        </is>
      </c>
      <c r="E66" s="138" t="inlineStr"/>
      <c r="F66" s="139" t="inlineStr">
        <is>
          <t>#656D60</t>
        </is>
      </c>
      <c r="G66" s="29" t="inlineStr">
        <is>
          <t>1.75mm</t>
        </is>
      </c>
      <c r="H66" s="29" t="inlineStr">
        <is>
          <t>±0.03mm</t>
        </is>
      </c>
      <c r="I66" s="29" t="inlineStr">
        <is>
          <t>Plastic</t>
        </is>
      </c>
      <c r="J66" s="29" t="inlineStr">
        <is>
          <t>No</t>
        </is>
      </c>
      <c r="K66" s="29" t="inlineStr">
        <is>
          <t>190–230°C</t>
        </is>
      </c>
      <c r="L66" s="29" t="inlineStr">
        <is>
          <t>25–60°C</t>
        </is>
      </c>
      <c r="M66" s="29" t="inlineStr">
        <is>
          <t>55°C / 6h</t>
        </is>
      </c>
      <c r="N66" s="29" t="inlineStr">
        <is>
          <t>✓</t>
        </is>
      </c>
      <c r="O66" s="29" t="inlineStr">
        <is>
          <t>✓</t>
        </is>
      </c>
      <c r="P66" s="29" t="inlineStr">
        <is>
          <t>✓</t>
        </is>
      </c>
      <c r="Q66" s="29" t="inlineStr">
        <is>
          <t>✓</t>
        </is>
      </c>
      <c r="R66" s="29" t="inlineStr">
        <is>
          <t>B</t>
        </is>
      </c>
      <c r="S66" s="26" t="inlineStr">
        <is>
          <t>Color name confirmed (shop.polymaker.com/pages/panchroma); hex not independently confirmed (unlike the other 21 Matte colors, which have manufacturer-published hex)</t>
        </is>
      </c>
      <c r="T66" s="26" t="inlineStr">
        <is>
          <t>Hex confirmed via official Polymaker shop.polymaker.com product page, 2026-07-22</t>
        </is>
      </c>
    </row>
    <row r="67" ht="20" customHeight="1">
      <c r="A67" s="23" t="inlineStr">
        <is>
          <t>PLA Matte</t>
        </is>
      </c>
      <c r="B67" s="23" t="inlineStr">
        <is>
          <t>PM-MAT-06</t>
        </is>
      </c>
      <c r="C67" s="23" t="inlineStr">
        <is>
          <t>Panchroma Matte PLA (formerly PolyTerra)</t>
        </is>
      </c>
      <c r="D67" s="23" t="inlineStr">
        <is>
          <t>Muted White</t>
        </is>
      </c>
      <c r="E67" s="140" t="inlineStr"/>
      <c r="F67" s="141" t="inlineStr">
        <is>
          <t>#AFA198</t>
        </is>
      </c>
      <c r="G67" s="16" t="inlineStr">
        <is>
          <t>1.75mm</t>
        </is>
      </c>
      <c r="H67" s="16" t="inlineStr">
        <is>
          <t>±0.03mm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190–230°C</t>
        </is>
      </c>
      <c r="L67" s="16" t="inlineStr">
        <is>
          <t>25–60°C</t>
        </is>
      </c>
      <c r="M67" s="16" t="inlineStr">
        <is>
          <t>55°C / 6h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A</t>
        </is>
      </c>
      <c r="S67" s="23" t="inlineStr">
        <is>
          <t>Manufacturer-published hex (Polymaker spec data via authorized retailer listings, confirmed earlier this conversation); official Polymaker TDS temps</t>
        </is>
      </c>
      <c r="T67" s="23" t="inlineStr">
        <is>
          <t>Hex confirmed via official Polymaker shop.polymaker.com product page, 2026-07-22</t>
        </is>
      </c>
    </row>
    <row r="68" ht="20" customHeight="1">
      <c r="A68" s="26" t="inlineStr">
        <is>
          <t>PLA Matte</t>
        </is>
      </c>
      <c r="B68" s="26" t="inlineStr">
        <is>
          <t>PM-MAT-10</t>
        </is>
      </c>
      <c r="C68" s="26" t="inlineStr">
        <is>
          <t>Panchroma Matte PLA (formerly PolyTerra)</t>
        </is>
      </c>
      <c r="D68" s="26" t="inlineStr">
        <is>
          <t>Pastel Banana</t>
        </is>
      </c>
      <c r="E68" s="142" t="inlineStr"/>
      <c r="F68" s="143" t="inlineStr">
        <is>
          <t>#F5CF6F</t>
        </is>
      </c>
      <c r="G68" s="29" t="inlineStr">
        <is>
          <t>1.75mm</t>
        </is>
      </c>
      <c r="H68" s="29" t="inlineStr">
        <is>
          <t>±0.03mm</t>
        </is>
      </c>
      <c r="I68" s="29" t="inlineStr">
        <is>
          <t>Plastic</t>
        </is>
      </c>
      <c r="J68" s="29" t="inlineStr">
        <is>
          <t>No</t>
        </is>
      </c>
      <c r="K68" s="29" t="inlineStr">
        <is>
          <t>190–230°C</t>
        </is>
      </c>
      <c r="L68" s="29" t="inlineStr">
        <is>
          <t>25–60°C</t>
        </is>
      </c>
      <c r="M68" s="29" t="inlineStr">
        <is>
          <t>55°C / 6h</t>
        </is>
      </c>
      <c r="N68" s="29" t="inlineStr">
        <is>
          <t>✓</t>
        </is>
      </c>
      <c r="O68" s="29" t="inlineStr">
        <is>
          <t>✓</t>
        </is>
      </c>
      <c r="P68" s="29" t="inlineStr">
        <is>
          <t>✓</t>
        </is>
      </c>
      <c r="Q68" s="29" t="inlineStr">
        <is>
          <t>✓</t>
        </is>
      </c>
      <c r="R68" s="29" t="inlineStr">
        <is>
          <t>A</t>
        </is>
      </c>
      <c r="S68" s="26" t="inlineStr">
        <is>
          <t>Manufacturer-published hex (Polymaker spec data via authorized retailer listings, confirmed earlier this conversation); official Polymaker TDS temps</t>
        </is>
      </c>
      <c r="T68" s="26" t="inlineStr">
        <is>
          <t>Hex confirmed via official Polymaker shop.polymaker.com product page, 2026-07-22</t>
        </is>
      </c>
    </row>
    <row r="69" ht="20" customHeight="1">
      <c r="A69" s="23" t="inlineStr">
        <is>
          <t>PLA Matte</t>
        </is>
      </c>
      <c r="B69" s="23" t="inlineStr">
        <is>
          <t>PM-MAT-ICE</t>
        </is>
      </c>
      <c r="C69" s="23" t="inlineStr">
        <is>
          <t>Panchroma Matte PLA (formerly PolyTerra)</t>
        </is>
      </c>
      <c r="D69" s="23" t="inlineStr">
        <is>
          <t>Pastel Ice</t>
        </is>
      </c>
      <c r="E69" s="144" t="inlineStr"/>
      <c r="F69" s="145" t="inlineStr">
        <is>
          <t>#95C5D3</t>
        </is>
      </c>
      <c r="G69" s="16" t="inlineStr">
        <is>
          <t>1.75mm</t>
        </is>
      </c>
      <c r="H69" s="16" t="inlineStr">
        <is>
          <t>±0.03mm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190–230°C</t>
        </is>
      </c>
      <c r="L69" s="16" t="inlineStr">
        <is>
          <t>25–60°C</t>
        </is>
      </c>
      <c r="M69" s="16" t="inlineStr">
        <is>
          <t>55°C / 6h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B</t>
        </is>
      </c>
      <c r="S69" s="23" t="inlineStr">
        <is>
          <t>Color name confirmed (shop.polymaker.com/pages/panchroma); hex not independently confirmed (unlike the other 21 Matte colors, which have manufacturer-published hex)</t>
        </is>
      </c>
      <c r="T69" s="23" t="inlineStr">
        <is>
          <t>Hex confirmed via official Polymaker shop.polymaker.com product page, 2026-07-22</t>
        </is>
      </c>
    </row>
    <row r="70" ht="20" customHeight="1">
      <c r="A70" s="26" t="inlineStr">
        <is>
          <t>PLA Matte</t>
        </is>
      </c>
      <c r="B70" s="26" t="inlineStr">
        <is>
          <t>PM-MAT-MIN</t>
        </is>
      </c>
      <c r="C70" s="26" t="inlineStr">
        <is>
          <t>Panchroma Matte PLA (formerly PolyTerra)</t>
        </is>
      </c>
      <c r="D70" s="26" t="inlineStr">
        <is>
          <t>Pastel Mint</t>
        </is>
      </c>
      <c r="E70" s="146" t="inlineStr"/>
      <c r="F70" s="147" t="inlineStr">
        <is>
          <t>#BEC9A5</t>
        </is>
      </c>
      <c r="G70" s="29" t="inlineStr">
        <is>
          <t>1.75mm</t>
        </is>
      </c>
      <c r="H70" s="29" t="inlineStr">
        <is>
          <t>±0.03mm</t>
        </is>
      </c>
      <c r="I70" s="29" t="inlineStr">
        <is>
          <t>Plastic</t>
        </is>
      </c>
      <c r="J70" s="29" t="inlineStr">
        <is>
          <t>No</t>
        </is>
      </c>
      <c r="K70" s="29" t="inlineStr">
        <is>
          <t>190–230°C</t>
        </is>
      </c>
      <c r="L70" s="29" t="inlineStr">
        <is>
          <t>25–60°C</t>
        </is>
      </c>
      <c r="M70" s="29" t="inlineStr">
        <is>
          <t>55°C / 6h</t>
        </is>
      </c>
      <c r="N70" s="29" t="inlineStr">
        <is>
          <t>✓</t>
        </is>
      </c>
      <c r="O70" s="29" t="inlineStr">
        <is>
          <t>✓</t>
        </is>
      </c>
      <c r="P70" s="29" t="inlineStr">
        <is>
          <t>✓</t>
        </is>
      </c>
      <c r="Q70" s="29" t="inlineStr">
        <is>
          <t>✓</t>
        </is>
      </c>
      <c r="R70" s="29" t="inlineStr">
        <is>
          <t>B</t>
        </is>
      </c>
      <c r="S70" s="26" t="inlineStr">
        <is>
          <t>Color name confirmed (shop.polymaker.com/pages/panchroma); hex not independently confirmed (unlike the other 21 Matte colors, which have manufacturer-published hex)</t>
        </is>
      </c>
      <c r="T70" s="26" t="inlineStr">
        <is>
          <t>Hex confirmed via official Polymaker shop.polymaker.com product page, 2026-07-22</t>
        </is>
      </c>
    </row>
    <row r="71" ht="20" customHeight="1">
      <c r="A71" s="23" t="inlineStr">
        <is>
          <t>PLA Matte</t>
        </is>
      </c>
      <c r="B71" s="23" t="inlineStr">
        <is>
          <t>PM-MAT-21</t>
        </is>
      </c>
      <c r="C71" s="23" t="inlineStr">
        <is>
          <t>Panchroma Matte PLA (formerly PolyTerra)</t>
        </is>
      </c>
      <c r="D71" s="23" t="inlineStr">
        <is>
          <t>Pastel Peach</t>
        </is>
      </c>
      <c r="E71" s="148" t="inlineStr"/>
      <c r="F71" s="149" t="inlineStr">
        <is>
          <t>#F2B67A</t>
        </is>
      </c>
      <c r="G71" s="16" t="inlineStr">
        <is>
          <t>1.75mm</t>
        </is>
      </c>
      <c r="H71" s="16" t="inlineStr">
        <is>
          <t>±0.03mm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190–230°C</t>
        </is>
      </c>
      <c r="L71" s="16" t="inlineStr">
        <is>
          <t>25–60°C</t>
        </is>
      </c>
      <c r="M71" s="16" t="inlineStr">
        <is>
          <t>55°C / 6h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A</t>
        </is>
      </c>
      <c r="S71" s="23" t="inlineStr">
        <is>
          <t>Manufacturer-published hex (Polymaker spec data via authorized retailer listings, confirmed earlier this conversation); official Polymaker TDS temps</t>
        </is>
      </c>
      <c r="T71" s="23" t="inlineStr">
        <is>
          <t>Hex confirmed via official Polymaker shop.polymaker.com product page, 2026-07-22</t>
        </is>
      </c>
    </row>
    <row r="72" ht="20" customHeight="1">
      <c r="A72" s="26" t="inlineStr">
        <is>
          <t>PLA Matte</t>
        </is>
      </c>
      <c r="B72" s="26" t="inlineStr">
        <is>
          <t>PM-MAT-07</t>
        </is>
      </c>
      <c r="C72" s="26" t="inlineStr">
        <is>
          <t>Panchroma Matte PLA (formerly PolyTerra)</t>
        </is>
      </c>
      <c r="D72" s="26" t="inlineStr">
        <is>
          <t>Pastel Peanut</t>
        </is>
      </c>
      <c r="E72" s="150" t="inlineStr"/>
      <c r="F72" s="151" t="inlineStr">
        <is>
          <t>#C29572</t>
        </is>
      </c>
      <c r="G72" s="29" t="inlineStr">
        <is>
          <t>1.75mm</t>
        </is>
      </c>
      <c r="H72" s="29" t="inlineStr">
        <is>
          <t>±0.03mm</t>
        </is>
      </c>
      <c r="I72" s="29" t="inlineStr">
        <is>
          <t>Plastic</t>
        </is>
      </c>
      <c r="J72" s="29" t="inlineStr">
        <is>
          <t>No</t>
        </is>
      </c>
      <c r="K72" s="29" t="inlineStr">
        <is>
          <t>190–230°C</t>
        </is>
      </c>
      <c r="L72" s="29" t="inlineStr">
        <is>
          <t>25–60°C</t>
        </is>
      </c>
      <c r="M72" s="29" t="inlineStr">
        <is>
          <t>55°C / 6h</t>
        </is>
      </c>
      <c r="N72" s="29" t="inlineStr">
        <is>
          <t>✓</t>
        </is>
      </c>
      <c r="O72" s="29" t="inlineStr">
        <is>
          <t>✓</t>
        </is>
      </c>
      <c r="P72" s="29" t="inlineStr">
        <is>
          <t>✓</t>
        </is>
      </c>
      <c r="Q72" s="29" t="inlineStr">
        <is>
          <t>✓</t>
        </is>
      </c>
      <c r="R72" s="29" t="inlineStr">
        <is>
          <t>A</t>
        </is>
      </c>
      <c r="S72" s="26" t="inlineStr">
        <is>
          <t>Manufacturer-published hex (Polymaker spec data via authorized retailer listings, confirmed earlier this conversation); official Polymaker TDS temps</t>
        </is>
      </c>
      <c r="T72" s="26" t="inlineStr">
        <is>
          <t>Hex confirmed via official Polymaker shop.polymaker.com product page, 2026-07-22</t>
        </is>
      </c>
    </row>
    <row r="73" ht="20" customHeight="1">
      <c r="A73" s="23" t="inlineStr">
        <is>
          <t>PLA Matte</t>
        </is>
      </c>
      <c r="B73" s="23" t="inlineStr">
        <is>
          <t>PM-MAT-19</t>
        </is>
      </c>
      <c r="C73" s="23" t="inlineStr">
        <is>
          <t>Panchroma Matte PLA (formerly PolyTerra)</t>
        </is>
      </c>
      <c r="D73" s="23" t="inlineStr">
        <is>
          <t>Sakura Pink</t>
        </is>
      </c>
      <c r="E73" s="152" t="inlineStr"/>
      <c r="F73" s="153" t="inlineStr">
        <is>
          <t>#E0A8BB</t>
        </is>
      </c>
      <c r="G73" s="16" t="inlineStr">
        <is>
          <t>1.75mm</t>
        </is>
      </c>
      <c r="H73" s="16" t="inlineStr">
        <is>
          <t>±0.03mm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190–230°C</t>
        </is>
      </c>
      <c r="L73" s="16" t="inlineStr">
        <is>
          <t>25–60°C</t>
        </is>
      </c>
      <c r="M73" s="16" t="inlineStr">
        <is>
          <t>55°C / 6h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A</t>
        </is>
      </c>
      <c r="S73" s="23" t="inlineStr">
        <is>
          <t>Manufacturer-published hex (Polymaker spec data via authorized retailer listings, confirmed earlier this conversation); official Polymaker TDS temps</t>
        </is>
      </c>
      <c r="T73" s="23" t="inlineStr">
        <is>
          <t>Hex confirmed via official Polymaker shop.polymaker.com product page, 2026-07-22</t>
        </is>
      </c>
    </row>
    <row r="74" ht="20" customHeight="1">
      <c r="A74" s="26" t="inlineStr">
        <is>
          <t>PLA Matte</t>
        </is>
      </c>
      <c r="B74" s="26" t="inlineStr">
        <is>
          <t>PM-MAT-14</t>
        </is>
      </c>
      <c r="C74" s="26" t="inlineStr">
        <is>
          <t>Panchroma Matte PLA (formerly PolyTerra)</t>
        </is>
      </c>
      <c r="D74" s="26" t="inlineStr">
        <is>
          <t>Sapphire Blue</t>
        </is>
      </c>
      <c r="E74" s="154" t="inlineStr"/>
      <c r="F74" s="155" t="inlineStr">
        <is>
          <t>#005AA2</t>
        </is>
      </c>
      <c r="G74" s="29" t="inlineStr">
        <is>
          <t>1.75mm</t>
        </is>
      </c>
      <c r="H74" s="29" t="inlineStr">
        <is>
          <t>±0.03mm</t>
        </is>
      </c>
      <c r="I74" s="29" t="inlineStr">
        <is>
          <t>Plastic</t>
        </is>
      </c>
      <c r="J74" s="29" t="inlineStr">
        <is>
          <t>No</t>
        </is>
      </c>
      <c r="K74" s="29" t="inlineStr">
        <is>
          <t>190–230°C</t>
        </is>
      </c>
      <c r="L74" s="29" t="inlineStr">
        <is>
          <t>25–60°C</t>
        </is>
      </c>
      <c r="M74" s="29" t="inlineStr">
        <is>
          <t>55°C / 6h</t>
        </is>
      </c>
      <c r="N74" s="29" t="inlineStr">
        <is>
          <t>✓</t>
        </is>
      </c>
      <c r="O74" s="29" t="inlineStr">
        <is>
          <t>✓</t>
        </is>
      </c>
      <c r="P74" s="29" t="inlineStr">
        <is>
          <t>✓</t>
        </is>
      </c>
      <c r="Q74" s="29" t="inlineStr">
        <is>
          <t>✓</t>
        </is>
      </c>
      <c r="R74" s="29" t="inlineStr">
        <is>
          <t>A</t>
        </is>
      </c>
      <c r="S74" s="26" t="inlineStr">
        <is>
          <t>Manufacturer-published hex (Polymaker spec data via authorized retailer listings, confirmed earlier this conversation); official Polymaker TDS temps</t>
        </is>
      </c>
      <c r="T74" s="26" t="inlineStr">
        <is>
          <t>Hex confirmed via official Polymaker shop.polymaker.com product page, 2026-07-22</t>
        </is>
      </c>
    </row>
    <row r="75" ht="20" customHeight="1">
      <c r="A75" s="23" t="inlineStr">
        <is>
          <t>PLA Matte</t>
        </is>
      </c>
      <c r="B75" s="23" t="inlineStr">
        <is>
          <t>PM-MAT-SAV</t>
        </is>
      </c>
      <c r="C75" s="23" t="inlineStr">
        <is>
          <t>Panchroma Matte PLA (formerly PolyTerra)</t>
        </is>
      </c>
      <c r="D75" s="23" t="inlineStr">
        <is>
          <t>Savannah Yellow</t>
        </is>
      </c>
      <c r="E75" s="156" t="inlineStr"/>
      <c r="F75" s="157" t="inlineStr">
        <is>
          <t>#F0BE02</t>
        </is>
      </c>
      <c r="G75" s="16" t="inlineStr">
        <is>
          <t>1.75mm</t>
        </is>
      </c>
      <c r="H75" s="16" t="inlineStr">
        <is>
          <t>±0.03mm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190–230°C</t>
        </is>
      </c>
      <c r="L75" s="16" t="inlineStr">
        <is>
          <t>25–60°C</t>
        </is>
      </c>
      <c r="M75" s="16" t="inlineStr">
        <is>
          <t>55°C / 6h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B</t>
        </is>
      </c>
      <c r="S75" s="23" t="inlineStr">
        <is>
          <t>Color name confirmed (shop.polymaker.com/pages/panchroma); hex not independently confirmed (unlike the other 21 Matte colors, which have manufacturer-published hex)</t>
        </is>
      </c>
      <c r="T75" s="23" t="inlineStr">
        <is>
          <t>Hex confirmed via official Polymaker shop.polymaker.com product page, 2026-07-22</t>
        </is>
      </c>
    </row>
    <row r="76" ht="20" customHeight="1">
      <c r="A76" s="26" t="inlineStr">
        <is>
          <t>PLA Matte</t>
        </is>
      </c>
      <c r="B76" s="26" t="inlineStr">
        <is>
          <t>PM-MAT-09</t>
        </is>
      </c>
      <c r="C76" s="26" t="inlineStr">
        <is>
          <t>Panchroma Matte PLA (formerly PolyTerra)</t>
        </is>
      </c>
      <c r="D76" s="26" t="inlineStr">
        <is>
          <t>Sunrise Orange</t>
        </is>
      </c>
      <c r="E76" s="158" t="inlineStr"/>
      <c r="F76" s="159" t="inlineStr">
        <is>
          <t>#F78E0E</t>
        </is>
      </c>
      <c r="G76" s="29" t="inlineStr">
        <is>
          <t>1.75mm</t>
        </is>
      </c>
      <c r="H76" s="29" t="inlineStr">
        <is>
          <t>±0.03mm</t>
        </is>
      </c>
      <c r="I76" s="29" t="inlineStr">
        <is>
          <t>Plastic</t>
        </is>
      </c>
      <c r="J76" s="29" t="inlineStr">
        <is>
          <t>No</t>
        </is>
      </c>
      <c r="K76" s="29" t="inlineStr">
        <is>
          <t>190–230°C</t>
        </is>
      </c>
      <c r="L76" s="29" t="inlineStr">
        <is>
          <t>25–60°C</t>
        </is>
      </c>
      <c r="M76" s="29" t="inlineStr">
        <is>
          <t>55°C / 6h</t>
        </is>
      </c>
      <c r="N76" s="29" t="inlineStr">
        <is>
          <t>✓</t>
        </is>
      </c>
      <c r="O76" s="29" t="inlineStr">
        <is>
          <t>✓</t>
        </is>
      </c>
      <c r="P76" s="29" t="inlineStr">
        <is>
          <t>✓</t>
        </is>
      </c>
      <c r="Q76" s="29" t="inlineStr">
        <is>
          <t>✓</t>
        </is>
      </c>
      <c r="R76" s="29" t="inlineStr">
        <is>
          <t>A</t>
        </is>
      </c>
      <c r="S76" s="26" t="inlineStr">
        <is>
          <t>Manufacturer-published hex (Polymaker spec data via authorized retailer listings, confirmed earlier this conversation); official Polymaker TDS temps</t>
        </is>
      </c>
      <c r="T76" s="26" t="inlineStr">
        <is>
          <t>Hex confirmed via official Polymaker shop.polymaker.com product page, 2026-07-22</t>
        </is>
      </c>
    </row>
    <row r="77" ht="20" customHeight="1">
      <c r="A77" s="23" t="inlineStr">
        <is>
          <t>PLA Matte</t>
        </is>
      </c>
      <c r="B77" s="23" t="inlineStr">
        <is>
          <t>PM-MAT-18</t>
        </is>
      </c>
      <c r="C77" s="23" t="inlineStr">
        <is>
          <t>Panchroma Matte PLA (formerly PolyTerra)</t>
        </is>
      </c>
      <c r="D77" s="23" t="inlineStr">
        <is>
          <t>Watermelon</t>
        </is>
      </c>
      <c r="E77" s="160" t="inlineStr"/>
      <c r="F77" s="161" t="inlineStr">
        <is>
          <t>#E93A3F</t>
        </is>
      </c>
      <c r="G77" s="16" t="inlineStr">
        <is>
          <t>1.75mm</t>
        </is>
      </c>
      <c r="H77" s="16" t="inlineStr">
        <is>
          <t>±0.03mm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190–230°C</t>
        </is>
      </c>
      <c r="L77" s="16" t="inlineStr">
        <is>
          <t>25–60°C</t>
        </is>
      </c>
      <c r="M77" s="16" t="inlineStr">
        <is>
          <t>55°C / 6h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A</t>
        </is>
      </c>
      <c r="S77" s="23" t="inlineStr">
        <is>
          <t>Manufacturer-published hex (Polymaker spec data via authorized retailer listings, confirmed earlier this conversation); official Polymaker TDS temps</t>
        </is>
      </c>
      <c r="T77" s="23" t="inlineStr">
        <is>
          <t>Hex confirmed via official Polymaker shop.polymaker.com product page, 2026-07-22</t>
        </is>
      </c>
    </row>
    <row r="78" ht="20" customHeight="1">
      <c r="A78" s="26" t="inlineStr">
        <is>
          <t>PLA Matte</t>
        </is>
      </c>
      <c r="B78" s="26" t="inlineStr">
        <is>
          <t>PM-MAT-08</t>
        </is>
      </c>
      <c r="C78" s="26" t="inlineStr">
        <is>
          <t>Panchroma Matte PLA (formerly PolyTerra)</t>
        </is>
      </c>
      <c r="D78" s="26" t="inlineStr">
        <is>
          <t>Wood Brown</t>
        </is>
      </c>
      <c r="E78" s="162" t="inlineStr"/>
      <c r="F78" s="163" t="inlineStr">
        <is>
          <t>#AD7441</t>
        </is>
      </c>
      <c r="G78" s="29" t="inlineStr">
        <is>
          <t>1.75mm</t>
        </is>
      </c>
      <c r="H78" s="29" t="inlineStr">
        <is>
          <t>±0.03mm</t>
        </is>
      </c>
      <c r="I78" s="29" t="inlineStr">
        <is>
          <t>Plastic</t>
        </is>
      </c>
      <c r="J78" s="29" t="inlineStr">
        <is>
          <t>No</t>
        </is>
      </c>
      <c r="K78" s="29" t="inlineStr">
        <is>
          <t>190–230°C</t>
        </is>
      </c>
      <c r="L78" s="29" t="inlineStr">
        <is>
          <t>25–60°C</t>
        </is>
      </c>
      <c r="M78" s="29" t="inlineStr">
        <is>
          <t>55°C / 6h</t>
        </is>
      </c>
      <c r="N78" s="29" t="inlineStr">
        <is>
          <t>✓</t>
        </is>
      </c>
      <c r="O78" s="29" t="inlineStr">
        <is>
          <t>✓</t>
        </is>
      </c>
      <c r="P78" s="29" t="inlineStr">
        <is>
          <t>✓</t>
        </is>
      </c>
      <c r="Q78" s="29" t="inlineStr">
        <is>
          <t>✓</t>
        </is>
      </c>
      <c r="R78" s="29" t="inlineStr">
        <is>
          <t>A</t>
        </is>
      </c>
      <c r="S78" s="26" t="inlineStr">
        <is>
          <t>Manufacturer-published hex (Polymaker spec data via authorized retailer listings, confirmed earlier this conversation); official Polymaker TDS temps</t>
        </is>
      </c>
      <c r="T78" s="26" t="inlineStr">
        <is>
          <t>Hex confirmed via official Polymaker shop.polymaker.com product page, 2026-07-22</t>
        </is>
      </c>
    </row>
    <row r="79" ht="20" customHeight="1">
      <c r="A79" s="23" t="inlineStr">
        <is>
          <t>PLA Satin</t>
        </is>
      </c>
      <c r="B79" s="23" t="inlineStr">
        <is>
          <t>PM-SAT-BLA</t>
        </is>
      </c>
      <c r="C79" s="23" t="inlineStr">
        <is>
          <t>Panchroma Satin PLA (formerly PolyTerra PLA+)</t>
        </is>
      </c>
      <c r="D79" s="23" t="inlineStr">
        <is>
          <t>Black</t>
        </is>
      </c>
      <c r="E79" s="164" t="inlineStr"/>
      <c r="F79" s="165" t="inlineStr">
        <is>
          <t>#151515</t>
        </is>
      </c>
      <c r="G79" s="16" t="inlineStr">
        <is>
          <t>1.75mm</t>
        </is>
      </c>
      <c r="H79" s="16" t="inlineStr">
        <is>
          <t>±0.03mm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190–230°C</t>
        </is>
      </c>
      <c r="L79" s="16" t="inlineStr">
        <is>
          <t>25–60°C</t>
        </is>
      </c>
      <c r="M79" s="16" t="inlineStr">
        <is>
          <t>55°C / 6h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B</t>
        </is>
      </c>
      <c r="S79" s="23" t="inlineStr">
        <is>
          <t>Manufacturer-confirmed official 10-color list (us-wholesale.polymaker.com); hex not independently confirmed</t>
        </is>
      </c>
      <c r="T79" s="23" t="inlineStr">
        <is>
          <t>Hex confirmed via official Polymaker shop.polymaker.com product page, 2026-07-22</t>
        </is>
      </c>
    </row>
    <row r="80" ht="20" customHeight="1">
      <c r="A80" s="26" t="inlineStr">
        <is>
          <t>PLA Satin</t>
        </is>
      </c>
      <c r="B80" s="26" t="inlineStr">
        <is>
          <t>PM-SAT-BLU</t>
        </is>
      </c>
      <c r="C80" s="26" t="inlineStr">
        <is>
          <t>Panchroma Satin PLA (formerly PolyTerra PLA+)</t>
        </is>
      </c>
      <c r="D80" s="26" t="inlineStr">
        <is>
          <t>Blue</t>
        </is>
      </c>
      <c r="E80" s="166" t="inlineStr"/>
      <c r="F80" s="167" t="inlineStr">
        <is>
          <t>#0064B9</t>
        </is>
      </c>
      <c r="G80" s="29" t="inlineStr">
        <is>
          <t>1.75mm</t>
        </is>
      </c>
      <c r="H80" s="29" t="inlineStr">
        <is>
          <t>±0.03mm</t>
        </is>
      </c>
      <c r="I80" s="29" t="inlineStr">
        <is>
          <t>Plastic</t>
        </is>
      </c>
      <c r="J80" s="29" t="inlineStr">
        <is>
          <t>No</t>
        </is>
      </c>
      <c r="K80" s="29" t="inlineStr">
        <is>
          <t>190–230°C</t>
        </is>
      </c>
      <c r="L80" s="29" t="inlineStr">
        <is>
          <t>25–60°C</t>
        </is>
      </c>
      <c r="M80" s="29" t="inlineStr">
        <is>
          <t>55°C / 6h</t>
        </is>
      </c>
      <c r="N80" s="29" t="inlineStr">
        <is>
          <t>✓</t>
        </is>
      </c>
      <c r="O80" s="29" t="inlineStr">
        <is>
          <t>✓</t>
        </is>
      </c>
      <c r="P80" s="29" t="inlineStr">
        <is>
          <t>✓</t>
        </is>
      </c>
      <c r="Q80" s="29" t="inlineStr">
        <is>
          <t>✓</t>
        </is>
      </c>
      <c r="R80" s="29" t="inlineStr">
        <is>
          <t>B</t>
        </is>
      </c>
      <c r="S80" s="26" t="inlineStr">
        <is>
          <t>Manufacturer-confirmed official 10-color list (us-wholesale.polymaker.com); hex not independently confirmed</t>
        </is>
      </c>
      <c r="T80" s="26" t="inlineStr">
        <is>
          <t>Hex confirmed via official Polymaker shop.polymaker.com product page, 2026-07-22</t>
        </is>
      </c>
    </row>
    <row r="81" ht="20" customHeight="1">
      <c r="A81" s="23" t="inlineStr">
        <is>
          <t>PLA Satin</t>
        </is>
      </c>
      <c r="B81" s="23" t="inlineStr">
        <is>
          <t>PM-SAT-GRN</t>
        </is>
      </c>
      <c r="C81" s="23" t="inlineStr">
        <is>
          <t>Panchroma Satin PLA (formerly PolyTerra PLA+)</t>
        </is>
      </c>
      <c r="D81" s="23" t="inlineStr">
        <is>
          <t>Green</t>
        </is>
      </c>
      <c r="E81" s="168" t="inlineStr"/>
      <c r="F81" s="169" t="inlineStr">
        <is>
          <t>#60AB61</t>
        </is>
      </c>
      <c r="G81" s="16" t="inlineStr">
        <is>
          <t>1.75mm</t>
        </is>
      </c>
      <c r="H81" s="16" t="inlineStr">
        <is>
          <t>±0.03mm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190–230°C</t>
        </is>
      </c>
      <c r="L81" s="16" t="inlineStr">
        <is>
          <t>25–60°C</t>
        </is>
      </c>
      <c r="M81" s="16" t="inlineStr">
        <is>
          <t>55°C / 6h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B</t>
        </is>
      </c>
      <c r="S81" s="23" t="inlineStr">
        <is>
          <t>Manufacturer-confirmed official 10-color list (us-wholesale.polymaker.com); hex not independently confirmed</t>
        </is>
      </c>
      <c r="T81" s="23" t="inlineStr">
        <is>
          <t>Hex confirmed via official Polymaker shop.polymaker.com product page, 2026-07-22</t>
        </is>
      </c>
    </row>
    <row r="82" ht="20" customHeight="1">
      <c r="A82" s="26" t="inlineStr">
        <is>
          <t>PLA Satin</t>
        </is>
      </c>
      <c r="B82" s="26" t="inlineStr">
        <is>
          <t>PM-SAT-GRE</t>
        </is>
      </c>
      <c r="C82" s="26" t="inlineStr">
        <is>
          <t>Panchroma Satin PLA (formerly PolyTerra PLA+)</t>
        </is>
      </c>
      <c r="D82" s="26" t="inlineStr">
        <is>
          <t>Grey</t>
        </is>
      </c>
      <c r="E82" s="170" t="inlineStr"/>
      <c r="F82" s="39" t="inlineStr">
        <is>
          <t>#939598</t>
        </is>
      </c>
      <c r="G82" s="29" t="inlineStr">
        <is>
          <t>1.75mm</t>
        </is>
      </c>
      <c r="H82" s="29" t="inlineStr">
        <is>
          <t>±0.03mm</t>
        </is>
      </c>
      <c r="I82" s="29" t="inlineStr">
        <is>
          <t>Plastic</t>
        </is>
      </c>
      <c r="J82" s="29" t="inlineStr">
        <is>
          <t>No</t>
        </is>
      </c>
      <c r="K82" s="29" t="inlineStr">
        <is>
          <t>190–230°C</t>
        </is>
      </c>
      <c r="L82" s="29" t="inlineStr">
        <is>
          <t>25–60°C</t>
        </is>
      </c>
      <c r="M82" s="29" t="inlineStr">
        <is>
          <t>55°C / 6h</t>
        </is>
      </c>
      <c r="N82" s="29" t="inlineStr">
        <is>
          <t>✓</t>
        </is>
      </c>
      <c r="O82" s="29" t="inlineStr">
        <is>
          <t>✓</t>
        </is>
      </c>
      <c r="P82" s="29" t="inlineStr">
        <is>
          <t>✓</t>
        </is>
      </c>
      <c r="Q82" s="29" t="inlineStr">
        <is>
          <t>✓</t>
        </is>
      </c>
      <c r="R82" s="29" t="inlineStr">
        <is>
          <t>B</t>
        </is>
      </c>
      <c r="S82" s="26" t="inlineStr">
        <is>
          <t>Manufacturer-confirmed official 10-color list (us-wholesale.polymaker.com); hex not independently confirmed</t>
        </is>
      </c>
      <c r="T82" s="26" t="inlineStr">
        <is>
          <t>Hex confirmed via official Polymaker shop.polymaker.com product page, 2026-07-22</t>
        </is>
      </c>
    </row>
    <row r="83" ht="20" customHeight="1">
      <c r="A83" s="23" t="inlineStr">
        <is>
          <t>PLA Satin</t>
        </is>
      </c>
      <c r="B83" s="23" t="inlineStr">
        <is>
          <t>PM-SAT-ORA</t>
        </is>
      </c>
      <c r="C83" s="23" t="inlineStr">
        <is>
          <t>Panchroma Satin PLA (formerly PolyTerra PLA+)</t>
        </is>
      </c>
      <c r="D83" s="23" t="inlineStr">
        <is>
          <t>Orange</t>
        </is>
      </c>
      <c r="E83" s="171" t="inlineStr"/>
      <c r="F83" s="172" t="inlineStr">
        <is>
          <t>#FF9812</t>
        </is>
      </c>
      <c r="G83" s="16" t="inlineStr">
        <is>
          <t>1.75mm</t>
        </is>
      </c>
      <c r="H83" s="16" t="inlineStr">
        <is>
          <t>±0.03mm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190–230°C</t>
        </is>
      </c>
      <c r="L83" s="16" t="inlineStr">
        <is>
          <t>25–60°C</t>
        </is>
      </c>
      <c r="M83" s="16" t="inlineStr">
        <is>
          <t>55°C / 6h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B</t>
        </is>
      </c>
      <c r="S83" s="23" t="inlineStr">
        <is>
          <t>Manufacturer-confirmed official 10-color list (us-wholesale.polymaker.com); hex not independently confirmed</t>
        </is>
      </c>
      <c r="T83" s="23" t="inlineStr">
        <is>
          <t>Hex confirmed via official Polymaker shop.polymaker.com product page, 2026-07-22</t>
        </is>
      </c>
    </row>
    <row r="84" ht="20" customHeight="1">
      <c r="A84" s="26" t="inlineStr">
        <is>
          <t>PLA Satin</t>
        </is>
      </c>
      <c r="B84" s="26" t="inlineStr">
        <is>
          <t>PM-SAT-POL</t>
        </is>
      </c>
      <c r="C84" s="26" t="inlineStr">
        <is>
          <t>Panchroma Satin PLA (formerly PolyTerra PLA+)</t>
        </is>
      </c>
      <c r="D84" s="26" t="inlineStr">
        <is>
          <t>Polymaker Teal</t>
        </is>
      </c>
      <c r="E84" s="173" t="inlineStr"/>
      <c r="F84" s="174" t="inlineStr">
        <is>
          <t>#64C2CA</t>
        </is>
      </c>
      <c r="G84" s="29" t="inlineStr">
        <is>
          <t>1.75mm</t>
        </is>
      </c>
      <c r="H84" s="29" t="inlineStr">
        <is>
          <t>±0.03mm</t>
        </is>
      </c>
      <c r="I84" s="29" t="inlineStr">
        <is>
          <t>Plastic</t>
        </is>
      </c>
      <c r="J84" s="29" t="inlineStr">
        <is>
          <t>No</t>
        </is>
      </c>
      <c r="K84" s="29" t="inlineStr">
        <is>
          <t>190–230°C</t>
        </is>
      </c>
      <c r="L84" s="29" t="inlineStr">
        <is>
          <t>25–60°C</t>
        </is>
      </c>
      <c r="M84" s="29" t="inlineStr">
        <is>
          <t>55°C / 6h</t>
        </is>
      </c>
      <c r="N84" s="29" t="inlineStr">
        <is>
          <t>✓</t>
        </is>
      </c>
      <c r="O84" s="29" t="inlineStr">
        <is>
          <t>✓</t>
        </is>
      </c>
      <c r="P84" s="29" t="inlineStr">
        <is>
          <t>✓</t>
        </is>
      </c>
      <c r="Q84" s="29" t="inlineStr">
        <is>
          <t>✓</t>
        </is>
      </c>
      <c r="R84" s="29" t="inlineStr">
        <is>
          <t>B</t>
        </is>
      </c>
      <c r="S84" s="26" t="inlineStr">
        <is>
          <t>Manufacturer-confirmed official 10-color list (us-wholesale.polymaker.com); hex not independently confirmed</t>
        </is>
      </c>
      <c r="T84" s="26" t="inlineStr">
        <is>
          <t>Hex confirmed via official Polymaker shop.polymaker.com product page, 2026-07-22</t>
        </is>
      </c>
    </row>
    <row r="85" ht="20" customHeight="1">
      <c r="A85" s="23" t="inlineStr">
        <is>
          <t>PLA Satin</t>
        </is>
      </c>
      <c r="B85" s="23" t="inlineStr">
        <is>
          <t>PM-SAT-PUR</t>
        </is>
      </c>
      <c r="C85" s="23" t="inlineStr">
        <is>
          <t>Panchroma Satin PLA (formerly PolyTerra PLA+)</t>
        </is>
      </c>
      <c r="D85" s="23" t="inlineStr">
        <is>
          <t>Purple</t>
        </is>
      </c>
      <c r="E85" s="175" t="inlineStr"/>
      <c r="F85" s="176" t="inlineStr">
        <is>
          <t>#8B63C4</t>
        </is>
      </c>
      <c r="G85" s="16" t="inlineStr">
        <is>
          <t>1.75mm</t>
        </is>
      </c>
      <c r="H85" s="16" t="inlineStr">
        <is>
          <t>±0.03mm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190–230°C</t>
        </is>
      </c>
      <c r="L85" s="16" t="inlineStr">
        <is>
          <t>25–60°C</t>
        </is>
      </c>
      <c r="M85" s="16" t="inlineStr">
        <is>
          <t>55°C / 6h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B</t>
        </is>
      </c>
      <c r="S85" s="23" t="inlineStr">
        <is>
          <t>Manufacturer-confirmed official 10-color list (us-wholesale.polymaker.com); hex not independently confirmed</t>
        </is>
      </c>
      <c r="T85" s="23" t="inlineStr">
        <is>
          <t>Hex confirmed via official Polymaker shop.polymaker.com product page, 2026-07-22</t>
        </is>
      </c>
    </row>
    <row r="86" ht="20" customHeight="1">
      <c r="A86" s="26" t="inlineStr">
        <is>
          <t>PLA Satin</t>
        </is>
      </c>
      <c r="B86" s="26" t="inlineStr">
        <is>
          <t>PM-SAT-RED</t>
        </is>
      </c>
      <c r="C86" s="26" t="inlineStr">
        <is>
          <t>Panchroma Satin PLA (formerly PolyTerra PLA+)</t>
        </is>
      </c>
      <c r="D86" s="26" t="inlineStr">
        <is>
          <t>Red</t>
        </is>
      </c>
      <c r="E86" s="177" t="inlineStr"/>
      <c r="F86" s="178" t="inlineStr">
        <is>
          <t>#DD1116</t>
        </is>
      </c>
      <c r="G86" s="29" t="inlineStr">
        <is>
          <t>1.75mm</t>
        </is>
      </c>
      <c r="H86" s="29" t="inlineStr">
        <is>
          <t>±0.03mm</t>
        </is>
      </c>
      <c r="I86" s="29" t="inlineStr">
        <is>
          <t>Plastic</t>
        </is>
      </c>
      <c r="J86" s="29" t="inlineStr">
        <is>
          <t>No</t>
        </is>
      </c>
      <c r="K86" s="29" t="inlineStr">
        <is>
          <t>190–230°C</t>
        </is>
      </c>
      <c r="L86" s="29" t="inlineStr">
        <is>
          <t>25–60°C</t>
        </is>
      </c>
      <c r="M86" s="29" t="inlineStr">
        <is>
          <t>55°C / 6h</t>
        </is>
      </c>
      <c r="N86" s="29" t="inlineStr">
        <is>
          <t>✓</t>
        </is>
      </c>
      <c r="O86" s="29" t="inlineStr">
        <is>
          <t>✓</t>
        </is>
      </c>
      <c r="P86" s="29" t="inlineStr">
        <is>
          <t>✓</t>
        </is>
      </c>
      <c r="Q86" s="29" t="inlineStr">
        <is>
          <t>✓</t>
        </is>
      </c>
      <c r="R86" s="29" t="inlineStr">
        <is>
          <t>B</t>
        </is>
      </c>
      <c r="S86" s="26" t="inlineStr">
        <is>
          <t>Manufacturer-confirmed official 10-color list (us-wholesale.polymaker.com); hex not independently confirmed</t>
        </is>
      </c>
      <c r="T86" s="26" t="inlineStr">
        <is>
          <t>Hex confirmed via official Polymaker shop.polymaker.com product page, 2026-07-22</t>
        </is>
      </c>
    </row>
    <row r="87" ht="20" customHeight="1">
      <c r="A87" s="23" t="inlineStr">
        <is>
          <t>PLA Satin</t>
        </is>
      </c>
      <c r="B87" s="23" t="inlineStr">
        <is>
          <t>PM-SAT-WHI</t>
        </is>
      </c>
      <c r="C87" s="23" t="inlineStr">
        <is>
          <t>Panchroma Satin PLA (formerly PolyTerra PLA+)</t>
        </is>
      </c>
      <c r="D87" s="23" t="inlineStr">
        <is>
          <t>White</t>
        </is>
      </c>
      <c r="E87" s="179" t="inlineStr"/>
      <c r="F87" s="180" t="inlineStr">
        <is>
          <t>#E6DEDB</t>
        </is>
      </c>
      <c r="G87" s="16" t="inlineStr">
        <is>
          <t>1.75mm</t>
        </is>
      </c>
      <c r="H87" s="16" t="inlineStr">
        <is>
          <t>±0.03mm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190–230°C</t>
        </is>
      </c>
      <c r="L87" s="16" t="inlineStr">
        <is>
          <t>25–60°C</t>
        </is>
      </c>
      <c r="M87" s="16" t="inlineStr">
        <is>
          <t>55°C / 6h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B</t>
        </is>
      </c>
      <c r="S87" s="23" t="inlineStr">
        <is>
          <t>Manufacturer-confirmed official 10-color list (us-wholesale.polymaker.com); hex not independently confirmed</t>
        </is>
      </c>
      <c r="T87" s="23" t="inlineStr">
        <is>
          <t>Hex confirmed via official Polymaker shop.polymaker.com product page, 2026-07-22</t>
        </is>
      </c>
    </row>
    <row r="88" ht="20" customHeight="1">
      <c r="A88" s="26" t="inlineStr">
        <is>
          <t>PLA Satin</t>
        </is>
      </c>
      <c r="B88" s="26" t="inlineStr">
        <is>
          <t>PM-SAT-YEL</t>
        </is>
      </c>
      <c r="C88" s="26" t="inlineStr">
        <is>
          <t>Panchroma Satin PLA (formerly PolyTerra PLA+)</t>
        </is>
      </c>
      <c r="D88" s="26" t="inlineStr">
        <is>
          <t>Yellow</t>
        </is>
      </c>
      <c r="E88" s="181" t="inlineStr"/>
      <c r="F88" s="182" t="inlineStr">
        <is>
          <t>#F7C603</t>
        </is>
      </c>
      <c r="G88" s="29" t="inlineStr">
        <is>
          <t>1.75mm</t>
        </is>
      </c>
      <c r="H88" s="29" t="inlineStr">
        <is>
          <t>±0.03mm</t>
        </is>
      </c>
      <c r="I88" s="29" t="inlineStr">
        <is>
          <t>Plastic</t>
        </is>
      </c>
      <c r="J88" s="29" t="inlineStr">
        <is>
          <t>No</t>
        </is>
      </c>
      <c r="K88" s="29" t="inlineStr">
        <is>
          <t>190–230°C</t>
        </is>
      </c>
      <c r="L88" s="29" t="inlineStr">
        <is>
          <t>25–60°C</t>
        </is>
      </c>
      <c r="M88" s="29" t="inlineStr">
        <is>
          <t>55°C / 6h</t>
        </is>
      </c>
      <c r="N88" s="29" t="inlineStr">
        <is>
          <t>✓</t>
        </is>
      </c>
      <c r="O88" s="29" t="inlineStr">
        <is>
          <t>✓</t>
        </is>
      </c>
      <c r="P88" s="29" t="inlineStr">
        <is>
          <t>✓</t>
        </is>
      </c>
      <c r="Q88" s="29" t="inlineStr">
        <is>
          <t>✓</t>
        </is>
      </c>
      <c r="R88" s="29" t="inlineStr">
        <is>
          <t>B</t>
        </is>
      </c>
      <c r="S88" s="26" t="inlineStr">
        <is>
          <t>Manufacturer-confirmed official 10-color list (us-wholesale.polymaker.com); hex not independently confirmed</t>
        </is>
      </c>
      <c r="T88" s="26" t="inlineStr">
        <is>
          <t>Hex confirmed via official Polymaker shop.polymaker.com product page, 2026-07-22</t>
        </is>
      </c>
    </row>
    <row r="89" ht="20" customHeight="1">
      <c r="A89" s="23" t="inlineStr">
        <is>
          <t>PLA Silk</t>
        </is>
      </c>
      <c r="B89" s="23" t="inlineStr">
        <is>
          <t>PM-SILK-COP</t>
        </is>
      </c>
      <c r="C89" s="23" t="inlineStr">
        <is>
          <t>Panchroma Silk PLA</t>
        </is>
      </c>
      <c r="D89" s="23" t="inlineStr">
        <is>
          <t>Copper</t>
        </is>
      </c>
      <c r="E89" s="38" t="inlineStr"/>
      <c r="F89" s="39" t="inlineStr">
        <is>
          <t>#999999</t>
        </is>
      </c>
      <c r="G89" s="16" t="inlineStr">
        <is>
          <t>1.75mm</t>
        </is>
      </c>
      <c r="H89" s="16" t="inlineStr">
        <is>
          <t>±0.03mm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195–220°C</t>
        </is>
      </c>
      <c r="L89" s="16" t="inlineStr">
        <is>
          <t>25–60°C</t>
        </is>
      </c>
      <c r="M89" s="16" t="inlineStr">
        <is>
          <t>55°C / 6h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B</t>
        </is>
      </c>
      <c r="S89" s="23" t="inlineStr">
        <is>
          <t>Line confirmed (shop.polymaker.com/pages/panchroma); color hex not independently confirmed this pass</t>
        </is>
      </c>
      <c r="T89" s="23" t="inlineStr">
        <is>
          <t>Deep-dive follow-up 2026-07-19; NEW LINE</t>
        </is>
      </c>
    </row>
    <row r="90" ht="20" customHeight="1">
      <c r="A90" s="26" t="inlineStr">
        <is>
          <t>PLA Silk</t>
        </is>
      </c>
      <c r="B90" s="26" t="inlineStr">
        <is>
          <t>PM-SILK-GOL</t>
        </is>
      </c>
      <c r="C90" s="26" t="inlineStr">
        <is>
          <t>Panchroma Silk PLA</t>
        </is>
      </c>
      <c r="D90" s="26" t="inlineStr">
        <is>
          <t>Gold</t>
        </is>
      </c>
      <c r="E90" s="183" t="inlineStr"/>
      <c r="F90" s="184" t="inlineStr">
        <is>
          <t>#B56600</t>
        </is>
      </c>
      <c r="G90" s="29" t="inlineStr">
        <is>
          <t>1.75mm</t>
        </is>
      </c>
      <c r="H90" s="29" t="inlineStr">
        <is>
          <t>±0.03mm</t>
        </is>
      </c>
      <c r="I90" s="29" t="inlineStr">
        <is>
          <t>Plastic</t>
        </is>
      </c>
      <c r="J90" s="29" t="inlineStr">
        <is>
          <t>No</t>
        </is>
      </c>
      <c r="K90" s="29" t="inlineStr">
        <is>
          <t>195–220°C</t>
        </is>
      </c>
      <c r="L90" s="29" t="inlineStr">
        <is>
          <t>25–60°C</t>
        </is>
      </c>
      <c r="M90" s="29" t="inlineStr">
        <is>
          <t>55°C / 6h</t>
        </is>
      </c>
      <c r="N90" s="29" t="inlineStr">
        <is>
          <t>✓</t>
        </is>
      </c>
      <c r="O90" s="29" t="inlineStr">
        <is>
          <t>✓</t>
        </is>
      </c>
      <c r="P90" s="29" t="inlineStr">
        <is>
          <t>✓</t>
        </is>
      </c>
      <c r="Q90" s="29" t="inlineStr">
        <is>
          <t>✓</t>
        </is>
      </c>
      <c r="R90" s="29" t="inlineStr">
        <is>
          <t>B</t>
        </is>
      </c>
      <c r="S90" s="26" t="inlineStr">
        <is>
          <t>Line confirmed (shop.polymaker.com/pages/panchroma); color hex not independently confirmed this pass</t>
        </is>
      </c>
      <c r="T90" s="26" t="inlineStr">
        <is>
          <t>Hex confirmed via official Polymaker shop.polymaker.com product page, 2026-07-22</t>
        </is>
      </c>
    </row>
    <row r="91" ht="20" customHeight="1">
      <c r="A91" s="23" t="inlineStr">
        <is>
          <t>PLA-CF</t>
        </is>
      </c>
      <c r="B91" s="23" t="inlineStr">
        <is>
          <t>PM-PH-04</t>
        </is>
      </c>
      <c r="C91" s="23" t="inlineStr">
        <is>
          <t>PolyLite PLA-CF</t>
        </is>
      </c>
      <c r="D91" s="23" t="inlineStr">
        <is>
          <t>Black</t>
        </is>
      </c>
      <c r="E91" s="36" t="inlineStr"/>
      <c r="F91" s="37" t="inlineStr">
        <is>
          <t>#0D0D0D</t>
        </is>
      </c>
      <c r="G91" s="16" t="inlineStr">
        <is>
          <t>1.75mm</t>
        </is>
      </c>
      <c r="H91" s="16" t="inlineStr">
        <is>
          <t>±0.03mm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210–230°C</t>
        </is>
      </c>
      <c r="L91" s="16" t="inlineStr">
        <is>
          <t>25–60°C</t>
        </is>
      </c>
      <c r="M91" s="16" t="inlineStr">
        <is>
          <t>55°C / 6h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C</t>
        </is>
      </c>
      <c r="S91" s="23" t="inlineStr">
        <is>
          <t>Line existence confirmed via Polymaker wiki/shop; specs estimated from sibling materials, not individually TDS-confirmed</t>
        </is>
      </c>
      <c r="T91" s="23" t="inlineStr">
        <is>
          <t>PLACEHOLDER — line confirmed to exist (shop.polymaker.com / wiki.polymaker.com) but color list not verified this pass</t>
        </is>
      </c>
    </row>
    <row r="92" ht="20" customHeight="1">
      <c r="A92" s="26" t="inlineStr">
        <is>
          <t>PLA-LW</t>
        </is>
      </c>
      <c r="B92" s="26" t="inlineStr">
        <is>
          <t>PM-PH-03</t>
        </is>
      </c>
      <c r="C92" s="26" t="inlineStr">
        <is>
          <t>LW-PLA (PolyWood)</t>
        </is>
      </c>
      <c r="D92" s="26" t="inlineStr">
        <is>
          <t>Wood Brown</t>
        </is>
      </c>
      <c r="E92" s="38" t="inlineStr"/>
      <c r="F92" s="39" t="inlineStr">
        <is>
          <t>#999999</t>
        </is>
      </c>
      <c r="G92" s="29" t="inlineStr">
        <is>
          <t>1.75mm</t>
        </is>
      </c>
      <c r="H92" s="29" t="inlineStr">
        <is>
          <t>±0.05mm</t>
        </is>
      </c>
      <c r="I92" s="29" t="inlineStr">
        <is>
          <t>Plastic</t>
        </is>
      </c>
      <c r="J92" s="29" t="inlineStr">
        <is>
          <t>No</t>
        </is>
      </c>
      <c r="K92" s="29" t="inlineStr">
        <is>
          <t>195–220°C</t>
        </is>
      </c>
      <c r="L92" s="29" t="inlineStr">
        <is>
          <t>25–60°C</t>
        </is>
      </c>
      <c r="M92" s="29" t="inlineStr">
        <is>
          <t>55°C / 6h</t>
        </is>
      </c>
      <c r="N92" s="29" t="inlineStr">
        <is>
          <t>✓</t>
        </is>
      </c>
      <c r="O92" s="29" t="inlineStr">
        <is>
          <t>✓</t>
        </is>
      </c>
      <c r="P92" s="29" t="inlineStr">
        <is>
          <t>✓</t>
        </is>
      </c>
      <c r="Q92" s="29" t="inlineStr">
        <is>
          <t>✓</t>
        </is>
      </c>
      <c r="R92" s="29" t="inlineStr">
        <is>
          <t>C</t>
        </is>
      </c>
      <c r="S92" s="26" t="inlineStr">
        <is>
          <t>Line existence confirmed via Polymaker wiki/shop; specs estimated from sibling materials, not individually TDS-confirmed</t>
        </is>
      </c>
      <c r="T92" s="26" t="inlineStr">
        <is>
          <t>PLACEHOLDER — line confirmed to exist (shop.polymaker.com / wiki.polymaker.com) but color list not verified this pass</t>
        </is>
      </c>
    </row>
    <row r="93" ht="20" customHeight="1">
      <c r="A93" s="23" t="inlineStr">
        <is>
          <t>Support</t>
        </is>
      </c>
      <c r="B93" s="23" t="inlineStr">
        <is>
          <t>PM-PH-09</t>
        </is>
      </c>
      <c r="C93" s="23" t="inlineStr">
        <is>
          <t>PolyDissolve S1</t>
        </is>
      </c>
      <c r="D93" s="23" t="inlineStr">
        <is>
          <t>Natural</t>
        </is>
      </c>
      <c r="E93" s="38" t="inlineStr"/>
      <c r="F93" s="39" t="inlineStr">
        <is>
          <t>#999999</t>
        </is>
      </c>
      <c r="G93" s="16" t="inlineStr">
        <is>
          <t>1.75mm</t>
        </is>
      </c>
      <c r="H93" s="16" t="inlineStr">
        <is>
          <t>±0.05mm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190–210°C</t>
        </is>
      </c>
      <c r="L93" s="16" t="inlineStr">
        <is>
          <t>45–60°C</t>
        </is>
      </c>
      <c r="M93" s="16" t="inlineStr">
        <is>
          <t>55°C / 6h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C</t>
        </is>
      </c>
      <c r="S93" s="23" t="inlineStr">
        <is>
          <t>Line existence confirmed via Polymaker wiki/shop; specs estimated from sibling materials, not individually TDS-confirmed</t>
        </is>
      </c>
      <c r="T93" s="23" t="inlineStr">
        <is>
          <t>PLACEHOLDER — line confirmed to exist (shop.polymaker.com / wiki.polymaker.com) but color list not verified this pass</t>
        </is>
      </c>
    </row>
    <row r="94" ht="20" customHeight="1">
      <c r="A94" s="26" t="inlineStr">
        <is>
          <t>TPU</t>
        </is>
      </c>
      <c r="B94" s="26" t="inlineStr">
        <is>
          <t>PM-TPU-BLA</t>
        </is>
      </c>
      <c r="C94" s="26" t="inlineStr">
        <is>
          <t>PolyFlex TPU95</t>
        </is>
      </c>
      <c r="D94" s="26" t="inlineStr">
        <is>
          <t>Black</t>
        </is>
      </c>
      <c r="E94" s="38" t="inlineStr"/>
      <c r="F94" s="39" t="inlineStr">
        <is>
          <t>#999999</t>
        </is>
      </c>
      <c r="G94" s="29" t="inlineStr">
        <is>
          <t>1.75mm</t>
        </is>
      </c>
      <c r="H94" s="29" t="inlineStr">
        <is>
          <t>±0.03mm</t>
        </is>
      </c>
      <c r="I94" s="29" t="inlineStr">
        <is>
          <t>Plastic</t>
        </is>
      </c>
      <c r="J94" s="29" t="inlineStr">
        <is>
          <t>No</t>
        </is>
      </c>
      <c r="K94" s="29" t="inlineStr">
        <is>
          <t>210–230°C</t>
        </is>
      </c>
      <c r="L94" s="29" t="inlineStr">
        <is>
          <t>25–60°C</t>
        </is>
      </c>
      <c r="M94" s="29" t="inlineStr">
        <is>
          <t>65°C / 8h</t>
        </is>
      </c>
      <c r="N94" s="29" t="inlineStr">
        <is>
          <t>✓</t>
        </is>
      </c>
      <c r="O94" s="29" t="inlineStr">
        <is>
          <t>✓</t>
        </is>
      </c>
      <c r="P94" s="29" t="inlineStr">
        <is>
          <t>✓</t>
        </is>
      </c>
      <c r="Q94" s="29" t="inlineStr">
        <is>
          <t>✓</t>
        </is>
      </c>
      <c r="R94" s="29" t="inlineStr">
        <is>
          <t>B</t>
        </is>
      </c>
      <c r="S94" s="26" t="inlineStr">
        <is>
          <t>Existing catalog entries — not re-verified this deep-dive pass</t>
        </is>
      </c>
      <c r="T94" s="26" t="inlineStr">
        <is>
          <t>Carried forward unverified</t>
        </is>
      </c>
    </row>
    <row r="95" ht="20" customHeight="1">
      <c r="A95" s="23" t="inlineStr">
        <is>
          <t>TPU</t>
        </is>
      </c>
      <c r="B95" s="23" t="inlineStr">
        <is>
          <t>PM-TPU-RED</t>
        </is>
      </c>
      <c r="C95" s="23" t="inlineStr">
        <is>
          <t>PolyFlex TPU95</t>
        </is>
      </c>
      <c r="D95" s="23" t="inlineStr">
        <is>
          <t>Red</t>
        </is>
      </c>
      <c r="E95" s="38" t="inlineStr"/>
      <c r="F95" s="39" t="inlineStr">
        <is>
          <t>#999999</t>
        </is>
      </c>
      <c r="G95" s="16" t="inlineStr">
        <is>
          <t>1.75mm</t>
        </is>
      </c>
      <c r="H95" s="16" t="inlineStr">
        <is>
          <t>±0.03mm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210–230°C</t>
        </is>
      </c>
      <c r="L95" s="16" t="inlineStr">
        <is>
          <t>25–60°C</t>
        </is>
      </c>
      <c r="M95" s="16" t="inlineStr">
        <is>
          <t>65°C / 8h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B</t>
        </is>
      </c>
      <c r="S95" s="23" t="inlineStr">
        <is>
          <t>Existing catalog entries — not re-verified this deep-dive pass</t>
        </is>
      </c>
      <c r="T95" s="23" t="inlineStr">
        <is>
          <t>Carried forward unverified</t>
        </is>
      </c>
    </row>
    <row r="96" ht="20" customHeight="1">
      <c r="A96" s="26" t="inlineStr">
        <is>
          <t>TPU</t>
        </is>
      </c>
      <c r="B96" s="26" t="inlineStr">
        <is>
          <t>PM-TPU-WHI</t>
        </is>
      </c>
      <c r="C96" s="26" t="inlineStr">
        <is>
          <t>PolyFlex TPU95</t>
        </is>
      </c>
      <c r="D96" s="26" t="inlineStr">
        <is>
          <t>White</t>
        </is>
      </c>
      <c r="E96" s="38" t="inlineStr"/>
      <c r="F96" s="39" t="inlineStr">
        <is>
          <t>#999999</t>
        </is>
      </c>
      <c r="G96" s="29" t="inlineStr">
        <is>
          <t>1.75mm</t>
        </is>
      </c>
      <c r="H96" s="29" t="inlineStr">
        <is>
          <t>±0.03mm</t>
        </is>
      </c>
      <c r="I96" s="29" t="inlineStr">
        <is>
          <t>Plastic</t>
        </is>
      </c>
      <c r="J96" s="29" t="inlineStr">
        <is>
          <t>No</t>
        </is>
      </c>
      <c r="K96" s="29" t="inlineStr">
        <is>
          <t>210–230°C</t>
        </is>
      </c>
      <c r="L96" s="29" t="inlineStr">
        <is>
          <t>25–60°C</t>
        </is>
      </c>
      <c r="M96" s="29" t="inlineStr">
        <is>
          <t>65°C / 8h</t>
        </is>
      </c>
      <c r="N96" s="29" t="inlineStr">
        <is>
          <t>✓</t>
        </is>
      </c>
      <c r="O96" s="29" t="inlineStr">
        <is>
          <t>✓</t>
        </is>
      </c>
      <c r="P96" s="29" t="inlineStr">
        <is>
          <t>✓</t>
        </is>
      </c>
      <c r="Q96" s="29" t="inlineStr">
        <is>
          <t>✓</t>
        </is>
      </c>
      <c r="R96" s="29" t="inlineStr">
        <is>
          <t>B</t>
        </is>
      </c>
      <c r="S96" s="26" t="inlineStr">
        <is>
          <t>Existing catalog entries — not re-verified this deep-dive pass</t>
        </is>
      </c>
      <c r="T96" s="26" t="inlineStr">
        <is>
          <t>Carried forward unverified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97" showDropDown="0" showInputMessage="0" showErrorMessage="0" allowBlank="1" type="list">
      <formula1>"S,A,B,C"</formula1>
    </dataValidation>
    <dataValidation sqref="I3:I197" showDropDown="0" showInputMessage="0" showErrorMessage="0" allowBlank="1" type="list">
      <formula1>"Cardboard,Plastic"</formula1>
    </dataValidation>
    <dataValidation sqref="J3:J197" showDropDown="0" showInputMessage="0" showErrorMessage="0" allowBlank="1" type="list">
      <formula1>"Yes,No"</formula1>
    </dataValidation>
    <dataValidation sqref="G3:G197" showDropDown="0" showInputMessage="0" showErrorMessage="0" allowBlank="1" type="list">
      <formula1>"1.75mm,2.85mm"</formula1>
    </dataValidation>
    <dataValidation sqref="N3:N197" showDropDown="0" showInputMessage="0" showErrorMessage="0" allowBlank="1" type="list">
      <formula1>"✓,✗,⚠"</formula1>
    </dataValidation>
    <dataValidation sqref="O3:O197" showDropDown="0" showInputMessage="0" showErrorMessage="0" allowBlank="1" type="list">
      <formula1>"✓,✗,⚠"</formula1>
    </dataValidation>
    <dataValidation sqref="P3:P197" showDropDown="0" showInputMessage="0" showErrorMessage="0" allowBlank="1" type="list">
      <formula1>"✓,✗,⚠"</formula1>
    </dataValidation>
    <dataValidation sqref="Q3:Q197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Polymaker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190–230°C</t>
        </is>
      </c>
      <c r="C3" s="16" t="inlineStr">
        <is>
          <t>25–60°C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55°C / 6h</t>
        </is>
      </c>
      <c r="H3" s="23" t="inlineStr">
        <is>
          <t>PolyLite PLA — plastic spool, hardened edges for AMS; 29 colors</t>
        </is>
      </c>
    </row>
    <row r="4" ht="20" customHeight="1">
      <c r="A4" s="26" t="inlineStr">
        <is>
          <t>PLA Matte</t>
        </is>
      </c>
      <c r="B4" s="29" t="inlineStr">
        <is>
          <t>190–230°C</t>
        </is>
      </c>
      <c r="C4" s="29" t="inlineStr">
        <is>
          <t>25–60°C</t>
        </is>
      </c>
      <c r="D4" s="29" t="inlineStr">
        <is>
          <t>No</t>
        </is>
      </c>
      <c r="E4" s="29" t="inlineStr">
        <is>
          <t>⚠</t>
        </is>
      </c>
      <c r="F4" s="29" t="inlineStr">
        <is>
          <t>Recommended</t>
        </is>
      </c>
      <c r="G4" s="29" t="inlineStr">
        <is>
          <t>55°C / 6h</t>
        </is>
      </c>
      <c r="H4" s="26" t="inlineStr">
        <is>
          <t>Panchroma Matte (formerly PolyTerra) — cardboard spool, AMS Adapter Ring required</t>
        </is>
      </c>
    </row>
    <row r="5" ht="20" customHeight="1">
      <c r="A5" s="23" t="inlineStr">
        <is>
          <t>PETG</t>
        </is>
      </c>
      <c r="B5" s="16" t="inlineStr">
        <is>
          <t>220–250°C</t>
        </is>
      </c>
      <c r="C5" s="16" t="inlineStr">
        <is>
          <t>70–85°C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6h</t>
        </is>
      </c>
      <c r="H5" s="23" t="inlineStr">
        <is>
          <t>PolyLite PETG</t>
        </is>
      </c>
    </row>
    <row r="6" ht="20" customHeight="1">
      <c r="A6" s="26" t="inlineStr">
        <is>
          <t>ABS</t>
        </is>
      </c>
      <c r="B6" s="29" t="inlineStr">
        <is>
          <t>230–260°C</t>
        </is>
      </c>
      <c r="C6" s="29" t="inlineStr">
        <is>
          <t>80–100°C</t>
        </is>
      </c>
      <c r="D6" s="29" t="inlineStr">
        <is>
          <t>Yes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65°C / 8h</t>
        </is>
      </c>
      <c r="H6" s="26" t="inlineStr">
        <is>
          <t>PolyLite ABS — enclosure required; AMS Lite ✗</t>
        </is>
      </c>
    </row>
    <row r="7" ht="20" customHeight="1">
      <c r="A7" s="23" t="inlineStr">
        <is>
          <t>TPU</t>
        </is>
      </c>
      <c r="B7" s="16" t="inlineStr">
        <is>
          <t>210–230°C</t>
        </is>
      </c>
      <c r="C7" s="16" t="inlineStr">
        <is>
          <t>20–60°C</t>
        </is>
      </c>
      <c r="D7" s="16" t="inlineStr">
        <is>
          <t>No</t>
        </is>
      </c>
      <c r="E7" s="16" t="inlineStr">
        <is>
          <t>No</t>
        </is>
      </c>
      <c r="F7" s="16" t="inlineStr">
        <is>
          <t>Yes</t>
        </is>
      </c>
      <c r="G7" s="16" t="inlineStr">
        <is>
          <t>45°C / 8h</t>
        </is>
      </c>
      <c r="H7" s="23" t="inlineStr">
        <is>
          <t>PolyFlex TPU95 — external spool only on all Bambu AMS variants</t>
        </is>
      </c>
    </row>
  </sheetData>
  <autoFilter ref="A2:H63"/>
  <mergeCells count="1">
    <mergeCell ref="A1:H1"/>
  </mergeCells>
  <conditionalFormatting sqref="D3:D18">
    <cfRule type="expression" priority="1" dxfId="8">
      <formula>$D3="Yes"</formula>
    </cfRule>
  </conditionalFormatting>
  <conditionalFormatting sqref="E3:E18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185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186" t="inlineStr">
        <is>
          <t>Brand</t>
        </is>
      </c>
      <c r="B3" s="187" t="inlineStr">
        <is>
          <t>Polymaker</t>
        </is>
      </c>
      <c r="C3" s="188" t="inlineStr"/>
    </row>
    <row r="4" ht="18" customHeight="1">
      <c r="A4" s="186" t="inlineStr">
        <is>
          <t>File Version</t>
        </is>
      </c>
      <c r="B4" s="189" t="inlineStr">
        <is>
          <t>v3</t>
        </is>
      </c>
      <c r="C4" s="188" t="inlineStr"/>
    </row>
    <row r="5" ht="18" customHeight="1">
      <c r="A5" s="186" t="inlineStr">
        <is>
          <t>Generated</t>
        </is>
      </c>
      <c r="B5" s="189" t="inlineStr">
        <is>
          <t>2026-07-25</t>
        </is>
      </c>
      <c r="C5" s="188" t="inlineStr">
        <is>
          <t>Date this file was last generated by generate_all.py</t>
        </is>
      </c>
    </row>
    <row r="6" ht="18" customHeight="1">
      <c r="A6" s="186" t="inlineStr">
        <is>
          <t>SKU Note</t>
        </is>
      </c>
      <c r="B6" s="189" t="inlineStr">
        <is>
          <t>PolyLite PLA: catalog codes PM-PLA-01–29, official hex confirmed at shop.polymaker.com. Other lines: reference codes</t>
        </is>
      </c>
      <c r="C6" s="188" t="inlineStr">
        <is>
          <t>SKU column: confirmed mfr codes noted above; others are internal reference codes</t>
        </is>
      </c>
    </row>
    <row r="7" ht="18" customHeight="1">
      <c r="A7" s="186" t="inlineStr">
        <is>
          <t>Hex Note</t>
        </is>
      </c>
      <c r="B7" s="189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188" t="inlineStr">
        <is>
          <t>Approximate hex = visually representative; not manufacturer-confirmed</t>
        </is>
      </c>
    </row>
    <row r="8" ht="18" customHeight="1">
      <c r="A8" s="186" t="inlineStr">
        <is>
          <t>Inventory Note</t>
        </is>
      </c>
      <c r="B8" s="189" t="inlineStr">
        <is>
          <t>This workbook covers catalog reference data only. On-hand spool inventory is tracked separately in Filament_Inventory.xlsx.</t>
        </is>
      </c>
      <c r="C8" s="188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2026-07-25T03:49:32Z</dcterms:created>
  <dcterms:modified xmlns:dcterms="http://purl.org/dc/terms/" xmlns:xsi="http://www.w3.org/2001/XMLSchema-instance" xsi:type="dcterms:W3CDTF">2026-07-25T03:49:32Z</dcterms:modified>
</cp:coreProperties>
</file>