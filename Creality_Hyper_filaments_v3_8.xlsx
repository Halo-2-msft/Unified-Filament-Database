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4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CC0000"/>
      </patternFill>
    </fill>
    <fill>
      <patternFill patternType="solid">
        <fgColor rgb="FFF8E0E0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F5DEB3"/>
      </patternFill>
    </fill>
    <fill>
      <patternFill patternType="solid">
        <fgColor rgb="FFFDFBF5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999999"/>
      </patternFill>
    </fill>
    <fill>
      <patternFill patternType="solid">
        <fgColor rgb="FFF0E8D8"/>
      </patternFill>
    </fill>
    <fill>
      <patternFill patternType="solid">
        <fgColor rgb="FFFDFC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5" fillId="41" borderId="1" applyAlignment="1" pivotButton="0" quotePrefix="0" xfId="0">
      <alignment horizontal="center" vertical="center" wrapText="1"/>
    </xf>
    <xf numFmtId="0" fontId="11" fillId="42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4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Creality Hyper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ASA</t>
        </is>
      </c>
      <c r="B27" s="20">
        <f>COUNTIF(Catalog!A3:A700,"ASA")</f>
        <v/>
      </c>
    </row>
    <row r="28" ht="18" customHeight="1">
      <c r="A28" s="19" t="inlineStr">
        <is>
          <t>PC</t>
        </is>
      </c>
      <c r="B28" s="20">
        <f>COUNTIF(Catalog!A3:A700,"PC")</f>
        <v/>
      </c>
    </row>
    <row r="29" ht="18" customHeight="1">
      <c r="A29" s="19" t="inlineStr">
        <is>
          <t>PETG</t>
        </is>
      </c>
      <c r="B29" s="20">
        <f>COUNTIF(Catalog!A3:A700,"PETG")</f>
        <v/>
      </c>
    </row>
    <row r="30" ht="18" customHeight="1">
      <c r="A30" s="19" t="inlineStr">
        <is>
          <t>PETG-CF</t>
        </is>
      </c>
      <c r="B30" s="20">
        <f>COUNTIF(Catalog!A3:A700,"PETG-CF")</f>
        <v/>
      </c>
    </row>
    <row r="31" ht="18" customHeight="1">
      <c r="A31" s="19" t="inlineStr">
        <is>
          <t>PLA</t>
        </is>
      </c>
      <c r="B31" s="20">
        <f>COUNTIF(Catalog!A3:A700,"PLA")</f>
        <v/>
      </c>
    </row>
    <row r="32" ht="18" customHeight="1">
      <c r="A32" s="19" t="inlineStr">
        <is>
          <t>PLA (Lightweight RFID)</t>
        </is>
      </c>
      <c r="B32" s="20">
        <f>COUNTIF(Catalog!A3:A700,"PLA (Lightweight RFID)")</f>
        <v/>
      </c>
    </row>
    <row r="33" ht="18" customHeight="1">
      <c r="A33" s="19" t="inlineStr">
        <is>
          <t>PLA (Luminous RFID)</t>
        </is>
      </c>
      <c r="B33" s="20">
        <f>COUNTIF(Catalog!A3:A700,"PLA (Luminous RFID)")</f>
        <v/>
      </c>
    </row>
    <row r="34" ht="18" customHeight="1">
      <c r="A34" s="19" t="inlineStr">
        <is>
          <t>PLA (Rainbow)</t>
        </is>
      </c>
      <c r="B34" s="20">
        <f>COUNTIF(Catalog!A3:A700,"PLA (Rainbow)")</f>
        <v/>
      </c>
    </row>
    <row r="35" ht="18" customHeight="1">
      <c r="A35" s="19" t="inlineStr">
        <is>
          <t>PLA (Stardust RFID)</t>
        </is>
      </c>
      <c r="B35" s="20">
        <f>COUNTIF(Catalog!A3:A700,"PLA (Stardust RFID)")</f>
        <v/>
      </c>
    </row>
    <row r="36" ht="18" customHeight="1">
      <c r="A36" s="19" t="inlineStr">
        <is>
          <t>PLA-CF</t>
        </is>
      </c>
      <c r="B36" s="20">
        <f>COUNTIF(Catalog!A3:A700,"PLA-CF")</f>
        <v/>
      </c>
    </row>
    <row r="37" ht="18" customHeight="1">
      <c r="A37" s="19" t="inlineStr">
        <is>
          <t>TPU</t>
        </is>
      </c>
      <c r="B37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Creality Hyper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CRH-ABS-BK</t>
        </is>
      </c>
      <c r="C3" s="23" t="inlineStr">
        <is>
          <t>ABS</t>
        </is>
      </c>
      <c r="D3" s="23" t="inlineStr">
        <is>
          <t>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80–100°C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High-speed ABS; enclosure required; no Bambu-optimized profile</t>
        </is>
      </c>
      <c r="T3" s="23" t="inlineStr">
        <is>
          <t>Enclosure required; AMS Lite ✗</t>
        </is>
      </c>
    </row>
    <row r="4" ht="20" customHeight="1">
      <c r="A4" s="26" t="inlineStr">
        <is>
          <t>ABS</t>
        </is>
      </c>
      <c r="B4" s="26" t="inlineStr">
        <is>
          <t>CRH-ABS-GY</t>
        </is>
      </c>
      <c r="C4" s="26" t="inlineStr">
        <is>
          <t>ABS</t>
        </is>
      </c>
      <c r="D4" s="26" t="inlineStr">
        <is>
          <t>Gray</t>
        </is>
      </c>
      <c r="E4" s="27" t="inlineStr"/>
      <c r="F4" s="28" t="inlineStr">
        <is>
          <t>#808080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80–100°C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High-speed ABS; enclosure required; no Bambu-optimized profile</t>
        </is>
      </c>
      <c r="T4" s="26" t="inlineStr">
        <is>
          <t>Enclosure required; AMS Lite ✗</t>
        </is>
      </c>
    </row>
    <row r="5" ht="20" customHeight="1">
      <c r="A5" s="23" t="inlineStr">
        <is>
          <t>ABS</t>
        </is>
      </c>
      <c r="B5" s="23" t="inlineStr">
        <is>
          <t>CRH-ABS-WH</t>
        </is>
      </c>
      <c r="C5" s="23" t="inlineStr">
        <is>
          <t>ABS</t>
        </is>
      </c>
      <c r="D5" s="23" t="inlineStr">
        <is>
          <t>White</t>
        </is>
      </c>
      <c r="E5" s="30" t="inlineStr"/>
      <c r="F5" s="31" t="inlineStr">
        <is>
          <t>#F5F5F5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80–100°C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High-speed ABS; enclosure required; no Bambu-optimized profile</t>
        </is>
      </c>
      <c r="T5" s="23" t="inlineStr">
        <is>
          <t>Enclosure required; AMS Lite ✗</t>
        </is>
      </c>
    </row>
    <row r="6" ht="20" customHeight="1">
      <c r="A6" s="26" t="inlineStr">
        <is>
          <t>ASA</t>
        </is>
      </c>
      <c r="B6" s="26" t="inlineStr">
        <is>
          <t>CRH-ASA-BK</t>
        </is>
      </c>
      <c r="C6" s="26" t="inlineStr">
        <is>
          <t>ASA</t>
        </is>
      </c>
      <c r="D6" s="26" t="inlineStr">
        <is>
          <t>Black</t>
        </is>
      </c>
      <c r="E6" s="24" t="inlineStr"/>
      <c r="F6" s="25" t="inlineStr">
        <is>
          <t>#111111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240–270°C</t>
        </is>
      </c>
      <c r="L6" s="29" t="inlineStr">
        <is>
          <t>90–110°C</t>
        </is>
      </c>
      <c r="M6" s="29" t="inlineStr">
        <is>
          <t>80°C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High-speed ASA formulation; UV-resistant; enclosure required</t>
        </is>
      </c>
      <c r="T6" s="26" t="inlineStr">
        <is>
          <t>Enclosure required; AMS Lite ✗</t>
        </is>
      </c>
    </row>
    <row r="7" ht="20" customHeight="1">
      <c r="A7" s="23" t="inlineStr">
        <is>
          <t>ASA</t>
        </is>
      </c>
      <c r="B7" s="23" t="inlineStr">
        <is>
          <t>CRH-ASA-WH</t>
        </is>
      </c>
      <c r="C7" s="23" t="inlineStr">
        <is>
          <t>ASA</t>
        </is>
      </c>
      <c r="D7" s="23" t="inlineStr">
        <is>
          <t>White</t>
        </is>
      </c>
      <c r="E7" s="30" t="inlineStr"/>
      <c r="F7" s="31" t="inlineStr">
        <is>
          <t>#F5F5F5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240–270°C</t>
        </is>
      </c>
      <c r="L7" s="16" t="inlineStr">
        <is>
          <t>90–110°C</t>
        </is>
      </c>
      <c r="M7" s="16" t="inlineStr">
        <is>
          <t>80°C / 8h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High-speed ASA formulation; UV-resistant; enclosure required</t>
        </is>
      </c>
      <c r="T7" s="23" t="inlineStr">
        <is>
          <t>Enclosure required; AMS Lite ✗</t>
        </is>
      </c>
    </row>
    <row r="8" ht="20" customHeight="1">
      <c r="A8" s="26" t="inlineStr">
        <is>
          <t>PC</t>
        </is>
      </c>
      <c r="B8" s="26" t="inlineStr">
        <is>
          <t>CRH-PC-01</t>
        </is>
      </c>
      <c r="C8" s="26" t="inlineStr">
        <is>
          <t>Hyper PC</t>
        </is>
      </c>
      <c r="D8" s="26" t="inlineStr">
        <is>
          <t>Black</t>
        </is>
      </c>
      <c r="E8" s="32" t="inlineStr"/>
      <c r="F8" s="33" t="inlineStr">
        <is>
          <t>#0D0D0D</t>
        </is>
      </c>
      <c r="G8" s="29" t="inlineStr">
        <is>
          <t>1.75mm</t>
        </is>
      </c>
      <c r="H8" s="29" t="inlineStr">
        <is>
          <t>±0.05mm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260–280°C</t>
        </is>
      </c>
      <c r="L8" s="29" t="inlineStr">
        <is>
          <t>90–110°C</t>
        </is>
      </c>
      <c r="M8" s="29" t="inlineStr">
        <is>
          <t>80°C / 8h</t>
        </is>
      </c>
      <c r="N8" s="29" t="inlineStr">
        <is>
          <t>✓</t>
        </is>
      </c>
      <c r="O8" s="29" t="inlineStr">
        <is>
          <t>✗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C</t>
        </is>
      </c>
      <c r="S8" s="26" t="inlineStr">
        <is>
          <t>Line existence confirmed (store.creality.com/collections/hyper-series); specs estimated, not individually TDS-confirmed</t>
        </is>
      </c>
      <c r="T8" s="26" t="inlineStr">
        <is>
          <t>Deep-dive follow-up 2026-07-19; NEW LINE</t>
        </is>
      </c>
    </row>
    <row r="9" ht="20" customHeight="1">
      <c r="A9" s="23" t="inlineStr">
        <is>
          <t>PETG</t>
        </is>
      </c>
      <c r="B9" s="23" t="inlineStr">
        <is>
          <t>CRH-PETG-BK</t>
        </is>
      </c>
      <c r="C9" s="23" t="inlineStr">
        <is>
          <t>PETG</t>
        </is>
      </c>
      <c r="D9" s="23" t="inlineStr">
        <is>
          <t>Black</t>
        </is>
      </c>
      <c r="E9" s="24" t="inlineStr"/>
      <c r="F9" s="25" t="inlineStr">
        <is>
          <t>#111111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230–260°C</t>
        </is>
      </c>
      <c r="L9" s="16" t="inlineStr">
        <is>
          <t>70–85°C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B</t>
        </is>
      </c>
      <c r="S9" s="23" t="inlineStr">
        <is>
          <t>High-speed formulation PETG; standard AMS compatibility</t>
        </is>
      </c>
      <c r="T9" s="23" t="inlineStr"/>
    </row>
    <row r="10" ht="20" customHeight="1">
      <c r="A10" s="26" t="inlineStr">
        <is>
          <t>PETG</t>
        </is>
      </c>
      <c r="B10" s="26" t="inlineStr">
        <is>
          <t>CRH-PETG-BL</t>
        </is>
      </c>
      <c r="C10" s="26" t="inlineStr">
        <is>
          <t>PETG</t>
        </is>
      </c>
      <c r="D10" s="26" t="inlineStr">
        <is>
          <t>Blue</t>
        </is>
      </c>
      <c r="E10" s="34" t="inlineStr"/>
      <c r="F10" s="35" t="inlineStr">
        <is>
          <t>#0057A8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230–260°C</t>
        </is>
      </c>
      <c r="L10" s="29" t="inlineStr">
        <is>
          <t>70–85°C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B</t>
        </is>
      </c>
      <c r="S10" s="26" t="inlineStr">
        <is>
          <t>High-speed formulation PETG; standard AMS compatibility</t>
        </is>
      </c>
      <c r="T10" s="26" t="inlineStr"/>
    </row>
    <row r="11" ht="20" customHeight="1">
      <c r="A11" s="23" t="inlineStr">
        <is>
          <t>PETG</t>
        </is>
      </c>
      <c r="B11" s="23" t="inlineStr">
        <is>
          <t>CRH-PETG-GY</t>
        </is>
      </c>
      <c r="C11" s="23" t="inlineStr">
        <is>
          <t>PETG</t>
        </is>
      </c>
      <c r="D11" s="23" t="inlineStr">
        <is>
          <t>Gray</t>
        </is>
      </c>
      <c r="E11" s="27" t="inlineStr"/>
      <c r="F11" s="28" t="inlineStr">
        <is>
          <t>#808080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230–260°C</t>
        </is>
      </c>
      <c r="L11" s="16" t="inlineStr">
        <is>
          <t>70–85°C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B</t>
        </is>
      </c>
      <c r="S11" s="23" t="inlineStr">
        <is>
          <t>High-speed formulation PETG; standard AMS compatibility</t>
        </is>
      </c>
      <c r="T11" s="23" t="inlineStr"/>
    </row>
    <row r="12" ht="20" customHeight="1">
      <c r="A12" s="26" t="inlineStr">
        <is>
          <t>PETG</t>
        </is>
      </c>
      <c r="B12" s="26" t="inlineStr">
        <is>
          <t>CRH-PETG-RD</t>
        </is>
      </c>
      <c r="C12" s="26" t="inlineStr">
        <is>
          <t>PETG</t>
        </is>
      </c>
      <c r="D12" s="26" t="inlineStr">
        <is>
          <t>Red</t>
        </is>
      </c>
      <c r="E12" s="36" t="inlineStr"/>
      <c r="F12" s="37" t="inlineStr">
        <is>
          <t>#CC0000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230–260°C</t>
        </is>
      </c>
      <c r="L12" s="29" t="inlineStr">
        <is>
          <t>70–85°C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High-speed formulation PETG; standard AMS compatibility</t>
        </is>
      </c>
      <c r="T12" s="26" t="inlineStr"/>
    </row>
    <row r="13" ht="20" customHeight="1">
      <c r="A13" s="23" t="inlineStr">
        <is>
          <t>PETG</t>
        </is>
      </c>
      <c r="B13" s="23" t="inlineStr">
        <is>
          <t>CRH-PETG-TR</t>
        </is>
      </c>
      <c r="C13" s="23" t="inlineStr">
        <is>
          <t>PETG</t>
        </is>
      </c>
      <c r="D13" s="23" t="inlineStr">
        <is>
          <t>Transparent</t>
        </is>
      </c>
      <c r="E13" s="38" t="inlineStr"/>
      <c r="F13" s="39" t="inlineStr">
        <is>
          <t>#D8EEF8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230–260°C</t>
        </is>
      </c>
      <c r="L13" s="16" t="inlineStr">
        <is>
          <t>70–85°C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High-speed formulation PETG; standard AMS compatibility</t>
        </is>
      </c>
      <c r="T13" s="23" t="inlineStr"/>
    </row>
    <row r="14" ht="20" customHeight="1">
      <c r="A14" s="26" t="inlineStr">
        <is>
          <t>PETG</t>
        </is>
      </c>
      <c r="B14" s="26" t="inlineStr">
        <is>
          <t>CRH-PETG-WH</t>
        </is>
      </c>
      <c r="C14" s="26" t="inlineStr">
        <is>
          <t>PETG</t>
        </is>
      </c>
      <c r="D14" s="26" t="inlineStr">
        <is>
          <t>White</t>
        </is>
      </c>
      <c r="E14" s="30" t="inlineStr"/>
      <c r="F14" s="31" t="inlineStr">
        <is>
          <t>#F5F5F5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230–260°C</t>
        </is>
      </c>
      <c r="L14" s="29" t="inlineStr">
        <is>
          <t>70–85°C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High-speed formulation PETG; standard AMS compatibility</t>
        </is>
      </c>
      <c r="T14" s="26" t="inlineStr"/>
    </row>
    <row r="15" ht="20" customHeight="1">
      <c r="A15" s="23" t="inlineStr">
        <is>
          <t>PETG-CF</t>
        </is>
      </c>
      <c r="B15" s="23" t="inlineStr">
        <is>
          <t>CRH-PETGCF-BK</t>
        </is>
      </c>
      <c r="C15" s="23" t="inlineStr">
        <is>
          <t>PETG-CF</t>
        </is>
      </c>
      <c r="D15" s="23" t="inlineStr">
        <is>
          <t>Black</t>
        </is>
      </c>
      <c r="E15" s="24" t="inlineStr"/>
      <c r="F15" s="25" t="inlineStr">
        <is>
          <t>#111111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240–260°C</t>
        </is>
      </c>
      <c r="L15" s="16" t="inlineStr">
        <is>
          <t>70–85°C</t>
        </is>
      </c>
      <c r="M15" s="16" t="inlineStr">
        <is>
          <t>65°C / 8h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High-speed CF PETG; abrasive; hardened nozzle required</t>
        </is>
      </c>
      <c r="T15" s="23" t="inlineStr">
        <is>
          <t>Abrasive — hardened nozzle (≥0.4mm) required</t>
        </is>
      </c>
    </row>
    <row r="16" ht="20" customHeight="1">
      <c r="A16" s="26" t="inlineStr">
        <is>
          <t>PLA</t>
        </is>
      </c>
      <c r="B16" s="26" t="inlineStr">
        <is>
          <t>CRH-PLA-BG</t>
        </is>
      </c>
      <c r="C16" s="26" t="inlineStr">
        <is>
          <t>Hyper PLA</t>
        </is>
      </c>
      <c r="D16" s="26" t="inlineStr">
        <is>
          <t>Beige</t>
        </is>
      </c>
      <c r="E16" s="40" t="inlineStr"/>
      <c r="F16" s="41" t="inlineStr">
        <is>
          <t>#F5DEB3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200–240°C</t>
        </is>
      </c>
      <c r="L16" s="29" t="inlineStr">
        <is>
          <t>25–60°C</t>
        </is>
      </c>
      <c r="M16" s="29" t="inlineStr">
        <is>
          <t>45°C / 4h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High-speed formulation PLA; designed for 300mm/s+; compatible with Bambu printers</t>
        </is>
      </c>
      <c r="T16" s="26" t="inlineStr"/>
    </row>
    <row r="17" ht="20" customHeight="1">
      <c r="A17" s="23" t="inlineStr">
        <is>
          <t>PLA</t>
        </is>
      </c>
      <c r="B17" s="23" t="inlineStr">
        <is>
          <t>CRH-PLA-BK</t>
        </is>
      </c>
      <c r="C17" s="23" t="inlineStr">
        <is>
          <t>Hyper PLA</t>
        </is>
      </c>
      <c r="D17" s="23" t="inlineStr">
        <is>
          <t>Black</t>
        </is>
      </c>
      <c r="E17" s="24" t="inlineStr"/>
      <c r="F17" s="25" t="inlineStr">
        <is>
          <t>#111111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200–240°C</t>
        </is>
      </c>
      <c r="L17" s="16" t="inlineStr">
        <is>
          <t>25–60°C</t>
        </is>
      </c>
      <c r="M17" s="16" t="inlineStr">
        <is>
          <t>45°C / 4h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High-speed formulation PLA; designed for 300mm/s+; compatible with Bambu printers</t>
        </is>
      </c>
      <c r="T17" s="23" t="inlineStr"/>
    </row>
    <row r="18" ht="20" customHeight="1">
      <c r="A18" s="26" t="inlineStr">
        <is>
          <t>PLA</t>
        </is>
      </c>
      <c r="B18" s="26" t="inlineStr">
        <is>
          <t>CRH-PLA-BL</t>
        </is>
      </c>
      <c r="C18" s="26" t="inlineStr">
        <is>
          <t>Hyper PLA</t>
        </is>
      </c>
      <c r="D18" s="26" t="inlineStr">
        <is>
          <t>Blue</t>
        </is>
      </c>
      <c r="E18" s="34" t="inlineStr"/>
      <c r="F18" s="35" t="inlineStr">
        <is>
          <t>#0057A8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200–240°C</t>
        </is>
      </c>
      <c r="L18" s="29" t="inlineStr">
        <is>
          <t>25–60°C</t>
        </is>
      </c>
      <c r="M18" s="29" t="inlineStr">
        <is>
          <t>45°C / 4h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High-speed formulation PLA; designed for 300mm/s+; compatible with Bambu printers</t>
        </is>
      </c>
      <c r="T18" s="26" t="inlineStr"/>
    </row>
    <row r="19" ht="20" customHeight="1">
      <c r="A19" s="23" t="inlineStr">
        <is>
          <t>PLA</t>
        </is>
      </c>
      <c r="B19" s="23" t="inlineStr">
        <is>
          <t>CRH-PLA-BR</t>
        </is>
      </c>
      <c r="C19" s="23" t="inlineStr">
        <is>
          <t>Hyper PLA</t>
        </is>
      </c>
      <c r="D19" s="23" t="inlineStr">
        <is>
          <t>Brown</t>
        </is>
      </c>
      <c r="E19" s="42" t="inlineStr"/>
      <c r="F19" s="43" t="inlineStr">
        <is>
          <t>#8B4513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200–240°C</t>
        </is>
      </c>
      <c r="L19" s="16" t="inlineStr">
        <is>
          <t>25–60°C</t>
        </is>
      </c>
      <c r="M19" s="16" t="inlineStr">
        <is>
          <t>45°C / 4h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High-speed formulation PLA; designed for 300mm/s+; compatible with Bambu printers</t>
        </is>
      </c>
      <c r="T19" s="23" t="inlineStr"/>
    </row>
    <row r="20" ht="20" customHeight="1">
      <c r="A20" s="26" t="inlineStr">
        <is>
          <t>PLA</t>
        </is>
      </c>
      <c r="B20" s="26" t="inlineStr">
        <is>
          <t>CRH-PLA-GY</t>
        </is>
      </c>
      <c r="C20" s="26" t="inlineStr">
        <is>
          <t>Hyper PLA</t>
        </is>
      </c>
      <c r="D20" s="26" t="inlineStr">
        <is>
          <t>Gray</t>
        </is>
      </c>
      <c r="E20" s="27" t="inlineStr"/>
      <c r="F20" s="28" t="inlineStr">
        <is>
          <t>#808080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200–240°C</t>
        </is>
      </c>
      <c r="L20" s="29" t="inlineStr">
        <is>
          <t>25–60°C</t>
        </is>
      </c>
      <c r="M20" s="29" t="inlineStr">
        <is>
          <t>45°C / 4h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High-speed formulation PLA; designed for 300mm/s+; compatible with Bambu printers</t>
        </is>
      </c>
      <c r="T20" s="26" t="inlineStr"/>
    </row>
    <row r="21" ht="20" customHeight="1">
      <c r="A21" s="23" t="inlineStr">
        <is>
          <t>PLA</t>
        </is>
      </c>
      <c r="B21" s="23" t="inlineStr">
        <is>
          <t>CRH-PLA-GN</t>
        </is>
      </c>
      <c r="C21" s="23" t="inlineStr">
        <is>
          <t>Hyper PLA</t>
        </is>
      </c>
      <c r="D21" s="23" t="inlineStr">
        <is>
          <t>Green</t>
        </is>
      </c>
      <c r="E21" s="44" t="inlineStr"/>
      <c r="F21" s="45" t="inlineStr">
        <is>
          <t>#2E8B57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200–240°C</t>
        </is>
      </c>
      <c r="L21" s="16" t="inlineStr">
        <is>
          <t>25–60°C</t>
        </is>
      </c>
      <c r="M21" s="16" t="inlineStr">
        <is>
          <t>45°C / 4h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High-speed formulation PLA; designed for 300mm/s+; compatible with Bambu printers</t>
        </is>
      </c>
      <c r="T21" s="23" t="inlineStr"/>
    </row>
    <row r="22" ht="20" customHeight="1">
      <c r="A22" s="26" t="inlineStr">
        <is>
          <t>PLA</t>
        </is>
      </c>
      <c r="B22" s="26" t="inlineStr">
        <is>
          <t>CRH-PLA-OR</t>
        </is>
      </c>
      <c r="C22" s="26" t="inlineStr">
        <is>
          <t>Hyper PLA</t>
        </is>
      </c>
      <c r="D22" s="26" t="inlineStr">
        <is>
          <t>Orange</t>
        </is>
      </c>
      <c r="E22" s="46" t="inlineStr"/>
      <c r="F22" s="47" t="inlineStr">
        <is>
          <t>#F5821F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200–240°C</t>
        </is>
      </c>
      <c r="L22" s="29" t="inlineStr">
        <is>
          <t>25–60°C</t>
        </is>
      </c>
      <c r="M22" s="29" t="inlineStr">
        <is>
          <t>45°C / 4h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High-speed formulation PLA; designed for 300mm/s+; compatible with Bambu printers</t>
        </is>
      </c>
      <c r="T22" s="26" t="inlineStr"/>
    </row>
    <row r="23" ht="20" customHeight="1">
      <c r="A23" s="23" t="inlineStr">
        <is>
          <t>PLA</t>
        </is>
      </c>
      <c r="B23" s="23" t="inlineStr">
        <is>
          <t>CRH-PLA-PK</t>
        </is>
      </c>
      <c r="C23" s="23" t="inlineStr">
        <is>
          <t>Hyper PLA</t>
        </is>
      </c>
      <c r="D23" s="23" t="inlineStr">
        <is>
          <t>Pink</t>
        </is>
      </c>
      <c r="E23" s="48" t="inlineStr"/>
      <c r="F23" s="49" t="inlineStr">
        <is>
          <t>#FF69B4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200–240°C</t>
        </is>
      </c>
      <c r="L23" s="16" t="inlineStr">
        <is>
          <t>25–60°C</t>
        </is>
      </c>
      <c r="M23" s="16" t="inlineStr">
        <is>
          <t>45°C / 4h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High-speed formulation PLA; designed for 300mm/s+; compatible with Bambu printers</t>
        </is>
      </c>
      <c r="T23" s="23" t="inlineStr"/>
    </row>
    <row r="24" ht="20" customHeight="1">
      <c r="A24" s="26" t="inlineStr">
        <is>
          <t>PLA</t>
        </is>
      </c>
      <c r="B24" s="26" t="inlineStr">
        <is>
          <t>CRH-PLA-PU</t>
        </is>
      </c>
      <c r="C24" s="26" t="inlineStr">
        <is>
          <t>Hyper PLA</t>
        </is>
      </c>
      <c r="D24" s="26" t="inlineStr">
        <is>
          <t>Purple</t>
        </is>
      </c>
      <c r="E24" s="50" t="inlineStr"/>
      <c r="F24" s="51" t="inlineStr">
        <is>
          <t>#6A0DAD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200–240°C</t>
        </is>
      </c>
      <c r="L24" s="29" t="inlineStr">
        <is>
          <t>25–60°C</t>
        </is>
      </c>
      <c r="M24" s="29" t="inlineStr">
        <is>
          <t>45°C / 4h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High-speed formulation PLA; designed for 300mm/s+; compatible with Bambu printers</t>
        </is>
      </c>
      <c r="T24" s="26" t="inlineStr"/>
    </row>
    <row r="25" ht="20" customHeight="1">
      <c r="A25" s="23" t="inlineStr">
        <is>
          <t>PLA</t>
        </is>
      </c>
      <c r="B25" s="23" t="inlineStr">
        <is>
          <t>CRH-PLA-RD</t>
        </is>
      </c>
      <c r="C25" s="23" t="inlineStr">
        <is>
          <t>Hyper PLA</t>
        </is>
      </c>
      <c r="D25" s="23" t="inlineStr">
        <is>
          <t>Red</t>
        </is>
      </c>
      <c r="E25" s="36" t="inlineStr"/>
      <c r="F25" s="37" t="inlineStr">
        <is>
          <t>#CC0000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200–240°C</t>
        </is>
      </c>
      <c r="L25" s="16" t="inlineStr">
        <is>
          <t>25–60°C</t>
        </is>
      </c>
      <c r="M25" s="16" t="inlineStr">
        <is>
          <t>45°C / 4h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B</t>
        </is>
      </c>
      <c r="S25" s="23" t="inlineStr">
        <is>
          <t>High-speed formulation PLA; designed for 300mm/s+; compatible with Bambu printers</t>
        </is>
      </c>
      <c r="T25" s="23" t="inlineStr"/>
    </row>
    <row r="26" ht="20" customHeight="1">
      <c r="A26" s="26" t="inlineStr">
        <is>
          <t>PLA</t>
        </is>
      </c>
      <c r="B26" s="26" t="inlineStr">
        <is>
          <t>CRH-PLA-WH</t>
        </is>
      </c>
      <c r="C26" s="26" t="inlineStr">
        <is>
          <t>Hyper PLA</t>
        </is>
      </c>
      <c r="D26" s="26" t="inlineStr">
        <is>
          <t>White</t>
        </is>
      </c>
      <c r="E26" s="30" t="inlineStr"/>
      <c r="F26" s="31" t="inlineStr">
        <is>
          <t>#F5F5F5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200–240°C</t>
        </is>
      </c>
      <c r="L26" s="29" t="inlineStr">
        <is>
          <t>25–60°C</t>
        </is>
      </c>
      <c r="M26" s="29" t="inlineStr">
        <is>
          <t>45°C / 4h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B</t>
        </is>
      </c>
      <c r="S26" s="26" t="inlineStr">
        <is>
          <t>High-speed formulation PLA; designed for 300mm/s+; compatible with Bambu printers</t>
        </is>
      </c>
      <c r="T26" s="26" t="inlineStr"/>
    </row>
    <row r="27" ht="20" customHeight="1">
      <c r="A27" s="23" t="inlineStr">
        <is>
          <t>PLA</t>
        </is>
      </c>
      <c r="B27" s="23" t="inlineStr">
        <is>
          <t>CRH-PLA-YL</t>
        </is>
      </c>
      <c r="C27" s="23" t="inlineStr">
        <is>
          <t>Hyper PLA</t>
        </is>
      </c>
      <c r="D27" s="23" t="inlineStr">
        <is>
          <t>Yellow</t>
        </is>
      </c>
      <c r="E27" s="52" t="inlineStr"/>
      <c r="F27" s="53" t="inlineStr">
        <is>
          <t>#F5C518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200–240°C</t>
        </is>
      </c>
      <c r="L27" s="16" t="inlineStr">
        <is>
          <t>25–60°C</t>
        </is>
      </c>
      <c r="M27" s="16" t="inlineStr">
        <is>
          <t>45°C / 4h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High-speed formulation PLA; designed for 300mm/s+; compatible with Bambu printers</t>
        </is>
      </c>
      <c r="T27" s="23" t="inlineStr"/>
    </row>
    <row r="28" ht="20" customHeight="1">
      <c r="A28" s="26" t="inlineStr">
        <is>
          <t>PLA (Lightweight RFID)</t>
        </is>
      </c>
      <c r="B28" s="26" t="inlineStr">
        <is>
          <t>CRH-LW-01</t>
        </is>
      </c>
      <c r="C28" s="26" t="inlineStr">
        <is>
          <t>Hyper PLA Lightweight RFID</t>
        </is>
      </c>
      <c r="D28" s="26" t="inlineStr">
        <is>
          <t>Black</t>
        </is>
      </c>
      <c r="E28" s="32" t="inlineStr"/>
      <c r="F28" s="33" t="inlineStr">
        <is>
          <t>#0D0D0D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220–250°C</t>
        </is>
      </c>
      <c r="L28" s="29" t="inlineStr">
        <is>
          <t>45–60°C</t>
        </is>
      </c>
      <c r="M28" s="29" t="inlineStr">
        <is>
          <t>45°C / 4h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C</t>
        </is>
      </c>
      <c r="S28" s="26" t="inlineStr">
        <is>
          <t>Line existence confirmed (store.creality.com); foaming/lightweight PLA with RFID tag, specs estimated</t>
        </is>
      </c>
      <c r="T28" s="26" t="inlineStr">
        <is>
          <t>Deep-dive follow-up 2026-07-19; NEW LINE</t>
        </is>
      </c>
    </row>
    <row r="29" ht="20" customHeight="1">
      <c r="A29" s="23" t="inlineStr">
        <is>
          <t>PLA (Luminous RFID)</t>
        </is>
      </c>
      <c r="B29" s="23" t="inlineStr">
        <is>
          <t>CRH-LUM-01</t>
        </is>
      </c>
      <c r="C29" s="23" t="inlineStr">
        <is>
          <t>Hyper PLA Luminous RFID</t>
        </is>
      </c>
      <c r="D29" s="23" t="inlineStr">
        <is>
          <t>Glow Green</t>
        </is>
      </c>
      <c r="E29" s="54" t="inlineStr"/>
      <c r="F29" s="55" t="inlineStr">
        <is>
          <t>#999999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200–220°C</t>
        </is>
      </c>
      <c r="L29" s="16" t="inlineStr">
        <is>
          <t>45–60°C</t>
        </is>
      </c>
      <c r="M29" s="16" t="inlineStr">
        <is>
          <t>45°C / 4h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C</t>
        </is>
      </c>
      <c r="S29" s="23" t="inlineStr">
        <is>
          <t>Line existence confirmed (store.creality.com); glow-in-dark PLA with RFID tag, specs estimated</t>
        </is>
      </c>
      <c r="T29" s="23" t="inlineStr">
        <is>
          <t>Deep-dive follow-up 2026-07-19; NEW LINE</t>
        </is>
      </c>
    </row>
    <row r="30" ht="20" customHeight="1">
      <c r="A30" s="26" t="inlineStr">
        <is>
          <t>PLA (Rainbow)</t>
        </is>
      </c>
      <c r="B30" s="26" t="inlineStr">
        <is>
          <t>CRH-RBOW-01</t>
        </is>
      </c>
      <c r="C30" s="26" t="inlineStr">
        <is>
          <t>Hyper Rainbow PLA</t>
        </is>
      </c>
      <c r="D30" s="26" t="inlineStr">
        <is>
          <t>Rainbow (gradient)</t>
        </is>
      </c>
      <c r="E30" s="54" t="inlineStr"/>
      <c r="F30" s="55" t="inlineStr">
        <is>
          <t>#999999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200–220°C</t>
        </is>
      </c>
      <c r="L30" s="29" t="inlineStr">
        <is>
          <t>45–60°C</t>
        </is>
      </c>
      <c r="M30" s="29" t="inlineStr">
        <is>
          <t>45°C / 4h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C</t>
        </is>
      </c>
      <c r="S30" s="26" t="inlineStr">
        <is>
          <t>Line existence confirmed (store.creality.com/collections/hyper-series); multi-color-per-spool gradient product, specs estimated from base Hyper PLA</t>
        </is>
      </c>
      <c r="T30" s="26" t="inlineStr">
        <is>
          <t>Deep-dive follow-up 2026-07-19; NEW LINE</t>
        </is>
      </c>
    </row>
    <row r="31" ht="20" customHeight="1">
      <c r="A31" s="23" t="inlineStr">
        <is>
          <t>PLA (Stardust RFID)</t>
        </is>
      </c>
      <c r="B31" s="23" t="inlineStr">
        <is>
          <t>CRH-STAR-01</t>
        </is>
      </c>
      <c r="C31" s="23" t="inlineStr">
        <is>
          <t>Hyper PLA Stardust RFID</t>
        </is>
      </c>
      <c r="D31" s="23" t="inlineStr">
        <is>
          <t>Stardust Mix</t>
        </is>
      </c>
      <c r="E31" s="54" t="inlineStr"/>
      <c r="F31" s="55" t="inlineStr">
        <is>
          <t>#999999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200–220°C</t>
        </is>
      </c>
      <c r="L31" s="16" t="inlineStr">
        <is>
          <t>45–60°C</t>
        </is>
      </c>
      <c r="M31" s="16" t="inlineStr">
        <is>
          <t>45°C / 4h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C</t>
        </is>
      </c>
      <c r="S31" s="23" t="inlineStr">
        <is>
          <t>Line existence confirmed (store.creality.com); sparkle-effect PLA with RFID tag, specs estimated</t>
        </is>
      </c>
      <c r="T31" s="23" t="inlineStr">
        <is>
          <t>Deep-dive follow-up 2026-07-19; NEW LINE</t>
        </is>
      </c>
    </row>
    <row r="32" ht="20" customHeight="1">
      <c r="A32" s="26" t="inlineStr">
        <is>
          <t>PLA-CF</t>
        </is>
      </c>
      <c r="B32" s="26" t="inlineStr">
        <is>
          <t>CRH-PLACF-BK</t>
        </is>
      </c>
      <c r="C32" s="26" t="inlineStr">
        <is>
          <t>PLA-CF</t>
        </is>
      </c>
      <c r="D32" s="26" t="inlineStr">
        <is>
          <t>Black</t>
        </is>
      </c>
      <c r="E32" s="24" t="inlineStr"/>
      <c r="F32" s="25" t="inlineStr">
        <is>
          <t>#111111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220–250°C</t>
        </is>
      </c>
      <c r="L32" s="29" t="inlineStr">
        <is>
          <t>50–70°C</t>
        </is>
      </c>
      <c r="M32" s="29" t="inlineStr">
        <is>
          <t>65°C / 8h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Carbon-fiber reinforced PLA for stiff lightweight parts; hardened nozzle required</t>
        </is>
      </c>
      <c r="T32" s="26" t="inlineStr">
        <is>
          <t>Abrasive — hardened nozzle (≥0.4mm) required; ≥0.6mm recommended</t>
        </is>
      </c>
    </row>
    <row r="33" ht="20" customHeight="1">
      <c r="A33" s="23" t="inlineStr">
        <is>
          <t>TPU</t>
        </is>
      </c>
      <c r="B33" s="23" t="inlineStr">
        <is>
          <t>CRH-TPU-BK</t>
        </is>
      </c>
      <c r="C33" s="23" t="inlineStr">
        <is>
          <t>TPU</t>
        </is>
      </c>
      <c r="D33" s="23" t="inlineStr">
        <is>
          <t>Black</t>
        </is>
      </c>
      <c r="E33" s="24" t="inlineStr"/>
      <c r="F33" s="25" t="inlineStr">
        <is>
          <t>#111111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215–235°C</t>
        </is>
      </c>
      <c r="L33" s="16" t="inlineStr">
        <is>
          <t>25–50°C</t>
        </is>
      </c>
      <c r="M33" s="16" t="inlineStr">
        <is>
          <t>45°C / 6h</t>
        </is>
      </c>
      <c r="N33" s="16" t="inlineStr">
        <is>
          <t>✗</t>
        </is>
      </c>
      <c r="O33" s="16" t="inlineStr">
        <is>
          <t>✗</t>
        </is>
      </c>
      <c r="P33" s="16" t="inlineStr">
        <is>
          <t>✗</t>
        </is>
      </c>
      <c r="Q33" s="16" t="inlineStr">
        <is>
          <t>✗</t>
        </is>
      </c>
      <c r="R33" s="16" t="inlineStr">
        <is>
          <t>B</t>
        </is>
      </c>
      <c r="S33" s="23" t="inlineStr">
        <is>
          <t>Standard TPU; external spool only</t>
        </is>
      </c>
      <c r="T33" s="23" t="inlineStr">
        <is>
          <t>External spool only on all Bambu AMS variants</t>
        </is>
      </c>
    </row>
    <row r="34" ht="20" customHeight="1">
      <c r="A34" s="26" t="inlineStr">
        <is>
          <t>TPU</t>
        </is>
      </c>
      <c r="B34" s="26" t="inlineStr">
        <is>
          <t>CRH-TPU-NT</t>
        </is>
      </c>
      <c r="C34" s="26" t="inlineStr">
        <is>
          <t>TPU</t>
        </is>
      </c>
      <c r="D34" s="26" t="inlineStr">
        <is>
          <t>Natural</t>
        </is>
      </c>
      <c r="E34" s="56" t="inlineStr"/>
      <c r="F34" s="57" t="inlineStr">
        <is>
          <t>#F0E8D8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215–235°C</t>
        </is>
      </c>
      <c r="L34" s="29" t="inlineStr">
        <is>
          <t>25–50°C</t>
        </is>
      </c>
      <c r="M34" s="29" t="inlineStr">
        <is>
          <t>45°C / 6h</t>
        </is>
      </c>
      <c r="N34" s="29" t="inlineStr">
        <is>
          <t>✗</t>
        </is>
      </c>
      <c r="O34" s="29" t="inlineStr">
        <is>
          <t>✗</t>
        </is>
      </c>
      <c r="P34" s="29" t="inlineStr">
        <is>
          <t>✗</t>
        </is>
      </c>
      <c r="Q34" s="29" t="inlineStr">
        <is>
          <t>✗</t>
        </is>
      </c>
      <c r="R34" s="29" t="inlineStr">
        <is>
          <t>B</t>
        </is>
      </c>
      <c r="S34" s="26" t="inlineStr">
        <is>
          <t>Standard TPU; external spool only</t>
        </is>
      </c>
      <c r="T34" s="26" t="inlineStr">
        <is>
          <t>External spool only on all Bambu AMS variants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35" showDropDown="0" showInputMessage="0" showErrorMessage="0" allowBlank="1" type="list">
      <formula1>"S,A,B,C"</formula1>
    </dataValidation>
    <dataValidation sqref="I3:I135" showDropDown="0" showInputMessage="0" showErrorMessage="0" allowBlank="1" type="list">
      <formula1>"Cardboard,Plastic"</formula1>
    </dataValidation>
    <dataValidation sqref="J3:J135" showDropDown="0" showInputMessage="0" showErrorMessage="0" allowBlank="1" type="list">
      <formula1>"Yes,No"</formula1>
    </dataValidation>
    <dataValidation sqref="G3:G135" showDropDown="0" showInputMessage="0" showErrorMessage="0" allowBlank="1" type="list">
      <formula1>"1.75mm,2.85mm"</formula1>
    </dataValidation>
    <dataValidation sqref="N3:N135" showDropDown="0" showInputMessage="0" showErrorMessage="0" allowBlank="1" type="list">
      <formula1>"✓,✗,⚠"</formula1>
    </dataValidation>
    <dataValidation sqref="O3:O135" showDropDown="0" showInputMessage="0" showErrorMessage="0" allowBlank="1" type="list">
      <formula1>"✓,✗,⚠"</formula1>
    </dataValidation>
    <dataValidation sqref="P3:P135" showDropDown="0" showInputMessage="0" showErrorMessage="0" allowBlank="1" type="list">
      <formula1>"✓,✗,⚠"</formula1>
    </dataValidation>
    <dataValidation sqref="Q3:Q135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Creality Hyper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200–240°C</t>
        </is>
      </c>
      <c r="C3" s="16" t="inlineStr">
        <is>
          <t>25–60°C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4h</t>
        </is>
      </c>
      <c r="H3" s="23" t="inlineStr">
        <is>
          <t>High-speed formulation; designed for 300mm/s+</t>
        </is>
      </c>
    </row>
    <row r="4" ht="20" customHeight="1">
      <c r="A4" s="26" t="inlineStr">
        <is>
          <t>PETG</t>
        </is>
      </c>
      <c r="B4" s="29" t="inlineStr">
        <is>
          <t>230–260°C</t>
        </is>
      </c>
      <c r="C4" s="29" t="inlineStr">
        <is>
          <t>70–85°C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/>
    </row>
    <row r="5" ht="20" customHeight="1">
      <c r="A5" s="23" t="inlineStr">
        <is>
          <t>ABS</t>
        </is>
      </c>
      <c r="B5" s="16" t="inlineStr">
        <is>
          <t>235–265°C</t>
        </is>
      </c>
      <c r="C5" s="16" t="inlineStr">
        <is>
          <t>80–100°C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Enclosure required; AMS Lite ✗</t>
        </is>
      </c>
    </row>
    <row r="6" ht="20" customHeight="1">
      <c r="A6" s="26" t="inlineStr">
        <is>
          <t>PLA-CF</t>
        </is>
      </c>
      <c r="B6" s="29" t="inlineStr">
        <is>
          <t>220–250°C</t>
        </is>
      </c>
      <c r="C6" s="29" t="inlineStr">
        <is>
          <t>50–70°C</t>
        </is>
      </c>
      <c r="D6" s="29" t="inlineStr">
        <is>
          <t>No</t>
        </is>
      </c>
      <c r="E6" s="29" t="inlineStr">
        <is>
          <t>Yes</t>
        </is>
      </c>
      <c r="F6" s="29" t="inlineStr">
        <is>
          <t>Yes</t>
        </is>
      </c>
      <c r="G6" s="29" t="inlineStr">
        <is>
          <t>65°C / 8h</t>
        </is>
      </c>
      <c r="H6" s="26" t="inlineStr">
        <is>
          <t>Hardened nozzle required; abrasive — monitor wear</t>
        </is>
      </c>
    </row>
    <row r="7" ht="20" customHeight="1">
      <c r="A7" s="23" t="inlineStr">
        <is>
          <t>ASA</t>
        </is>
      </c>
      <c r="B7" s="16" t="inlineStr">
        <is>
          <t>240–270°C</t>
        </is>
      </c>
      <c r="C7" s="16" t="inlineStr">
        <is>
          <t>90–110°C</t>
        </is>
      </c>
      <c r="D7" s="16" t="inlineStr">
        <is>
          <t>Yes</t>
        </is>
      </c>
      <c r="E7" s="16" t="inlineStr">
        <is>
          <t>Yes</t>
        </is>
      </c>
      <c r="F7" s="16" t="inlineStr">
        <is>
          <t>Yes</t>
        </is>
      </c>
      <c r="G7" s="16" t="inlineStr">
        <is>
          <t>80°C / 8h</t>
        </is>
      </c>
      <c r="H7" s="23" t="inlineStr">
        <is>
          <t>Enclosure required; AMS Lite ✗; UV-resistant</t>
        </is>
      </c>
    </row>
    <row r="8" ht="20" customHeight="1">
      <c r="A8" s="26" t="inlineStr">
        <is>
          <t>TPU</t>
        </is>
      </c>
      <c r="B8" s="29" t="inlineStr">
        <is>
          <t>215–235°C</t>
        </is>
      </c>
      <c r="C8" s="29" t="inlineStr">
        <is>
          <t>25–50°C</t>
        </is>
      </c>
      <c r="D8" s="29" t="inlineStr">
        <is>
          <t>No</t>
        </is>
      </c>
      <c r="E8" s="29" t="inlineStr">
        <is>
          <t>No</t>
        </is>
      </c>
      <c r="F8" s="29" t="inlineStr">
        <is>
          <t>Yes</t>
        </is>
      </c>
      <c r="G8" s="29" t="inlineStr">
        <is>
          <t>45°C / 6h</t>
        </is>
      </c>
      <c r="H8" s="26" t="inlineStr">
        <is>
          <t>External spool only on all Bambu AMS variants</t>
        </is>
      </c>
    </row>
    <row r="9" ht="20" customHeight="1">
      <c r="A9" s="23" t="inlineStr">
        <is>
          <t>PETG-CF</t>
        </is>
      </c>
      <c r="B9" s="16" t="inlineStr">
        <is>
          <t>240–260°C</t>
        </is>
      </c>
      <c r="C9" s="16" t="inlineStr">
        <is>
          <t>70–85°C</t>
        </is>
      </c>
      <c r="D9" s="16" t="inlineStr">
        <is>
          <t>No</t>
        </is>
      </c>
      <c r="E9" s="16" t="inlineStr">
        <is>
          <t>Yes</t>
        </is>
      </c>
      <c r="F9" s="16" t="inlineStr">
        <is>
          <t>Yes</t>
        </is>
      </c>
      <c r="G9" s="16" t="inlineStr">
        <is>
          <t>65°C / 8h</t>
        </is>
      </c>
      <c r="H9" s="23" t="inlineStr">
        <is>
          <t>Abrasive; hardened nozzle required</t>
        </is>
      </c>
    </row>
  </sheetData>
  <autoFilter ref="A2:H63"/>
  <mergeCells count="1">
    <mergeCell ref="A1:H1"/>
  </mergeCells>
  <conditionalFormatting sqref="D3:D20">
    <cfRule type="expression" priority="1" dxfId="8">
      <formula>$D3="Yes"</formula>
    </cfRule>
  </conditionalFormatting>
  <conditionalFormatting sqref="E3:E20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58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59" t="inlineStr">
        <is>
          <t>Brand</t>
        </is>
      </c>
      <c r="B3" s="60" t="inlineStr">
        <is>
          <t>Creality Hyper</t>
        </is>
      </c>
      <c r="C3" s="61" t="inlineStr"/>
    </row>
    <row r="4" ht="18" customHeight="1">
      <c r="A4" s="59" t="inlineStr">
        <is>
          <t>File Version</t>
        </is>
      </c>
      <c r="B4" s="62" t="inlineStr">
        <is>
          <t>v3</t>
        </is>
      </c>
      <c r="C4" s="61" t="inlineStr"/>
    </row>
    <row r="5" ht="18" customHeight="1">
      <c r="A5" s="59" t="inlineStr">
        <is>
          <t>Generated</t>
        </is>
      </c>
      <c r="B5" s="62" t="inlineStr">
        <is>
          <t>2026-07-25</t>
        </is>
      </c>
      <c r="C5" s="61" t="inlineStr">
        <is>
          <t>Date this file was last generated by generate_all.py</t>
        </is>
      </c>
    </row>
    <row r="6" ht="18" customHeight="1">
      <c r="A6" s="59" t="inlineStr">
        <is>
          <t>SKU Note</t>
        </is>
      </c>
      <c r="B6" s="62" t="inlineStr">
        <is>
          <t>Reference codes (CRH-xxx) — verify ASINs on Amazon</t>
        </is>
      </c>
      <c r="C6" s="61" t="inlineStr">
        <is>
          <t>SKU column: confirmed mfr codes noted above; others are internal reference codes</t>
        </is>
      </c>
    </row>
    <row r="7" ht="18" customHeight="1">
      <c r="A7" s="59" t="inlineStr">
        <is>
          <t>Hex Note</t>
        </is>
      </c>
      <c r="B7" s="62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61" t="inlineStr">
        <is>
          <t>Approximate hex = visually representative; not manufacturer-confirmed</t>
        </is>
      </c>
    </row>
    <row r="8" ht="18" customHeight="1">
      <c r="A8" s="59" t="inlineStr">
        <is>
          <t>Inventory Note</t>
        </is>
      </c>
      <c r="B8" s="62" t="inlineStr">
        <is>
          <t>This workbook covers catalog reference data only. On-hand spool inventory is tracked separately in Filament_Inventory.xlsx.</t>
        </is>
      </c>
      <c r="C8" s="61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2026-07-25T03:49:36Z</dcterms:created>
  <dcterms:modified xmlns:dcterms="http://purl.org/dc/terms/" xmlns:xsi="http://www.w3.org/2001/XMLSchema-instance" xsi:type="dcterms:W3CDTF">2026-07-25T03:49:36Z</dcterms:modified>
</cp:coreProperties>
</file>