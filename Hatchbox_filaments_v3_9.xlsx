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atalog" sheetId="2" state="visible" r:id="rId2"/>
    <sheet xmlns:r="http://schemas.openxmlformats.org/officeDocument/2006/relationships" name="Material Guide" sheetId="3" state="visible" r:id="rId3"/>
    <sheet xmlns:r="http://schemas.openxmlformats.org/officeDocument/2006/relationships" name="Config" sheetId="4" state="visible" r:id="rId4"/>
  </sheets>
  <definedNames>
    <definedName name="_xlnm._FilterDatabase" localSheetId="1" hidden="1">'Catalog'!$A$2:$T$703</definedName>
    <definedName name="_xlnm._FilterDatabase" localSheetId="2" hidden="1">'Material Guide'!$A$2:$H$63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b val="1"/>
      <strike val="0"/>
      <color rgb="FFFFFFFF"/>
      <sz val="14"/>
    </font>
    <font>
      <name val="Arial"/>
      <b val="1"/>
      <strike val="0"/>
      <color rgb="FFFFFFFF"/>
      <sz val="10"/>
    </font>
    <font>
      <name val="Arial"/>
      <b val="1"/>
      <strike val="0"/>
      <color rgb="FF000000"/>
      <sz val="10"/>
    </font>
    <font>
      <name val="Arial"/>
      <b val="1"/>
      <strike val="0"/>
      <color rgb="FF7F6000"/>
      <sz val="10"/>
    </font>
    <font>
      <name val="Arial"/>
      <strike val="0"/>
      <color rgb="FF000000"/>
      <sz val="10"/>
    </font>
    <font>
      <name val="Arial"/>
      <b val="1"/>
      <strike val="0"/>
      <color rgb="FF276221"/>
      <sz val="10"/>
    </font>
    <font>
      <name val="Arial"/>
      <b val="1"/>
      <strike val="0"/>
      <color rgb="FF1F3864"/>
      <sz val="10"/>
    </font>
    <font>
      <name val="Arial"/>
      <b val="1"/>
      <strike val="0"/>
      <color rgb="FF9C0006"/>
      <sz val="10"/>
    </font>
    <font>
      <name val="Arial"/>
      <i val="1"/>
      <strike val="0"/>
      <color rgb="FF000000"/>
      <sz val="10"/>
    </font>
    <font>
      <name val="Arial"/>
      <b val="1"/>
      <strike val="0"/>
      <color rgb="FFFFFFFF"/>
      <sz val="13"/>
    </font>
    <font>
      <name val="Arial"/>
      <strike val="0"/>
      <color rgb="FF444444"/>
      <sz val="9"/>
    </font>
    <font>
      <name val="Arial"/>
      <b val="1"/>
      <strike val="0"/>
      <color rgb="FFFFFFFF"/>
      <sz val="12"/>
    </font>
    <font>
      <name val="Arial"/>
      <strike val="0"/>
      <color rgb="FF7F6000"/>
      <sz val="10"/>
    </font>
  </fonts>
  <fills count="81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FD700"/>
      </patternFill>
    </fill>
    <fill>
      <patternFill patternType="solid">
        <fgColor rgb="FF92D050"/>
      </patternFill>
    </fill>
    <fill>
      <patternFill patternType="solid">
        <fgColor rgb="FFBDD7EE"/>
      </patternFill>
    </fill>
    <fill>
      <patternFill patternType="solid">
        <fgColor rgb="FFF4B8B8"/>
      </patternFill>
    </fill>
    <fill>
      <patternFill patternType="solid">
        <fgColor rgb="FFFFEB9C"/>
      </patternFill>
    </fill>
    <fill>
      <patternFill patternType="solid">
        <fgColor rgb="FF111111"/>
      </patternFill>
    </fill>
    <fill>
      <patternFill patternType="solid">
        <fgColor rgb="FFE2E2E2"/>
      </patternFill>
    </fill>
    <fill>
      <patternFill patternType="solid">
        <fgColor rgb="FFEEF3FB"/>
      </patternFill>
    </fill>
    <fill>
      <patternFill patternType="solid">
        <fgColor rgb="FF808080"/>
      </patternFill>
    </fill>
    <fill>
      <patternFill patternType="solid">
        <fgColor rgb="FFEFEFEF"/>
      </patternFill>
    </fill>
    <fill>
      <patternFill patternType="solid">
        <fgColor rgb="FFF5F5F5"/>
      </patternFill>
    </fill>
    <fill>
      <patternFill patternType="solid">
        <fgColor rgb="FFFDFDFD"/>
      </patternFill>
    </fill>
    <fill>
      <patternFill patternType="solid">
        <fgColor rgb="FF000000"/>
      </patternFill>
    </fill>
    <fill>
      <patternFill patternType="solid">
        <fgColor rgb="FFE0E0E0"/>
      </patternFill>
    </fill>
    <fill>
      <patternFill patternType="solid">
        <fgColor rgb="FFF0EAE0"/>
      </patternFill>
    </fill>
    <fill>
      <patternFill patternType="solid">
        <fgColor rgb="FFFDFCFB"/>
      </patternFill>
    </fill>
    <fill>
      <patternFill patternType="solid">
        <fgColor rgb="FF0057A8"/>
      </patternFill>
    </fill>
    <fill>
      <patternFill patternType="solid">
        <fgColor rgb="FFE0EAF4"/>
      </patternFill>
    </fill>
    <fill>
      <patternFill patternType="solid">
        <fgColor rgb="FFCC0000"/>
      </patternFill>
    </fill>
    <fill>
      <patternFill patternType="solid">
        <fgColor rgb="FFF8E0E0"/>
      </patternFill>
    </fill>
    <fill>
      <patternFill patternType="solid">
        <fgColor rgb="FFD8EEF8"/>
      </patternFill>
    </fill>
    <fill>
      <patternFill patternType="solid">
        <fgColor rgb="FFFAFCFE"/>
      </patternFill>
    </fill>
    <fill>
      <patternFill patternType="solid">
        <fgColor rgb="FF8B4513"/>
      </patternFill>
    </fill>
    <fill>
      <patternFill patternType="solid">
        <fgColor rgb="FFF1E8E2"/>
      </patternFill>
    </fill>
    <fill>
      <patternFill patternType="solid">
        <fgColor rgb="FFB87333"/>
      </patternFill>
    </fill>
    <fill>
      <patternFill patternType="solid">
        <fgColor rgb="FFF6EEE6"/>
      </patternFill>
    </fill>
    <fill>
      <patternFill patternType="solid">
        <fgColor rgb="FF00BFFF"/>
      </patternFill>
    </fill>
    <fill>
      <patternFill patternType="solid">
        <fgColor rgb="FFE0F7FF"/>
      </patternFill>
    </fill>
    <fill>
      <patternFill patternType="solid">
        <fgColor rgb="FF39FF14"/>
      </patternFill>
    </fill>
    <fill>
      <patternFill patternType="solid">
        <fgColor rgb="FFE7FFE2"/>
      </patternFill>
    </fill>
    <fill>
      <patternFill patternType="solid">
        <fgColor rgb="FFD4A017"/>
      </patternFill>
    </fill>
    <fill>
      <patternFill patternType="solid">
        <fgColor rgb="FFF9F3E3"/>
      </patternFill>
    </fill>
    <fill>
      <patternFill patternType="solid">
        <fgColor rgb="FF2E8B57"/>
      </patternFill>
    </fill>
    <fill>
      <patternFill patternType="solid">
        <fgColor rgb="FFE5F1EA"/>
      </patternFill>
    </fill>
    <fill>
      <patternFill patternType="solid">
        <fgColor rgb="FFADD8E6"/>
      </patternFill>
    </fill>
    <fill>
      <patternFill patternType="solid">
        <fgColor rgb="FFF5FAFC"/>
      </patternFill>
    </fill>
    <fill>
      <patternFill patternType="solid">
        <fgColor rgb="FFE8E8E8"/>
      </patternFill>
    </fill>
    <fill>
      <patternFill patternType="solid">
        <fgColor rgb="FFFCFCFC"/>
      </patternFill>
    </fill>
    <fill>
      <patternFill patternType="solid">
        <fgColor rgb="FF1A2A5A"/>
      </patternFill>
    </fill>
    <fill>
      <patternFill patternType="solid">
        <fgColor rgb="FFE3E5EB"/>
      </patternFill>
    </fill>
    <fill>
      <patternFill patternType="solid">
        <fgColor rgb="FFF5821F"/>
      </patternFill>
    </fill>
    <fill>
      <patternFill patternType="solid">
        <fgColor rgb="FFFDF0E4"/>
      </patternFill>
    </fill>
    <fill>
      <patternFill patternType="solid">
        <fgColor rgb="FFFF69B4"/>
      </patternFill>
    </fill>
    <fill>
      <patternFill patternType="solid">
        <fgColor rgb="FFFFEDF6"/>
      </patternFill>
    </fill>
    <fill>
      <patternFill patternType="solid">
        <fgColor rgb="FF6A0DAD"/>
      </patternFill>
    </fill>
    <fill>
      <patternFill patternType="solid">
        <fgColor rgb="FFEDE1F5"/>
      </patternFill>
    </fill>
    <fill>
      <patternFill patternType="solid">
        <fgColor rgb="FFC0C0C0"/>
      </patternFill>
    </fill>
    <fill>
      <patternFill patternType="solid">
        <fgColor rgb="FFF7F7F7"/>
      </patternFill>
    </fill>
    <fill>
      <patternFill patternType="solid">
        <fgColor rgb="FFFAFAFA"/>
      </patternFill>
    </fill>
    <fill>
      <patternFill patternType="solid">
        <fgColor rgb="FFFEFEFE"/>
      </patternFill>
    </fill>
    <fill>
      <patternFill patternType="solid">
        <fgColor rgb="FFA0785A"/>
      </patternFill>
    </fill>
    <fill>
      <patternFill patternType="solid">
        <fgColor rgb="FFF3EEEB"/>
      </patternFill>
    </fill>
    <fill>
      <patternFill patternType="solid">
        <fgColor rgb="FFF5C518"/>
      </patternFill>
    </fill>
    <fill>
      <patternFill patternType="solid">
        <fgColor rgb="FFFDF8E3"/>
      </patternFill>
    </fill>
    <fill>
      <patternFill patternType="solid">
        <fgColor rgb="FF8A8D8F"/>
      </patternFill>
    </fill>
    <fill>
      <patternFill patternType="solid">
        <fgColor rgb="FFF0F1F1"/>
      </patternFill>
    </fill>
    <fill>
      <patternFill patternType="solid">
        <fgColor rgb="FFF4C2C2"/>
      </patternFill>
    </fill>
    <fill>
      <patternFill patternType="solid">
        <fgColor rgb="FFFDF7F7"/>
      </patternFill>
    </fill>
    <fill>
      <patternFill patternType="solid">
        <fgColor rgb="FFE8D4B8"/>
      </patternFill>
    </fill>
    <fill>
      <patternFill patternType="solid">
        <fgColor rgb="FFFCF9F6"/>
      </patternFill>
    </fill>
    <fill>
      <patternFill patternType="solid">
        <fgColor rgb="FF1F5FA8"/>
      </patternFill>
    </fill>
    <fill>
      <patternFill patternType="solid">
        <fgColor rgb="FFE4EBF4"/>
      </patternFill>
    </fill>
    <fill>
      <patternFill patternType="solid">
        <fgColor rgb="FF1DAA27"/>
      </patternFill>
    </fill>
    <fill>
      <patternFill patternType="solid">
        <fgColor rgb="FFE3F4E5"/>
      </patternFill>
    </fill>
    <fill>
      <patternFill patternType="solid">
        <fgColor rgb="FFE4E7EC"/>
      </patternFill>
    </fill>
    <fill>
      <patternFill patternType="solid">
        <fgColor rgb="FFEA7125"/>
      </patternFill>
    </fill>
    <fill>
      <patternFill patternType="solid">
        <fgColor rgb="FFFCEDE4"/>
      </patternFill>
    </fill>
    <fill>
      <patternFill patternType="solid">
        <fgColor rgb="FFC81E2C"/>
      </patternFill>
    </fill>
    <fill>
      <patternFill patternType="solid">
        <fgColor rgb="FFF8E4E5"/>
      </patternFill>
    </fill>
    <fill>
      <patternFill patternType="solid">
        <fgColor rgb="FFB8BAB8"/>
      </patternFill>
    </fill>
    <fill>
      <patternFill patternType="solid">
        <fgColor rgb="FFF6F6F6"/>
      </patternFill>
    </fill>
    <fill>
      <patternFill patternType="solid">
        <fgColor rgb="FFF4C61F"/>
      </patternFill>
    </fill>
    <fill>
      <patternFill patternType="solid">
        <fgColor rgb="FFFDF8E4"/>
      </patternFill>
    </fill>
    <fill>
      <patternFill patternType="solid">
        <fgColor rgb="FFAED6E8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</border>
  </borders>
  <cellStyleXfs count="1">
    <xf numFmtId="0" fontId="0" fillId="0" borderId="0"/>
  </cellStyleXfs>
  <cellXfs count="10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center" vertical="center" wrapText="1"/>
    </xf>
    <xf numFmtId="0" fontId="11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center" vertical="center" wrapText="1"/>
    </xf>
    <xf numFmtId="0" fontId="11" fillId="15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6" borderId="1" applyAlignment="1" pivotButton="0" quotePrefix="0" xfId="0">
      <alignment horizontal="center" vertical="center" wrapText="1"/>
    </xf>
    <xf numFmtId="0" fontId="11" fillId="17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horizontal="center" vertical="center" wrapText="1"/>
    </xf>
    <xf numFmtId="0" fontId="11" fillId="19" borderId="1" applyAlignment="1" pivotButton="0" quotePrefix="0" xfId="0">
      <alignment horizontal="center" vertical="center" wrapText="1"/>
    </xf>
    <xf numFmtId="0" fontId="5" fillId="20" borderId="1" applyAlignment="1" pivotButton="0" quotePrefix="0" xfId="0">
      <alignment horizontal="center" vertical="center" wrapText="1"/>
    </xf>
    <xf numFmtId="0" fontId="11" fillId="21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11" fillId="23" borderId="1" applyAlignment="1" pivotButton="0" quotePrefix="0" xfId="0">
      <alignment horizontal="center" vertical="center" wrapText="1"/>
    </xf>
    <xf numFmtId="0" fontId="5" fillId="24" borderId="1" applyAlignment="1" pivotButton="0" quotePrefix="0" xfId="0">
      <alignment horizontal="center" vertical="center" wrapText="1"/>
    </xf>
    <xf numFmtId="0" fontId="11" fillId="25" borderId="1" applyAlignment="1" pivotButton="0" quotePrefix="0" xfId="0">
      <alignment horizontal="center" vertical="center" wrapText="1"/>
    </xf>
    <xf numFmtId="0" fontId="5" fillId="26" borderId="1" applyAlignment="1" pivotButton="0" quotePrefix="0" xfId="0">
      <alignment horizontal="center" vertical="center" wrapText="1"/>
    </xf>
    <xf numFmtId="0" fontId="11" fillId="27" borderId="1" applyAlignment="1" pivotButton="0" quotePrefix="0" xfId="0">
      <alignment horizontal="center" vertical="center" wrapText="1"/>
    </xf>
    <xf numFmtId="0" fontId="5" fillId="28" borderId="1" applyAlignment="1" pivotButton="0" quotePrefix="0" xfId="0">
      <alignment horizontal="center" vertical="center" wrapText="1"/>
    </xf>
    <xf numFmtId="0" fontId="11" fillId="29" borderId="1" applyAlignment="1" pivotButton="0" quotePrefix="0" xfId="0">
      <alignment horizontal="center" vertical="center" wrapText="1"/>
    </xf>
    <xf numFmtId="0" fontId="5" fillId="30" borderId="1" applyAlignment="1" pivotButton="0" quotePrefix="0" xfId="0">
      <alignment horizontal="center" vertical="center" wrapText="1"/>
    </xf>
    <xf numFmtId="0" fontId="11" fillId="31" borderId="1" applyAlignment="1" pivotButton="0" quotePrefix="0" xfId="0">
      <alignment horizontal="center" vertical="center" wrapText="1"/>
    </xf>
    <xf numFmtId="0" fontId="5" fillId="32" borderId="1" applyAlignment="1" pivotButton="0" quotePrefix="0" xfId="0">
      <alignment horizontal="center" vertical="center" wrapText="1"/>
    </xf>
    <xf numFmtId="0" fontId="11" fillId="33" borderId="1" applyAlignment="1" pivotButton="0" quotePrefix="0" xfId="0">
      <alignment horizontal="center" vertical="center" wrapText="1"/>
    </xf>
    <xf numFmtId="0" fontId="5" fillId="34" borderId="1" applyAlignment="1" pivotButton="0" quotePrefix="0" xfId="0">
      <alignment horizontal="center" vertical="center" wrapText="1"/>
    </xf>
    <xf numFmtId="0" fontId="11" fillId="35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 wrapText="1"/>
    </xf>
    <xf numFmtId="0" fontId="11" fillId="37" borderId="1" applyAlignment="1" pivotButton="0" quotePrefix="0" xfId="0">
      <alignment horizontal="center" vertical="center" wrapText="1"/>
    </xf>
    <xf numFmtId="0" fontId="5" fillId="38" borderId="1" applyAlignment="1" pivotButton="0" quotePrefix="0" xfId="0">
      <alignment horizontal="center" vertical="center" wrapText="1"/>
    </xf>
    <xf numFmtId="0" fontId="11" fillId="39" borderId="1" applyAlignment="1" pivotButton="0" quotePrefix="0" xfId="0">
      <alignment horizontal="center" vertical="center" wrapText="1"/>
    </xf>
    <xf numFmtId="0" fontId="5" fillId="40" borderId="1" applyAlignment="1" pivotButton="0" quotePrefix="0" xfId="0">
      <alignment horizontal="center" vertical="center" wrapText="1"/>
    </xf>
    <xf numFmtId="0" fontId="11" fillId="41" borderId="1" applyAlignment="1" pivotButton="0" quotePrefix="0" xfId="0">
      <alignment horizontal="center" vertical="center" wrapText="1"/>
    </xf>
    <xf numFmtId="0" fontId="5" fillId="42" borderId="1" applyAlignment="1" pivotButton="0" quotePrefix="0" xfId="0">
      <alignment horizontal="center" vertical="center" wrapText="1"/>
    </xf>
    <xf numFmtId="0" fontId="11" fillId="43" borderId="1" applyAlignment="1" pivotButton="0" quotePrefix="0" xfId="0">
      <alignment horizontal="center" vertical="center" wrapText="1"/>
    </xf>
    <xf numFmtId="0" fontId="5" fillId="44" borderId="1" applyAlignment="1" pivotButton="0" quotePrefix="0" xfId="0">
      <alignment horizontal="center" vertical="center" wrapText="1"/>
    </xf>
    <xf numFmtId="0" fontId="11" fillId="45" borderId="1" applyAlignment="1" pivotButton="0" quotePrefix="0" xfId="0">
      <alignment horizontal="center" vertical="center" wrapText="1"/>
    </xf>
    <xf numFmtId="0" fontId="5" fillId="46" borderId="1" applyAlignment="1" pivotButton="0" quotePrefix="0" xfId="0">
      <alignment horizontal="center" vertical="center" wrapText="1"/>
    </xf>
    <xf numFmtId="0" fontId="11" fillId="47" borderId="1" applyAlignment="1" pivotButton="0" quotePrefix="0" xfId="0">
      <alignment horizontal="center" vertical="center" wrapText="1"/>
    </xf>
    <xf numFmtId="0" fontId="5" fillId="48" borderId="1" applyAlignment="1" pivotButton="0" quotePrefix="0" xfId="0">
      <alignment horizontal="center" vertical="center" wrapText="1"/>
    </xf>
    <xf numFmtId="0" fontId="11" fillId="49" borderId="1" applyAlignment="1" pivotButton="0" quotePrefix="0" xfId="0">
      <alignment horizontal="center" vertical="center" wrapText="1"/>
    </xf>
    <xf numFmtId="0" fontId="5" fillId="50" borderId="1" applyAlignment="1" pivotButton="0" quotePrefix="0" xfId="0">
      <alignment horizontal="center" vertical="center" wrapText="1"/>
    </xf>
    <xf numFmtId="0" fontId="11" fillId="51" borderId="1" applyAlignment="1" pivotButton="0" quotePrefix="0" xfId="0">
      <alignment horizontal="center" vertical="center" wrapText="1"/>
    </xf>
    <xf numFmtId="0" fontId="5" fillId="52" borderId="1" applyAlignment="1" pivotButton="0" quotePrefix="0" xfId="0">
      <alignment horizontal="center" vertical="center" wrapText="1"/>
    </xf>
    <xf numFmtId="0" fontId="11" fillId="53" borderId="1" applyAlignment="1" pivotButton="0" quotePrefix="0" xfId="0">
      <alignment horizontal="center" vertical="center" wrapText="1"/>
    </xf>
    <xf numFmtId="0" fontId="5" fillId="54" borderId="1" applyAlignment="1" pivotButton="0" quotePrefix="0" xfId="0">
      <alignment horizontal="center" vertical="center" wrapText="1"/>
    </xf>
    <xf numFmtId="0" fontId="11" fillId="55" borderId="1" applyAlignment="1" pivotButton="0" quotePrefix="0" xfId="0">
      <alignment horizontal="center" vertical="center" wrapText="1"/>
    </xf>
    <xf numFmtId="0" fontId="5" fillId="56" borderId="1" applyAlignment="1" pivotButton="0" quotePrefix="0" xfId="0">
      <alignment horizontal="center" vertical="center" wrapText="1"/>
    </xf>
    <xf numFmtId="0" fontId="11" fillId="57" borderId="1" applyAlignment="1" pivotButton="0" quotePrefix="0" xfId="0">
      <alignment horizontal="center" vertical="center" wrapText="1"/>
    </xf>
    <xf numFmtId="0" fontId="5" fillId="58" borderId="1" applyAlignment="1" pivotButton="0" quotePrefix="0" xfId="0">
      <alignment horizontal="center" vertical="center" wrapText="1"/>
    </xf>
    <xf numFmtId="0" fontId="11" fillId="59" borderId="1" applyAlignment="1" pivotButton="0" quotePrefix="0" xfId="0">
      <alignment horizontal="center" vertical="center" wrapText="1"/>
    </xf>
    <xf numFmtId="0" fontId="5" fillId="60" borderId="1" applyAlignment="1" pivotButton="0" quotePrefix="0" xfId="0">
      <alignment horizontal="center" vertical="center" wrapText="1"/>
    </xf>
    <xf numFmtId="0" fontId="11" fillId="61" borderId="1" applyAlignment="1" pivotButton="0" quotePrefix="0" xfId="0">
      <alignment horizontal="center" vertical="center" wrapText="1"/>
    </xf>
    <xf numFmtId="0" fontId="5" fillId="62" borderId="1" applyAlignment="1" pivotButton="0" quotePrefix="0" xfId="0">
      <alignment horizontal="center" vertical="center" wrapText="1"/>
    </xf>
    <xf numFmtId="0" fontId="11" fillId="63" borderId="1" applyAlignment="1" pivotButton="0" quotePrefix="0" xfId="0">
      <alignment horizontal="center" vertical="center" wrapText="1"/>
    </xf>
    <xf numFmtId="0" fontId="5" fillId="64" borderId="1" applyAlignment="1" pivotButton="0" quotePrefix="0" xfId="0">
      <alignment horizontal="center" vertical="center" wrapText="1"/>
    </xf>
    <xf numFmtId="0" fontId="11" fillId="65" borderId="1" applyAlignment="1" pivotButton="0" quotePrefix="0" xfId="0">
      <alignment horizontal="center" vertical="center" wrapText="1"/>
    </xf>
    <xf numFmtId="0" fontId="5" fillId="66" borderId="1" applyAlignment="1" pivotButton="0" quotePrefix="0" xfId="0">
      <alignment horizontal="center" vertical="center" wrapText="1"/>
    </xf>
    <xf numFmtId="0" fontId="11" fillId="67" borderId="1" applyAlignment="1" pivotButton="0" quotePrefix="0" xfId="0">
      <alignment horizontal="center" vertical="center" wrapText="1"/>
    </xf>
    <xf numFmtId="0" fontId="5" fillId="68" borderId="1" applyAlignment="1" pivotButton="0" quotePrefix="0" xfId="0">
      <alignment horizontal="center" vertical="center" wrapText="1"/>
    </xf>
    <xf numFmtId="0" fontId="11" fillId="69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11" fillId="70" borderId="1" applyAlignment="1" pivotButton="0" quotePrefix="0" xfId="0">
      <alignment horizontal="center" vertical="center" wrapText="1"/>
    </xf>
    <xf numFmtId="0" fontId="5" fillId="71" borderId="1" applyAlignment="1" pivotButton="0" quotePrefix="0" xfId="0">
      <alignment horizontal="center" vertical="center" wrapText="1"/>
    </xf>
    <xf numFmtId="0" fontId="11" fillId="72" borderId="1" applyAlignment="1" pivotButton="0" quotePrefix="0" xfId="0">
      <alignment horizontal="center" vertical="center" wrapText="1"/>
    </xf>
    <xf numFmtId="0" fontId="5" fillId="73" borderId="1" applyAlignment="1" pivotButton="0" quotePrefix="0" xfId="0">
      <alignment horizontal="center" vertical="center" wrapText="1"/>
    </xf>
    <xf numFmtId="0" fontId="11" fillId="74" borderId="1" applyAlignment="1" pivotButton="0" quotePrefix="0" xfId="0">
      <alignment horizontal="center" vertical="center" wrapText="1"/>
    </xf>
    <xf numFmtId="0" fontId="5" fillId="75" borderId="1" applyAlignment="1" pivotButton="0" quotePrefix="0" xfId="0">
      <alignment horizontal="center" vertical="center" wrapText="1"/>
    </xf>
    <xf numFmtId="0" fontId="11" fillId="76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5" fillId="77" borderId="1" applyAlignment="1" pivotButton="0" quotePrefix="0" xfId="0">
      <alignment horizontal="center" vertical="center" wrapText="1"/>
    </xf>
    <xf numFmtId="0" fontId="11" fillId="78" borderId="1" applyAlignment="1" pivotButton="0" quotePrefix="0" xfId="0">
      <alignment horizontal="center" vertical="center" wrapText="1"/>
    </xf>
    <xf numFmtId="0" fontId="5" fillId="79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8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3" fillId="8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0">
    <dxf>
      <font>
        <name val="Arial"/>
        <b val="1"/>
        <color rgb="FF9C5700"/>
      </font>
      <fill>
        <patternFill>
          <bgColor rgb="FFFFEB9C"/>
        </patternFill>
      </fill>
    </dxf>
    <dxf>
      <font>
        <name val="Arial"/>
        <b val="1"/>
        <color rgb="FF276221"/>
      </font>
      <fill>
        <patternFill>
          <bgColor rgb="FFC6EFCE"/>
        </patternFill>
      </fill>
    </dxf>
    <dxf>
      <font>
        <name val="Arial"/>
        <color rgb="FF7F6000"/>
      </font>
      <fill>
        <patternFill>
          <bgColor rgb="FFFFD700"/>
        </patternFill>
      </fill>
    </dxf>
    <dxf>
      <font>
        <name val="Arial"/>
        <color rgb="FF276221"/>
      </font>
      <fill>
        <patternFill>
          <bgColor rgb="FF92D050"/>
        </patternFill>
      </fill>
    </dxf>
    <dxf>
      <font>
        <name val="Arial"/>
        <color rgb="FF1F3864"/>
      </font>
      <fill>
        <patternFill>
          <bgColor rgb="FFBDD7EE"/>
        </patternFill>
      </fill>
    </dxf>
    <dxf>
      <font>
        <name val="Arial"/>
        <color rgb="FF9C0006"/>
      </font>
      <fill>
        <patternFill>
          <bgColor rgb="FFF4B8B8"/>
        </patternFill>
      </fill>
    </dxf>
    <dxf>
      <font>
        <name val="Arial"/>
        <color rgb="FF276221"/>
      </font>
      <fill>
        <patternFill>
          <bgColor rgb="FFC6EFCE"/>
        </patternFill>
      </fill>
    </dxf>
    <dxf>
      <font>
        <name val="Arial"/>
        <color rgb="FF9C0006"/>
      </font>
      <fill>
        <patternFill>
          <bgColor rgb="FFFFC7CE"/>
        </patternFill>
      </fill>
    </dxf>
    <dxf>
      <font>
        <name val="Arial"/>
        <color rgb="FF9C5700"/>
      </font>
      <fill>
        <patternFill>
          <bgColor rgb="FFFFEB9C"/>
        </patternFill>
      </fill>
    </dxf>
    <dxf>
      <font>
        <name val="Arial"/>
        <color rgb="FF7F4F00"/>
      </font>
      <fill>
        <patternFill>
          <bgColor rgb="FFFFCC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Filament Ref v3</author>
  </authors>
  <commentList>
    <comment ref="B2" authorId="0" shapeId="0">
      <text>
        <t>SKU / Part No.
Polymaker PolyLite PLA: confirmed manufacturer codes (PA02001–PA02029).
All other brands: internal reference codes.
See Config sheet → SKU Note for details.</t>
      </text>
    </comment>
    <comment ref="E2" authorId="0" shapeId="0">
      <text>
        <t>Color Swatch
Cell fill = filament color. No text — see Hex Code (col F).
Official hex sources:
• Bambu PLA Basic/Matte/PETG Basic/ABS/PLA Translucent: Bambu hex PDFs
• Polymaker PolyLite PLA: confirmed from shop.polymaker.com
• All other brands: approximate</t>
      </text>
    </comment>
    <comment ref="F2" authorId="0" shapeId="0">
      <text>
        <t>Hex Code
The hex color code for this filament.
Background tint is a 12% blend of the swatch color toward white,
giving a visual connection to the adjacent swatch cell.
Official hex sources: see Color Swatch comment (col E).</t>
      </text>
    </comment>
    <comment ref="N2" authorId="0" shapeId="0">
      <text>
        <t>AMS X/P Compatibility
✓  Compatible with standard AMS X/P unit
✗  Not compatible — use external spool
⚠  Compatible with conditions (adapter ring, special mode, etc.)
Printers: X1C, X1E, P1S, P1P</t>
      </text>
    </comment>
    <comment ref="O2" authorId="0" shapeId="0">
      <text>
        <t>AMS Lite Compatibility
✓  Compatible with AMS Lite unit
✗  Not compatible (open-frame; no ABS/ASA/PA support)
⚠  Compatible with conditions
Printers: A1, A1 mini</t>
      </text>
    </comment>
    <comment ref="P2" authorId="0" shapeId="0">
      <text>
        <t>AMS 2 Pro Compatibility
✓  Compatible with AMS 2 Pro unit
✗  Not compatible
⚠  Compatible with conditions
Printers: H2D</t>
      </text>
    </comment>
    <comment ref="Q2" authorId="0" shapeId="0">
      <text>
        <t>AMS HT Compatibility
✓  Compatible with AMS HT unit
✗  Not compatible
⚠  Compatible with conditions
Printers: H2D
Required for TPU 95A multi-color printing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375623"/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36" customHeight="1">
      <c r="A1" s="1" t="inlineStr">
        <is>
          <t>📦  Hatchbox  —  Filament Reference  |  v3</t>
        </is>
      </c>
    </row>
    <row r="3" ht="18" customHeight="1">
      <c r="A3" s="2" t="inlineStr">
        <is>
          <t xml:space="preserve">  CATALOG SUMMARY</t>
        </is>
      </c>
    </row>
    <row r="4" ht="18" customHeight="1">
      <c r="A4" s="3" t="inlineStr">
        <is>
          <t>Total Catalog Entries (active)</t>
        </is>
      </c>
      <c r="B4" s="4">
        <f>COUNTA(Catalog!C3:C1000)-COUNTIF(Catalog!T3:T1000,"~[DISCONTINUED~]*")</f>
        <v/>
      </c>
    </row>
    <row r="5" ht="18" customHeight="1">
      <c r="A5" s="3" t="inlineStr">
        <is>
          <t>Tier S — Premium</t>
        </is>
      </c>
      <c r="B5" s="5">
        <f>COUNTIF(Catalog!R3:R1000,"S")</f>
        <v/>
      </c>
    </row>
    <row r="6" ht="18" customHeight="1">
      <c r="A6" s="3" t="inlineStr">
        <is>
          <t>Tier A — Excellent</t>
        </is>
      </c>
      <c r="B6" s="6">
        <f>COUNTIF(Catalog!R3:R1000,"A")</f>
        <v/>
      </c>
    </row>
    <row r="7" ht="18" customHeight="1">
      <c r="A7" s="3" t="inlineStr">
        <is>
          <t>Tier B — Good</t>
        </is>
      </c>
      <c r="B7" s="7">
        <f>COUNTIF(Catalog!R3:R1000,"B")</f>
        <v/>
      </c>
    </row>
    <row r="8" ht="18" customHeight="1">
      <c r="A8" s="3" t="inlineStr">
        <is>
          <t>Tier C — Specialty</t>
        </is>
      </c>
      <c r="B8" s="8">
        <f>COUNTIF(Catalog!R3:R1000,"C")</f>
        <v/>
      </c>
    </row>
    <row r="9" ht="18" customHeight="1">
      <c r="A9" s="3" t="inlineStr">
        <is>
          <t>Require AMS Adapter Ring</t>
        </is>
      </c>
      <c r="B9" s="9">
        <f>COUNTIF(Catalog!J3:J1000,"Yes")</f>
        <v/>
      </c>
    </row>
    <row r="11" ht="18" customHeight="1">
      <c r="A11" s="2" t="inlineStr">
        <is>
          <t xml:space="preserve">  TIER LEGEND</t>
        </is>
      </c>
    </row>
    <row r="12" ht="18" customHeight="1">
      <c r="A12" s="10" t="inlineStr">
        <is>
          <t xml:space="preserve">  S</t>
        </is>
      </c>
      <c r="B12" s="11" t="inlineStr">
        <is>
          <t>Premium — first-party or best-in-class; optimized profiles, top AMS reliability</t>
        </is>
      </c>
    </row>
    <row r="13" ht="18" customHeight="1">
      <c r="A13" s="12" t="inlineStr">
        <is>
          <t xml:space="preserve">  A</t>
        </is>
      </c>
      <c r="B13" s="11" t="inlineStr">
        <is>
          <t>Excellent — high quality, tested profiles, reliable AMS performance</t>
        </is>
      </c>
    </row>
    <row r="14" ht="18" customHeight="1">
      <c r="A14" s="13" t="inlineStr">
        <is>
          <t xml:space="preserve">  B</t>
        </is>
      </c>
      <c r="B14" s="11" t="inlineStr">
        <is>
          <t>Good — solid performer with minor caveats (e.g. needs adapter ring, temp adjustment)</t>
        </is>
      </c>
    </row>
    <row r="15" ht="18" customHeight="1">
      <c r="A15" s="14" t="inlineStr">
        <is>
          <t xml:space="preserve">  C</t>
        </is>
      </c>
      <c r="B15" s="11" t="inlineStr">
        <is>
          <t>Specialty — limited AMS use, requires special setup, or niche material</t>
        </is>
      </c>
    </row>
    <row r="17" ht="18" customHeight="1">
      <c r="A17" s="2" t="inlineStr">
        <is>
          <t xml:space="preserve">  INVENTORY</t>
        </is>
      </c>
    </row>
    <row r="18">
      <c r="A18" s="15" t="inlineStr">
        <is>
          <t>On-hand spool inventory is tracked separately in Filament_Inventory.xlsx, not in this workbook.</t>
        </is>
      </c>
    </row>
    <row r="19" ht="18" customHeight="1">
      <c r="A19" s="3" t="inlineStr">
        <is>
          <t>File Generated</t>
        </is>
      </c>
      <c r="B19" s="16">
        <f>Config!$B$5</f>
        <v/>
      </c>
    </row>
    <row r="21" ht="18" customHeight="1">
      <c r="A21" s="2" t="inlineStr">
        <is>
          <t xml:space="preserve">  AMS ADAPTER RING STATUS</t>
        </is>
      </c>
    </row>
    <row r="22" ht="20" customHeight="1">
      <c r="A22" s="17">
        <f>IF(COUNTIF(Catalog!J3:J1000,"Yes")&gt;0,"⚠  One or more filaments require the AMS Adapter Ring — see Catalog column J","✓  No filaments in this catalog require the AMS Adapter Ring")</f>
        <v/>
      </c>
    </row>
    <row r="24" ht="18" customHeight="1">
      <c r="A24" s="2" t="inlineStr">
        <is>
          <t xml:space="preserve">  BY MATERIAL TYPE</t>
        </is>
      </c>
    </row>
    <row r="25" ht="22" customHeight="1">
      <c r="A25" s="18" t="inlineStr">
        <is>
          <t>Material Type</t>
        </is>
      </c>
      <c r="B25" s="18" t="inlineStr">
        <is>
          <t>Catalog Entries</t>
        </is>
      </c>
    </row>
    <row r="26" ht="18" customHeight="1">
      <c r="A26" s="19" t="inlineStr">
        <is>
          <t>ABS</t>
        </is>
      </c>
      <c r="B26" s="20">
        <f>COUNTIF(Catalog!A3:A700,"ABS")</f>
        <v/>
      </c>
    </row>
    <row r="27" ht="18" customHeight="1">
      <c r="A27" s="19" t="inlineStr">
        <is>
          <t>PA</t>
        </is>
      </c>
      <c r="B27" s="20">
        <f>COUNTIF(Catalog!A3:A700,"PA")</f>
        <v/>
      </c>
    </row>
    <row r="28" ht="18" customHeight="1">
      <c r="A28" s="19" t="inlineStr">
        <is>
          <t>PC</t>
        </is>
      </c>
      <c r="B28" s="20">
        <f>COUNTIF(Catalog!A3:A700,"PC")</f>
        <v/>
      </c>
    </row>
    <row r="29" ht="18" customHeight="1">
      <c r="A29" s="19" t="inlineStr">
        <is>
          <t>PETG</t>
        </is>
      </c>
      <c r="B29" s="20">
        <f>COUNTIF(Catalog!A3:A700,"PETG")</f>
        <v/>
      </c>
    </row>
    <row r="30" ht="18" customHeight="1">
      <c r="A30" s="19" t="inlineStr">
        <is>
          <t>PLA</t>
        </is>
      </c>
      <c r="B30" s="20">
        <f>COUNTIF(Catalog!A3:A700,"PLA")</f>
        <v/>
      </c>
    </row>
    <row r="31" ht="18" customHeight="1">
      <c r="A31" s="19" t="inlineStr">
        <is>
          <t>PLA (MAX)</t>
        </is>
      </c>
      <c r="B31" s="20">
        <f>COUNTIF(Catalog!A3:A700,"PLA (MAX)")</f>
        <v/>
      </c>
    </row>
    <row r="32" ht="18" customHeight="1">
      <c r="A32" s="19" t="inlineStr">
        <is>
          <t>PLA (Performance)</t>
        </is>
      </c>
      <c r="B32" s="20">
        <f>COUNTIF(Catalog!A3:A700,"PLA (Performance)")</f>
        <v/>
      </c>
    </row>
    <row r="33" ht="18" customHeight="1">
      <c r="A33" s="19" t="inlineStr">
        <is>
          <t>PLA Matte</t>
        </is>
      </c>
      <c r="B33" s="20">
        <f>COUNTIF(Catalog!A3:A700,"PLA Matte")</f>
        <v/>
      </c>
    </row>
    <row r="34" ht="18" customHeight="1">
      <c r="A34" s="19" t="inlineStr">
        <is>
          <t>PLA+</t>
        </is>
      </c>
      <c r="B34" s="20">
        <f>COUNTIF(Catalog!A3:A700,"PLA+")</f>
        <v/>
      </c>
    </row>
    <row r="35" ht="18" customHeight="1">
      <c r="A35" s="19" t="inlineStr">
        <is>
          <t>TPU</t>
        </is>
      </c>
      <c r="B35" s="20">
        <f>COUNTIF(Catalog!A3:A700,"TPU")</f>
        <v/>
      </c>
    </row>
  </sheetData>
  <mergeCells count="12">
    <mergeCell ref="A18:H18"/>
    <mergeCell ref="B14:H14"/>
    <mergeCell ref="A3:H3"/>
    <mergeCell ref="A21:H21"/>
    <mergeCell ref="B13:H13"/>
    <mergeCell ref="A24:H24"/>
    <mergeCell ref="B12:H12"/>
    <mergeCell ref="A11:H11"/>
    <mergeCell ref="B15:H15"/>
    <mergeCell ref="A1:H1"/>
    <mergeCell ref="A22:H22"/>
    <mergeCell ref="A17:H17"/>
  </mergeCells>
  <conditionalFormatting sqref="A22:H22">
    <cfRule type="expression" priority="1" dxfId="0">
      <formula>NOT(ISERROR(SEARCH("⚠",A22)))</formula>
    </cfRule>
    <cfRule type="expression" priority="2" dxfId="1">
      <formula>NOT(ISERROR(SEARCH("✓",A22)))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T6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8" customWidth="1" min="2" max="2"/>
    <col width="22" customWidth="1" min="3" max="3"/>
    <col width="18" customWidth="1" min="4" max="4"/>
    <col width="10" customWidth="1" min="5" max="5"/>
    <col width="10" customWidth="1" min="6" max="6"/>
    <col width="9" customWidth="1" min="7" max="7"/>
    <col width="16" customWidth="1" min="8" max="8"/>
    <col width="12" customWidth="1" min="9" max="9"/>
    <col width="18" customWidth="1" min="10" max="10"/>
    <col width="15" customWidth="1" min="11" max="11"/>
    <col width="14" customWidth="1" min="12" max="12"/>
    <col width="16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width="9" customWidth="1" min="18" max="18"/>
    <col width="48" customWidth="1" min="19" max="19"/>
    <col width="48" customWidth="1" min="20" max="20"/>
  </cols>
  <sheetData>
    <row r="1" ht="30" customHeight="1">
      <c r="A1" s="21" t="inlineStr">
        <is>
          <t>Hatchbox  —  Filament Catalog</t>
        </is>
      </c>
    </row>
    <row r="2" ht="34" customHeight="1">
      <c r="A2" s="22" t="inlineStr">
        <is>
          <t>Material Type</t>
        </is>
      </c>
      <c r="B2" s="22" t="inlineStr">
        <is>
          <t>SKU / Part No.</t>
        </is>
      </c>
      <c r="C2" s="22" t="inlineStr">
        <is>
          <t>Product Name</t>
        </is>
      </c>
      <c r="D2" s="22" t="inlineStr">
        <is>
          <t>Color Name</t>
        </is>
      </c>
      <c r="E2" s="22" t="inlineStr">
        <is>
          <t>Color Swatch</t>
        </is>
      </c>
      <c r="F2" s="22" t="inlineStr">
        <is>
          <t>Hex Code</t>
        </is>
      </c>
      <c r="G2" s="22" t="inlineStr">
        <is>
          <t>Diameter</t>
        </is>
      </c>
      <c r="H2" s="22" t="inlineStr">
        <is>
          <t>Diameter Tolerance</t>
        </is>
      </c>
      <c r="I2" s="22" t="inlineStr">
        <is>
          <t>Spool Type</t>
        </is>
      </c>
      <c r="J2" s="22" t="inlineStr">
        <is>
          <t>AMS Adapter Required</t>
        </is>
      </c>
      <c r="K2" s="22" t="inlineStr">
        <is>
          <t>Print Temp Range</t>
        </is>
      </c>
      <c r="L2" s="22" t="inlineStr">
        <is>
          <t>Bed Temp Range</t>
        </is>
      </c>
      <c r="M2" s="22" t="inlineStr">
        <is>
          <t>Drying Temp / Time</t>
        </is>
      </c>
      <c r="N2" s="22" t="inlineStr">
        <is>
          <t>AMS X/P</t>
        </is>
      </c>
      <c r="O2" s="22" t="inlineStr">
        <is>
          <t>AMS Lite</t>
        </is>
      </c>
      <c r="P2" s="22" t="inlineStr">
        <is>
          <t>AMS 2 Pro</t>
        </is>
      </c>
      <c r="Q2" s="22" t="inlineStr">
        <is>
          <t>AMS HT</t>
        </is>
      </c>
      <c r="R2" s="22" t="inlineStr">
        <is>
          <t>Tier</t>
        </is>
      </c>
      <c r="S2" s="22" t="inlineStr">
        <is>
          <t>Tier Rationale</t>
        </is>
      </c>
      <c r="T2" s="22" t="inlineStr">
        <is>
          <t>Notes</t>
        </is>
      </c>
    </row>
    <row r="3" ht="20" customHeight="1">
      <c r="A3" s="23" t="inlineStr">
        <is>
          <t>ABS</t>
        </is>
      </c>
      <c r="B3" s="23" t="inlineStr">
        <is>
          <t>HX-ABS175-BK</t>
        </is>
      </c>
      <c r="C3" s="23" t="inlineStr">
        <is>
          <t>Hatchbox ABS</t>
        </is>
      </c>
      <c r="D3" s="23" t="inlineStr">
        <is>
          <t>Black</t>
        </is>
      </c>
      <c r="E3" s="24" t="inlineStr"/>
      <c r="F3" s="25" t="inlineStr">
        <is>
          <t>#111111</t>
        </is>
      </c>
      <c r="G3" s="16" t="inlineStr">
        <is>
          <t>1.75mm</t>
        </is>
      </c>
      <c r="H3" s="16" t="inlineStr">
        <is>
          <t>±0.03mm</t>
        </is>
      </c>
      <c r="I3" s="16" t="inlineStr">
        <is>
          <t>Cardboard</t>
        </is>
      </c>
      <c r="J3" s="16" t="inlineStr">
        <is>
          <t>Yes</t>
        </is>
      </c>
      <c r="K3" s="16" t="inlineStr">
        <is>
          <t>220–260°C</t>
        </is>
      </c>
      <c r="L3" s="16" t="inlineStr">
        <is>
          <t>90–110°C</t>
        </is>
      </c>
      <c r="M3" s="16" t="inlineStr">
        <is>
          <t>65°C / 8h</t>
        </is>
      </c>
      <c r="N3" s="16" t="inlineStr">
        <is>
          <t>⚠</t>
        </is>
      </c>
      <c r="O3" s="16" t="inlineStr">
        <is>
          <t>✗</t>
        </is>
      </c>
      <c r="P3" s="16" t="inlineStr">
        <is>
          <t>⚠</t>
        </is>
      </c>
      <c r="Q3" s="16" t="inlineStr">
        <is>
          <t>⚠</t>
        </is>
      </c>
      <c r="R3" s="16" t="inlineStr">
        <is>
          <t>C</t>
        </is>
      </c>
      <c r="S3" s="23" t="inlineStr">
        <is>
          <t>Cardboard spool + enclosure required — double caveat; AMS Lite ✗</t>
        </is>
      </c>
      <c r="T3" s="23" t="inlineStr">
        <is>
          <t>Cardboard spool + enclosure required; AMS Lite ✗; adapter ring on others</t>
        </is>
      </c>
    </row>
    <row r="4" ht="20" customHeight="1">
      <c r="A4" s="26" t="inlineStr">
        <is>
          <t>ABS</t>
        </is>
      </c>
      <c r="B4" s="26" t="inlineStr">
        <is>
          <t>HX-ABS175-GY</t>
        </is>
      </c>
      <c r="C4" s="26" t="inlineStr">
        <is>
          <t>Hatchbox ABS</t>
        </is>
      </c>
      <c r="D4" s="26" t="inlineStr">
        <is>
          <t>Gray</t>
        </is>
      </c>
      <c r="E4" s="27" t="inlineStr"/>
      <c r="F4" s="28" t="inlineStr">
        <is>
          <t>#808080</t>
        </is>
      </c>
      <c r="G4" s="29" t="inlineStr">
        <is>
          <t>1.75mm</t>
        </is>
      </c>
      <c r="H4" s="29" t="inlineStr">
        <is>
          <t>±0.03mm</t>
        </is>
      </c>
      <c r="I4" s="29" t="inlineStr">
        <is>
          <t>Cardboard</t>
        </is>
      </c>
      <c r="J4" s="29" t="inlineStr">
        <is>
          <t>Yes</t>
        </is>
      </c>
      <c r="K4" s="29" t="inlineStr">
        <is>
          <t>220–260°C</t>
        </is>
      </c>
      <c r="L4" s="29" t="inlineStr">
        <is>
          <t>90–110°C</t>
        </is>
      </c>
      <c r="M4" s="29" t="inlineStr">
        <is>
          <t>65°C / 8h</t>
        </is>
      </c>
      <c r="N4" s="29" t="inlineStr">
        <is>
          <t>⚠</t>
        </is>
      </c>
      <c r="O4" s="29" t="inlineStr">
        <is>
          <t>✗</t>
        </is>
      </c>
      <c r="P4" s="29" t="inlineStr">
        <is>
          <t>⚠</t>
        </is>
      </c>
      <c r="Q4" s="29" t="inlineStr">
        <is>
          <t>⚠</t>
        </is>
      </c>
      <c r="R4" s="29" t="inlineStr">
        <is>
          <t>C</t>
        </is>
      </c>
      <c r="S4" s="26" t="inlineStr">
        <is>
          <t>Cardboard spool + enclosure required — double caveat; AMS Lite ✗</t>
        </is>
      </c>
      <c r="T4" s="26" t="inlineStr">
        <is>
          <t>Cardboard spool + enclosure required; AMS Lite ✗; adapter ring on others</t>
        </is>
      </c>
    </row>
    <row r="5" ht="20" customHeight="1">
      <c r="A5" s="23" t="inlineStr">
        <is>
          <t>ABS</t>
        </is>
      </c>
      <c r="B5" s="23" t="inlineStr">
        <is>
          <t>HX-ABS175-WH</t>
        </is>
      </c>
      <c r="C5" s="23" t="inlineStr">
        <is>
          <t>Hatchbox ABS</t>
        </is>
      </c>
      <c r="D5" s="23" t="inlineStr">
        <is>
          <t>White</t>
        </is>
      </c>
      <c r="E5" s="30" t="inlineStr"/>
      <c r="F5" s="31" t="inlineStr">
        <is>
          <t>#F5F5F5</t>
        </is>
      </c>
      <c r="G5" s="16" t="inlineStr">
        <is>
          <t>1.75mm</t>
        </is>
      </c>
      <c r="H5" s="16" t="inlineStr">
        <is>
          <t>±0.03mm</t>
        </is>
      </c>
      <c r="I5" s="16" t="inlineStr">
        <is>
          <t>Cardboard</t>
        </is>
      </c>
      <c r="J5" s="16" t="inlineStr">
        <is>
          <t>Yes</t>
        </is>
      </c>
      <c r="K5" s="16" t="inlineStr">
        <is>
          <t>220–260°C</t>
        </is>
      </c>
      <c r="L5" s="16" t="inlineStr">
        <is>
          <t>90–110°C</t>
        </is>
      </c>
      <c r="M5" s="16" t="inlineStr">
        <is>
          <t>65°C / 8h</t>
        </is>
      </c>
      <c r="N5" s="16" t="inlineStr">
        <is>
          <t>⚠</t>
        </is>
      </c>
      <c r="O5" s="16" t="inlineStr">
        <is>
          <t>✗</t>
        </is>
      </c>
      <c r="P5" s="16" t="inlineStr">
        <is>
          <t>⚠</t>
        </is>
      </c>
      <c r="Q5" s="16" t="inlineStr">
        <is>
          <t>⚠</t>
        </is>
      </c>
      <c r="R5" s="16" t="inlineStr">
        <is>
          <t>C</t>
        </is>
      </c>
      <c r="S5" s="23" t="inlineStr">
        <is>
          <t>Cardboard spool + enclosure required — double caveat; AMS Lite ✗</t>
        </is>
      </c>
      <c r="T5" s="23" t="inlineStr">
        <is>
          <t>Cardboard spool + enclosure required; AMS Lite ✗; adapter ring on others</t>
        </is>
      </c>
    </row>
    <row r="6" ht="20" customHeight="1">
      <c r="A6" s="26" t="inlineStr">
        <is>
          <t>PA</t>
        </is>
      </c>
      <c r="B6" s="26" t="inlineStr">
        <is>
          <t>HX-PA-01</t>
        </is>
      </c>
      <c r="C6" s="26" t="inlineStr">
        <is>
          <t>Hatchbox PA (Nylon)</t>
        </is>
      </c>
      <c r="D6" s="26" t="inlineStr">
        <is>
          <t>Black</t>
        </is>
      </c>
      <c r="E6" s="32" t="inlineStr"/>
      <c r="F6" s="33" t="inlineStr">
        <is>
          <t>#000000</t>
        </is>
      </c>
      <c r="G6" s="29" t="inlineStr">
        <is>
          <t>1.75mm</t>
        </is>
      </c>
      <c r="H6" s="29" t="inlineStr">
        <is>
          <t>±0.05mm</t>
        </is>
      </c>
      <c r="I6" s="29" t="inlineStr">
        <is>
          <t>Plastic</t>
        </is>
      </c>
      <c r="J6" s="29" t="inlineStr">
        <is>
          <t>No</t>
        </is>
      </c>
      <c r="K6" s="29" t="inlineStr">
        <is>
          <t>250–270°C</t>
        </is>
      </c>
      <c r="L6" s="29" t="inlineStr">
        <is>
          <t>70–90°C</t>
        </is>
      </c>
      <c r="M6" s="29" t="inlineStr">
        <is>
          <t>80°C / 12h</t>
        </is>
      </c>
      <c r="N6" s="29" t="inlineStr">
        <is>
          <t>✓</t>
        </is>
      </c>
      <c r="O6" s="29" t="inlineStr">
        <is>
          <t>✗</t>
        </is>
      </c>
      <c r="P6" s="29" t="inlineStr">
        <is>
          <t>✓</t>
        </is>
      </c>
      <c r="Q6" s="29" t="inlineStr">
        <is>
          <t>✓</t>
        </is>
      </c>
      <c r="R6" s="29" t="inlineStr">
        <is>
          <t>C</t>
        </is>
      </c>
      <c r="S6" s="26" t="inlineStr">
        <is>
          <t>Line existence confirmed (hatchbox3d.com "PA 1.75mm Filament" collection tag); very moisture-sensitive, specs estimated</t>
        </is>
      </c>
      <c r="T6" s="26" t="inlineStr">
        <is>
          <t>Deep-dive follow-up 2026-07-19; NEW LINE</t>
        </is>
      </c>
    </row>
    <row r="7" ht="20" customHeight="1">
      <c r="A7" s="23" t="inlineStr">
        <is>
          <t>PC</t>
        </is>
      </c>
      <c r="B7" s="23" t="inlineStr">
        <is>
          <t>HX-PC-01</t>
        </is>
      </c>
      <c r="C7" s="23" t="inlineStr">
        <is>
          <t>Hatchbox PC</t>
        </is>
      </c>
      <c r="D7" s="23" t="inlineStr">
        <is>
          <t>Natural</t>
        </is>
      </c>
      <c r="E7" s="34" t="inlineStr"/>
      <c r="F7" s="35" t="inlineStr">
        <is>
          <t>#F0EAE0</t>
        </is>
      </c>
      <c r="G7" s="16" t="inlineStr">
        <is>
          <t>1.75mm</t>
        </is>
      </c>
      <c r="H7" s="16" t="inlineStr">
        <is>
          <t>±0.05mm</t>
        </is>
      </c>
      <c r="I7" s="16" t="inlineStr">
        <is>
          <t>Plastic</t>
        </is>
      </c>
      <c r="J7" s="16" t="inlineStr">
        <is>
          <t>No</t>
        </is>
      </c>
      <c r="K7" s="16" t="inlineStr">
        <is>
          <t>260–280°C</t>
        </is>
      </c>
      <c r="L7" s="16" t="inlineStr">
        <is>
          <t>100–120°C</t>
        </is>
      </c>
      <c r="M7" s="16" t="inlineStr">
        <is>
          <t>80°C / 8h</t>
        </is>
      </c>
      <c r="N7" s="16" t="inlineStr">
        <is>
          <t>✓</t>
        </is>
      </c>
      <c r="O7" s="16" t="inlineStr">
        <is>
          <t>✗</t>
        </is>
      </c>
      <c r="P7" s="16" t="inlineStr">
        <is>
          <t>✓</t>
        </is>
      </c>
      <c r="Q7" s="16" t="inlineStr">
        <is>
          <t>✓</t>
        </is>
      </c>
      <c r="R7" s="16" t="inlineStr">
        <is>
          <t>C</t>
        </is>
      </c>
      <c r="S7" s="23" t="inlineStr">
        <is>
          <t>Line existence confirmed (hatchbox3d.com "PC 1.75mm Filament" collection tag); specs estimated</t>
        </is>
      </c>
      <c r="T7" s="23" t="inlineStr">
        <is>
          <t>Deep-dive follow-up 2026-07-19; NEW LINE</t>
        </is>
      </c>
    </row>
    <row r="8" ht="20" customHeight="1">
      <c r="A8" s="26" t="inlineStr">
        <is>
          <t>PETG</t>
        </is>
      </c>
      <c r="B8" s="26" t="inlineStr">
        <is>
          <t>HX-PETG175-BK</t>
        </is>
      </c>
      <c r="C8" s="26" t="inlineStr">
        <is>
          <t>Hatchbox PETG</t>
        </is>
      </c>
      <c r="D8" s="26" t="inlineStr">
        <is>
          <t>Black</t>
        </is>
      </c>
      <c r="E8" s="24" t="inlineStr"/>
      <c r="F8" s="25" t="inlineStr">
        <is>
          <t>#111111</t>
        </is>
      </c>
      <c r="G8" s="29" t="inlineStr">
        <is>
          <t>1.75mm</t>
        </is>
      </c>
      <c r="H8" s="29" t="inlineStr">
        <is>
          <t>±0.03mm</t>
        </is>
      </c>
      <c r="I8" s="29" t="inlineStr">
        <is>
          <t>Cardboard</t>
        </is>
      </c>
      <c r="J8" s="29" t="inlineStr">
        <is>
          <t>Yes</t>
        </is>
      </c>
      <c r="K8" s="29" t="inlineStr">
        <is>
          <t>230–260°C</t>
        </is>
      </c>
      <c r="L8" s="29" t="inlineStr">
        <is>
          <t>70–80°C</t>
        </is>
      </c>
      <c r="M8" s="29" t="inlineStr">
        <is>
          <t>65°C / 6h</t>
        </is>
      </c>
      <c r="N8" s="29" t="inlineStr">
        <is>
          <t>⚠</t>
        </is>
      </c>
      <c r="O8" s="29" t="inlineStr">
        <is>
          <t>⚠</t>
        </is>
      </c>
      <c r="P8" s="29" t="inlineStr">
        <is>
          <t>⚠</t>
        </is>
      </c>
      <c r="Q8" s="29" t="inlineStr">
        <is>
          <t>⚠</t>
        </is>
      </c>
      <c r="R8" s="29" t="inlineStr">
        <is>
          <t>B</t>
        </is>
      </c>
      <c r="S8" s="26" t="inlineStr">
        <is>
          <t>Reliable PETG; cardboard spool requires AMS Adapter Ring</t>
        </is>
      </c>
      <c r="T8" s="26" t="inlineStr">
        <is>
          <t>Cardboard spool — AMS Adapter Ring required</t>
        </is>
      </c>
    </row>
    <row r="9" ht="20" customHeight="1">
      <c r="A9" s="23" t="inlineStr">
        <is>
          <t>PETG</t>
        </is>
      </c>
      <c r="B9" s="23" t="inlineStr">
        <is>
          <t>HX-PETG175-BL</t>
        </is>
      </c>
      <c r="C9" s="23" t="inlineStr">
        <is>
          <t>Hatchbox PETG</t>
        </is>
      </c>
      <c r="D9" s="23" t="inlineStr">
        <is>
          <t>Blue</t>
        </is>
      </c>
      <c r="E9" s="36" t="inlineStr"/>
      <c r="F9" s="37" t="inlineStr">
        <is>
          <t>#0057A8</t>
        </is>
      </c>
      <c r="G9" s="16" t="inlineStr">
        <is>
          <t>1.75mm</t>
        </is>
      </c>
      <c r="H9" s="16" t="inlineStr">
        <is>
          <t>±0.03mm</t>
        </is>
      </c>
      <c r="I9" s="16" t="inlineStr">
        <is>
          <t>Cardboard</t>
        </is>
      </c>
      <c r="J9" s="16" t="inlineStr">
        <is>
          <t>Yes</t>
        </is>
      </c>
      <c r="K9" s="16" t="inlineStr">
        <is>
          <t>230–260°C</t>
        </is>
      </c>
      <c r="L9" s="16" t="inlineStr">
        <is>
          <t>70–80°C</t>
        </is>
      </c>
      <c r="M9" s="16" t="inlineStr">
        <is>
          <t>65°C / 6h</t>
        </is>
      </c>
      <c r="N9" s="16" t="inlineStr">
        <is>
          <t>⚠</t>
        </is>
      </c>
      <c r="O9" s="16" t="inlineStr">
        <is>
          <t>⚠</t>
        </is>
      </c>
      <c r="P9" s="16" t="inlineStr">
        <is>
          <t>⚠</t>
        </is>
      </c>
      <c r="Q9" s="16" t="inlineStr">
        <is>
          <t>⚠</t>
        </is>
      </c>
      <c r="R9" s="16" t="inlineStr">
        <is>
          <t>B</t>
        </is>
      </c>
      <c r="S9" s="23" t="inlineStr">
        <is>
          <t>Reliable PETG; cardboard spool requires AMS Adapter Ring</t>
        </is>
      </c>
      <c r="T9" s="23" t="inlineStr">
        <is>
          <t>Cardboard spool — AMS Adapter Ring required</t>
        </is>
      </c>
    </row>
    <row r="10" ht="20" customHeight="1">
      <c r="A10" s="26" t="inlineStr">
        <is>
          <t>PETG</t>
        </is>
      </c>
      <c r="B10" s="26" t="inlineStr">
        <is>
          <t>HX-PETG175-GY</t>
        </is>
      </c>
      <c r="C10" s="26" t="inlineStr">
        <is>
          <t>Hatchbox PETG</t>
        </is>
      </c>
      <c r="D10" s="26" t="inlineStr">
        <is>
          <t>Gray</t>
        </is>
      </c>
      <c r="E10" s="27" t="inlineStr"/>
      <c r="F10" s="28" t="inlineStr">
        <is>
          <t>#808080</t>
        </is>
      </c>
      <c r="G10" s="29" t="inlineStr">
        <is>
          <t>1.75mm</t>
        </is>
      </c>
      <c r="H10" s="29" t="inlineStr">
        <is>
          <t>±0.03mm</t>
        </is>
      </c>
      <c r="I10" s="29" t="inlineStr">
        <is>
          <t>Cardboard</t>
        </is>
      </c>
      <c r="J10" s="29" t="inlineStr">
        <is>
          <t>Yes</t>
        </is>
      </c>
      <c r="K10" s="29" t="inlineStr">
        <is>
          <t>230–260°C</t>
        </is>
      </c>
      <c r="L10" s="29" t="inlineStr">
        <is>
          <t>70–80°C</t>
        </is>
      </c>
      <c r="M10" s="29" t="inlineStr">
        <is>
          <t>65°C / 6h</t>
        </is>
      </c>
      <c r="N10" s="29" t="inlineStr">
        <is>
          <t>⚠</t>
        </is>
      </c>
      <c r="O10" s="29" t="inlineStr">
        <is>
          <t>⚠</t>
        </is>
      </c>
      <c r="P10" s="29" t="inlineStr">
        <is>
          <t>⚠</t>
        </is>
      </c>
      <c r="Q10" s="29" t="inlineStr">
        <is>
          <t>⚠</t>
        </is>
      </c>
      <c r="R10" s="29" t="inlineStr">
        <is>
          <t>B</t>
        </is>
      </c>
      <c r="S10" s="26" t="inlineStr">
        <is>
          <t>Reliable PETG; cardboard spool requires AMS Adapter Ring</t>
        </is>
      </c>
      <c r="T10" s="26" t="inlineStr">
        <is>
          <t>Cardboard spool — AMS Adapter Ring required</t>
        </is>
      </c>
    </row>
    <row r="11" ht="20" customHeight="1">
      <c r="A11" s="23" t="inlineStr">
        <is>
          <t>PETG</t>
        </is>
      </c>
      <c r="B11" s="23" t="inlineStr">
        <is>
          <t>HX-PETG175-RD</t>
        </is>
      </c>
      <c r="C11" s="23" t="inlineStr">
        <is>
          <t>Hatchbox PETG</t>
        </is>
      </c>
      <c r="D11" s="23" t="inlineStr">
        <is>
          <t>Red</t>
        </is>
      </c>
      <c r="E11" s="38" t="inlineStr"/>
      <c r="F11" s="39" t="inlineStr">
        <is>
          <t>#CC0000</t>
        </is>
      </c>
      <c r="G11" s="16" t="inlineStr">
        <is>
          <t>1.75mm</t>
        </is>
      </c>
      <c r="H11" s="16" t="inlineStr">
        <is>
          <t>±0.03mm</t>
        </is>
      </c>
      <c r="I11" s="16" t="inlineStr">
        <is>
          <t>Cardboard</t>
        </is>
      </c>
      <c r="J11" s="16" t="inlineStr">
        <is>
          <t>Yes</t>
        </is>
      </c>
      <c r="K11" s="16" t="inlineStr">
        <is>
          <t>230–260°C</t>
        </is>
      </c>
      <c r="L11" s="16" t="inlineStr">
        <is>
          <t>70–80°C</t>
        </is>
      </c>
      <c r="M11" s="16" t="inlineStr">
        <is>
          <t>65°C / 6h</t>
        </is>
      </c>
      <c r="N11" s="16" t="inlineStr">
        <is>
          <t>⚠</t>
        </is>
      </c>
      <c r="O11" s="16" t="inlineStr">
        <is>
          <t>⚠</t>
        </is>
      </c>
      <c r="P11" s="16" t="inlineStr">
        <is>
          <t>⚠</t>
        </is>
      </c>
      <c r="Q11" s="16" t="inlineStr">
        <is>
          <t>⚠</t>
        </is>
      </c>
      <c r="R11" s="16" t="inlineStr">
        <is>
          <t>B</t>
        </is>
      </c>
      <c r="S11" s="23" t="inlineStr">
        <is>
          <t>Reliable PETG; cardboard spool requires AMS Adapter Ring</t>
        </is>
      </c>
      <c r="T11" s="23" t="inlineStr">
        <is>
          <t>Cardboard spool — AMS Adapter Ring required</t>
        </is>
      </c>
    </row>
    <row r="12" ht="20" customHeight="1">
      <c r="A12" s="26" t="inlineStr">
        <is>
          <t>PETG</t>
        </is>
      </c>
      <c r="B12" s="26" t="inlineStr">
        <is>
          <t>HX-PETG175-TR</t>
        </is>
      </c>
      <c r="C12" s="26" t="inlineStr">
        <is>
          <t>Hatchbox PETG</t>
        </is>
      </c>
      <c r="D12" s="26" t="inlineStr">
        <is>
          <t>Transparent</t>
        </is>
      </c>
      <c r="E12" s="40" t="inlineStr"/>
      <c r="F12" s="41" t="inlineStr">
        <is>
          <t>#D8EEF8</t>
        </is>
      </c>
      <c r="G12" s="29" t="inlineStr">
        <is>
          <t>1.75mm</t>
        </is>
      </c>
      <c r="H12" s="29" t="inlineStr">
        <is>
          <t>±0.03mm</t>
        </is>
      </c>
      <c r="I12" s="29" t="inlineStr">
        <is>
          <t>Cardboard</t>
        </is>
      </c>
      <c r="J12" s="29" t="inlineStr">
        <is>
          <t>Yes</t>
        </is>
      </c>
      <c r="K12" s="29" t="inlineStr">
        <is>
          <t>230–260°C</t>
        </is>
      </c>
      <c r="L12" s="29" t="inlineStr">
        <is>
          <t>70–80°C</t>
        </is>
      </c>
      <c r="M12" s="29" t="inlineStr">
        <is>
          <t>65°C / 6h</t>
        </is>
      </c>
      <c r="N12" s="29" t="inlineStr">
        <is>
          <t>⚠</t>
        </is>
      </c>
      <c r="O12" s="29" t="inlineStr">
        <is>
          <t>⚠</t>
        </is>
      </c>
      <c r="P12" s="29" t="inlineStr">
        <is>
          <t>⚠</t>
        </is>
      </c>
      <c r="Q12" s="29" t="inlineStr">
        <is>
          <t>⚠</t>
        </is>
      </c>
      <c r="R12" s="29" t="inlineStr">
        <is>
          <t>B</t>
        </is>
      </c>
      <c r="S12" s="26" t="inlineStr">
        <is>
          <t>Reliable PETG; cardboard spool requires AMS Adapter Ring</t>
        </is>
      </c>
      <c r="T12" s="26" t="inlineStr">
        <is>
          <t>Cardboard spool — AMS Adapter Ring required</t>
        </is>
      </c>
    </row>
    <row r="13" ht="20" customHeight="1">
      <c r="A13" s="23" t="inlineStr">
        <is>
          <t>PETG</t>
        </is>
      </c>
      <c r="B13" s="23" t="inlineStr">
        <is>
          <t>HX-PETG175-WH</t>
        </is>
      </c>
      <c r="C13" s="23" t="inlineStr">
        <is>
          <t>Hatchbox PETG</t>
        </is>
      </c>
      <c r="D13" s="23" t="inlineStr">
        <is>
          <t>White</t>
        </is>
      </c>
      <c r="E13" s="30" t="inlineStr"/>
      <c r="F13" s="31" t="inlineStr">
        <is>
          <t>#F5F5F5</t>
        </is>
      </c>
      <c r="G13" s="16" t="inlineStr">
        <is>
          <t>1.75mm</t>
        </is>
      </c>
      <c r="H13" s="16" t="inlineStr">
        <is>
          <t>±0.03mm</t>
        </is>
      </c>
      <c r="I13" s="16" t="inlineStr">
        <is>
          <t>Cardboard</t>
        </is>
      </c>
      <c r="J13" s="16" t="inlineStr">
        <is>
          <t>Yes</t>
        </is>
      </c>
      <c r="K13" s="16" t="inlineStr">
        <is>
          <t>230–260°C</t>
        </is>
      </c>
      <c r="L13" s="16" t="inlineStr">
        <is>
          <t>70–80°C</t>
        </is>
      </c>
      <c r="M13" s="16" t="inlineStr">
        <is>
          <t>65°C / 6h</t>
        </is>
      </c>
      <c r="N13" s="16" t="inlineStr">
        <is>
          <t>⚠</t>
        </is>
      </c>
      <c r="O13" s="16" t="inlineStr">
        <is>
          <t>⚠</t>
        </is>
      </c>
      <c r="P13" s="16" t="inlineStr">
        <is>
          <t>⚠</t>
        </is>
      </c>
      <c r="Q13" s="16" t="inlineStr">
        <is>
          <t>⚠</t>
        </is>
      </c>
      <c r="R13" s="16" t="inlineStr">
        <is>
          <t>B</t>
        </is>
      </c>
      <c r="S13" s="23" t="inlineStr">
        <is>
          <t>Reliable PETG; cardboard spool requires AMS Adapter Ring</t>
        </is>
      </c>
      <c r="T13" s="23" t="inlineStr">
        <is>
          <t>Cardboard spool — AMS Adapter Ring required</t>
        </is>
      </c>
    </row>
    <row r="14" ht="20" customHeight="1">
      <c r="A14" s="26" t="inlineStr">
        <is>
          <t>PLA</t>
        </is>
      </c>
      <c r="B14" s="26" t="inlineStr">
        <is>
          <t>HX-PLA175-BK</t>
        </is>
      </c>
      <c r="C14" s="26" t="inlineStr">
        <is>
          <t>Hatchbox PLA</t>
        </is>
      </c>
      <c r="D14" s="26" t="inlineStr">
        <is>
          <t>Black</t>
        </is>
      </c>
      <c r="E14" s="24" t="inlineStr"/>
      <c r="F14" s="25" t="inlineStr">
        <is>
          <t>#111111</t>
        </is>
      </c>
      <c r="G14" s="29" t="inlineStr">
        <is>
          <t>1.75mm</t>
        </is>
      </c>
      <c r="H14" s="29" t="inlineStr">
        <is>
          <t>±0.03mm</t>
        </is>
      </c>
      <c r="I14" s="29" t="inlineStr">
        <is>
          <t>Cardboard</t>
        </is>
      </c>
      <c r="J14" s="29" t="inlineStr">
        <is>
          <t>Yes</t>
        </is>
      </c>
      <c r="K14" s="29" t="inlineStr">
        <is>
          <t>180–220°C</t>
        </is>
      </c>
      <c r="L14" s="29" t="inlineStr">
        <is>
          <t>50–60°C</t>
        </is>
      </c>
      <c r="M14" s="29" t="inlineStr">
        <is>
          <t>45°C / 4h</t>
        </is>
      </c>
      <c r="N14" s="29" t="inlineStr">
        <is>
          <t>⚠</t>
        </is>
      </c>
      <c r="O14" s="29" t="inlineStr">
        <is>
          <t>⚠</t>
        </is>
      </c>
      <c r="P14" s="29" t="inlineStr">
        <is>
          <t>⚠</t>
        </is>
      </c>
      <c r="Q14" s="29" t="inlineStr">
        <is>
          <t>⚠</t>
        </is>
      </c>
      <c r="R14" s="29" t="inlineStr">
        <is>
          <t>B</t>
        </is>
      </c>
      <c r="S14" s="26" t="inlineStr">
        <is>
          <t>Proven budget PLA; cardboard spool requires AMS Adapter Ring on all variants</t>
        </is>
      </c>
      <c r="T14" s="26" t="inlineStr">
        <is>
          <t>Cardboard spool — AMS Adapter Ring required for all AMS variants</t>
        </is>
      </c>
    </row>
    <row r="15" ht="20" customHeight="1">
      <c r="A15" s="23" t="inlineStr">
        <is>
          <t>PLA</t>
        </is>
      </c>
      <c r="B15" s="23" t="inlineStr">
        <is>
          <t>HX-PLA175-BL</t>
        </is>
      </c>
      <c r="C15" s="23" t="inlineStr">
        <is>
          <t>Hatchbox PLA</t>
        </is>
      </c>
      <c r="D15" s="23" t="inlineStr">
        <is>
          <t>Blue</t>
        </is>
      </c>
      <c r="E15" s="36" t="inlineStr"/>
      <c r="F15" s="37" t="inlineStr">
        <is>
          <t>#0057A8</t>
        </is>
      </c>
      <c r="G15" s="16" t="inlineStr">
        <is>
          <t>1.75mm</t>
        </is>
      </c>
      <c r="H15" s="16" t="inlineStr">
        <is>
          <t>±0.03mm</t>
        </is>
      </c>
      <c r="I15" s="16" t="inlineStr">
        <is>
          <t>Cardboard</t>
        </is>
      </c>
      <c r="J15" s="16" t="inlineStr">
        <is>
          <t>Yes</t>
        </is>
      </c>
      <c r="K15" s="16" t="inlineStr">
        <is>
          <t>180–220°C</t>
        </is>
      </c>
      <c r="L15" s="16" t="inlineStr">
        <is>
          <t>50–60°C</t>
        </is>
      </c>
      <c r="M15" s="16" t="inlineStr">
        <is>
          <t>45°C / 4h</t>
        </is>
      </c>
      <c r="N15" s="16" t="inlineStr">
        <is>
          <t>⚠</t>
        </is>
      </c>
      <c r="O15" s="16" t="inlineStr">
        <is>
          <t>⚠</t>
        </is>
      </c>
      <c r="P15" s="16" t="inlineStr">
        <is>
          <t>⚠</t>
        </is>
      </c>
      <c r="Q15" s="16" t="inlineStr">
        <is>
          <t>⚠</t>
        </is>
      </c>
      <c r="R15" s="16" t="inlineStr">
        <is>
          <t>B</t>
        </is>
      </c>
      <c r="S15" s="23" t="inlineStr">
        <is>
          <t>Proven budget PLA; cardboard spool requires AMS Adapter Ring on all variants</t>
        </is>
      </c>
      <c r="T15" s="23" t="inlineStr">
        <is>
          <t>Cardboard spool — AMS Adapter Ring required for all AMS variants</t>
        </is>
      </c>
    </row>
    <row r="16" ht="20" customHeight="1">
      <c r="A16" s="26" t="inlineStr">
        <is>
          <t>PLA</t>
        </is>
      </c>
      <c r="B16" s="26" t="inlineStr">
        <is>
          <t>HX-PLA175-BR</t>
        </is>
      </c>
      <c r="C16" s="26" t="inlineStr">
        <is>
          <t>Hatchbox PLA</t>
        </is>
      </c>
      <c r="D16" s="26" t="inlineStr">
        <is>
          <t>Brown</t>
        </is>
      </c>
      <c r="E16" s="42" t="inlineStr"/>
      <c r="F16" s="43" t="inlineStr">
        <is>
          <t>#8B4513</t>
        </is>
      </c>
      <c r="G16" s="29" t="inlineStr">
        <is>
          <t>1.75mm</t>
        </is>
      </c>
      <c r="H16" s="29" t="inlineStr">
        <is>
          <t>±0.03mm</t>
        </is>
      </c>
      <c r="I16" s="29" t="inlineStr">
        <is>
          <t>Cardboard</t>
        </is>
      </c>
      <c r="J16" s="29" t="inlineStr">
        <is>
          <t>Yes</t>
        </is>
      </c>
      <c r="K16" s="29" t="inlineStr">
        <is>
          <t>180–220°C</t>
        </is>
      </c>
      <c r="L16" s="29" t="inlineStr">
        <is>
          <t>50–60°C</t>
        </is>
      </c>
      <c r="M16" s="29" t="inlineStr">
        <is>
          <t>45°C / 4h</t>
        </is>
      </c>
      <c r="N16" s="29" t="inlineStr">
        <is>
          <t>⚠</t>
        </is>
      </c>
      <c r="O16" s="29" t="inlineStr">
        <is>
          <t>⚠</t>
        </is>
      </c>
      <c r="P16" s="29" t="inlineStr">
        <is>
          <t>⚠</t>
        </is>
      </c>
      <c r="Q16" s="29" t="inlineStr">
        <is>
          <t>⚠</t>
        </is>
      </c>
      <c r="R16" s="29" t="inlineStr">
        <is>
          <t>B</t>
        </is>
      </c>
      <c r="S16" s="26" t="inlineStr">
        <is>
          <t>Proven budget PLA; cardboard spool requires AMS Adapter Ring on all variants</t>
        </is>
      </c>
      <c r="T16" s="26" t="inlineStr">
        <is>
          <t>Cardboard spool — AMS Adapter Ring required for all AMS variants</t>
        </is>
      </c>
    </row>
    <row r="17" ht="20" customHeight="1">
      <c r="A17" s="23" t="inlineStr">
        <is>
          <t>PLA</t>
        </is>
      </c>
      <c r="B17" s="23" t="inlineStr">
        <is>
          <t>HX-PLA175-CP</t>
        </is>
      </c>
      <c r="C17" s="23" t="inlineStr">
        <is>
          <t>Hatchbox PLA</t>
        </is>
      </c>
      <c r="D17" s="23" t="inlineStr">
        <is>
          <t>Copper</t>
        </is>
      </c>
      <c r="E17" s="44" t="inlineStr"/>
      <c r="F17" s="45" t="inlineStr">
        <is>
          <t>#B87333</t>
        </is>
      </c>
      <c r="G17" s="16" t="inlineStr">
        <is>
          <t>1.75mm</t>
        </is>
      </c>
      <c r="H17" s="16" t="inlineStr">
        <is>
          <t>±0.03mm</t>
        </is>
      </c>
      <c r="I17" s="16" t="inlineStr">
        <is>
          <t>Cardboard</t>
        </is>
      </c>
      <c r="J17" s="16" t="inlineStr">
        <is>
          <t>Yes</t>
        </is>
      </c>
      <c r="K17" s="16" t="inlineStr">
        <is>
          <t>180–220°C</t>
        </is>
      </c>
      <c r="L17" s="16" t="inlineStr">
        <is>
          <t>50–60°C</t>
        </is>
      </c>
      <c r="M17" s="16" t="inlineStr">
        <is>
          <t>45°C / 4h</t>
        </is>
      </c>
      <c r="N17" s="16" t="inlineStr">
        <is>
          <t>⚠</t>
        </is>
      </c>
      <c r="O17" s="16" t="inlineStr">
        <is>
          <t>⚠</t>
        </is>
      </c>
      <c r="P17" s="16" t="inlineStr">
        <is>
          <t>⚠</t>
        </is>
      </c>
      <c r="Q17" s="16" t="inlineStr">
        <is>
          <t>⚠</t>
        </is>
      </c>
      <c r="R17" s="16" t="inlineStr">
        <is>
          <t>B</t>
        </is>
      </c>
      <c r="S17" s="23" t="inlineStr">
        <is>
          <t>Proven budget PLA; cardboard spool requires AMS Adapter Ring on all variants</t>
        </is>
      </c>
      <c r="T17" s="23" t="inlineStr">
        <is>
          <t>Cardboard spool — AMS Adapter Ring required for all AMS variants</t>
        </is>
      </c>
    </row>
    <row r="18" ht="20" customHeight="1">
      <c r="A18" s="26" t="inlineStr">
        <is>
          <t>PLA</t>
        </is>
      </c>
      <c r="B18" s="26" t="inlineStr">
        <is>
          <t>HX-PLA175-GLB</t>
        </is>
      </c>
      <c r="C18" s="26" t="inlineStr">
        <is>
          <t>Hatchbox PLA</t>
        </is>
      </c>
      <c r="D18" s="26" t="inlineStr">
        <is>
          <t>Glow Blue</t>
        </is>
      </c>
      <c r="E18" s="46" t="inlineStr"/>
      <c r="F18" s="47" t="inlineStr">
        <is>
          <t>#00BFFF</t>
        </is>
      </c>
      <c r="G18" s="29" t="inlineStr">
        <is>
          <t>1.75mm</t>
        </is>
      </c>
      <c r="H18" s="29" t="inlineStr">
        <is>
          <t>±0.03mm</t>
        </is>
      </c>
      <c r="I18" s="29" t="inlineStr">
        <is>
          <t>Cardboard</t>
        </is>
      </c>
      <c r="J18" s="29" t="inlineStr">
        <is>
          <t>Yes</t>
        </is>
      </c>
      <c r="K18" s="29" t="inlineStr">
        <is>
          <t>180–220°C</t>
        </is>
      </c>
      <c r="L18" s="29" t="inlineStr">
        <is>
          <t>50–60°C</t>
        </is>
      </c>
      <c r="M18" s="29" t="inlineStr">
        <is>
          <t>45°C / 4h</t>
        </is>
      </c>
      <c r="N18" s="29" t="inlineStr">
        <is>
          <t>⚠</t>
        </is>
      </c>
      <c r="O18" s="29" t="inlineStr">
        <is>
          <t>⚠</t>
        </is>
      </c>
      <c r="P18" s="29" t="inlineStr">
        <is>
          <t>⚠</t>
        </is>
      </c>
      <c r="Q18" s="29" t="inlineStr">
        <is>
          <t>⚠</t>
        </is>
      </c>
      <c r="R18" s="29" t="inlineStr">
        <is>
          <t>B</t>
        </is>
      </c>
      <c r="S18" s="26" t="inlineStr">
        <is>
          <t>Proven budget PLA; cardboard spool requires AMS Adapter Ring on all variants</t>
        </is>
      </c>
      <c r="T18" s="26" t="inlineStr">
        <is>
          <t>Glow-in-the-dark; cardboard spool — AMS Adapter Ring required</t>
        </is>
      </c>
    </row>
    <row r="19" ht="20" customHeight="1">
      <c r="A19" s="23" t="inlineStr">
        <is>
          <t>PLA</t>
        </is>
      </c>
      <c r="B19" s="23" t="inlineStr">
        <is>
          <t>HX-PLA175-GLG</t>
        </is>
      </c>
      <c r="C19" s="23" t="inlineStr">
        <is>
          <t>Hatchbox PLA</t>
        </is>
      </c>
      <c r="D19" s="23" t="inlineStr">
        <is>
          <t>Glow Green</t>
        </is>
      </c>
      <c r="E19" s="48" t="inlineStr"/>
      <c r="F19" s="49" t="inlineStr">
        <is>
          <t>#39FF14</t>
        </is>
      </c>
      <c r="G19" s="16" t="inlineStr">
        <is>
          <t>1.75mm</t>
        </is>
      </c>
      <c r="H19" s="16" t="inlineStr">
        <is>
          <t>±0.03mm</t>
        </is>
      </c>
      <c r="I19" s="16" t="inlineStr">
        <is>
          <t>Cardboard</t>
        </is>
      </c>
      <c r="J19" s="16" t="inlineStr">
        <is>
          <t>Yes</t>
        </is>
      </c>
      <c r="K19" s="16" t="inlineStr">
        <is>
          <t>180–220°C</t>
        </is>
      </c>
      <c r="L19" s="16" t="inlineStr">
        <is>
          <t>50–60°C</t>
        </is>
      </c>
      <c r="M19" s="16" t="inlineStr">
        <is>
          <t>45°C / 4h</t>
        </is>
      </c>
      <c r="N19" s="16" t="inlineStr">
        <is>
          <t>⚠</t>
        </is>
      </c>
      <c r="O19" s="16" t="inlineStr">
        <is>
          <t>⚠</t>
        </is>
      </c>
      <c r="P19" s="16" t="inlineStr">
        <is>
          <t>⚠</t>
        </is>
      </c>
      <c r="Q19" s="16" t="inlineStr">
        <is>
          <t>⚠</t>
        </is>
      </c>
      <c r="R19" s="16" t="inlineStr">
        <is>
          <t>B</t>
        </is>
      </c>
      <c r="S19" s="23" t="inlineStr">
        <is>
          <t>Proven budget PLA; cardboard spool requires AMS Adapter Ring on all variants</t>
        </is>
      </c>
      <c r="T19" s="23" t="inlineStr">
        <is>
          <t>Glow-in-the-dark; cardboard spool — AMS Adapter Ring required</t>
        </is>
      </c>
    </row>
    <row r="20" ht="20" customHeight="1">
      <c r="A20" s="26" t="inlineStr">
        <is>
          <t>PLA</t>
        </is>
      </c>
      <c r="B20" s="26" t="inlineStr">
        <is>
          <t>HX-PLA175-GD</t>
        </is>
      </c>
      <c r="C20" s="26" t="inlineStr">
        <is>
          <t>Hatchbox PLA</t>
        </is>
      </c>
      <c r="D20" s="26" t="inlineStr">
        <is>
          <t>Gold</t>
        </is>
      </c>
      <c r="E20" s="50" t="inlineStr"/>
      <c r="F20" s="51" t="inlineStr">
        <is>
          <t>#D4A017</t>
        </is>
      </c>
      <c r="G20" s="29" t="inlineStr">
        <is>
          <t>1.75mm</t>
        </is>
      </c>
      <c r="H20" s="29" t="inlineStr">
        <is>
          <t>±0.03mm</t>
        </is>
      </c>
      <c r="I20" s="29" t="inlineStr">
        <is>
          <t>Cardboard</t>
        </is>
      </c>
      <c r="J20" s="29" t="inlineStr">
        <is>
          <t>Yes</t>
        </is>
      </c>
      <c r="K20" s="29" t="inlineStr">
        <is>
          <t>180–220°C</t>
        </is>
      </c>
      <c r="L20" s="29" t="inlineStr">
        <is>
          <t>50–60°C</t>
        </is>
      </c>
      <c r="M20" s="29" t="inlineStr">
        <is>
          <t>45°C / 4h</t>
        </is>
      </c>
      <c r="N20" s="29" t="inlineStr">
        <is>
          <t>⚠</t>
        </is>
      </c>
      <c r="O20" s="29" t="inlineStr">
        <is>
          <t>⚠</t>
        </is>
      </c>
      <c r="P20" s="29" t="inlineStr">
        <is>
          <t>⚠</t>
        </is>
      </c>
      <c r="Q20" s="29" t="inlineStr">
        <is>
          <t>⚠</t>
        </is>
      </c>
      <c r="R20" s="29" t="inlineStr">
        <is>
          <t>B</t>
        </is>
      </c>
      <c r="S20" s="26" t="inlineStr">
        <is>
          <t>Proven budget PLA; cardboard spool requires AMS Adapter Ring on all variants</t>
        </is>
      </c>
      <c r="T20" s="26" t="inlineStr">
        <is>
          <t>Cardboard spool — AMS Adapter Ring required for all AMS variants</t>
        </is>
      </c>
    </row>
    <row r="21" ht="20" customHeight="1">
      <c r="A21" s="23" t="inlineStr">
        <is>
          <t>PLA</t>
        </is>
      </c>
      <c r="B21" s="23" t="inlineStr">
        <is>
          <t>HX-PLA175-GY</t>
        </is>
      </c>
      <c r="C21" s="23" t="inlineStr">
        <is>
          <t>Hatchbox PLA</t>
        </is>
      </c>
      <c r="D21" s="23" t="inlineStr">
        <is>
          <t>Gray</t>
        </is>
      </c>
      <c r="E21" s="27" t="inlineStr"/>
      <c r="F21" s="28" t="inlineStr">
        <is>
          <t>#808080</t>
        </is>
      </c>
      <c r="G21" s="16" t="inlineStr">
        <is>
          <t>1.75mm</t>
        </is>
      </c>
      <c r="H21" s="16" t="inlineStr">
        <is>
          <t>±0.03mm</t>
        </is>
      </c>
      <c r="I21" s="16" t="inlineStr">
        <is>
          <t>Cardboard</t>
        </is>
      </c>
      <c r="J21" s="16" t="inlineStr">
        <is>
          <t>Yes</t>
        </is>
      </c>
      <c r="K21" s="16" t="inlineStr">
        <is>
          <t>180–220°C</t>
        </is>
      </c>
      <c r="L21" s="16" t="inlineStr">
        <is>
          <t>50–60°C</t>
        </is>
      </c>
      <c r="M21" s="16" t="inlineStr">
        <is>
          <t>45°C / 4h</t>
        </is>
      </c>
      <c r="N21" s="16" t="inlineStr">
        <is>
          <t>⚠</t>
        </is>
      </c>
      <c r="O21" s="16" t="inlineStr">
        <is>
          <t>⚠</t>
        </is>
      </c>
      <c r="P21" s="16" t="inlineStr">
        <is>
          <t>⚠</t>
        </is>
      </c>
      <c r="Q21" s="16" t="inlineStr">
        <is>
          <t>⚠</t>
        </is>
      </c>
      <c r="R21" s="16" t="inlineStr">
        <is>
          <t>B</t>
        </is>
      </c>
      <c r="S21" s="23" t="inlineStr">
        <is>
          <t>Proven budget PLA; cardboard spool requires AMS Adapter Ring on all variants</t>
        </is>
      </c>
      <c r="T21" s="23" t="inlineStr">
        <is>
          <t>Cardboard spool — AMS Adapter Ring required for all AMS variants</t>
        </is>
      </c>
    </row>
    <row r="22" ht="20" customHeight="1">
      <c r="A22" s="26" t="inlineStr">
        <is>
          <t>PLA</t>
        </is>
      </c>
      <c r="B22" s="26" t="inlineStr">
        <is>
          <t>HX-PLA175-GN</t>
        </is>
      </c>
      <c r="C22" s="26" t="inlineStr">
        <is>
          <t>Hatchbox PLA</t>
        </is>
      </c>
      <c r="D22" s="26" t="inlineStr">
        <is>
          <t>Green</t>
        </is>
      </c>
      <c r="E22" s="52" t="inlineStr"/>
      <c r="F22" s="53" t="inlineStr">
        <is>
          <t>#2E8B57</t>
        </is>
      </c>
      <c r="G22" s="29" t="inlineStr">
        <is>
          <t>1.75mm</t>
        </is>
      </c>
      <c r="H22" s="29" t="inlineStr">
        <is>
          <t>±0.03mm</t>
        </is>
      </c>
      <c r="I22" s="29" t="inlineStr">
        <is>
          <t>Cardboard</t>
        </is>
      </c>
      <c r="J22" s="29" t="inlineStr">
        <is>
          <t>Yes</t>
        </is>
      </c>
      <c r="K22" s="29" t="inlineStr">
        <is>
          <t>180–220°C</t>
        </is>
      </c>
      <c r="L22" s="29" t="inlineStr">
        <is>
          <t>50–60°C</t>
        </is>
      </c>
      <c r="M22" s="29" t="inlineStr">
        <is>
          <t>45°C / 4h</t>
        </is>
      </c>
      <c r="N22" s="29" t="inlineStr">
        <is>
          <t>⚠</t>
        </is>
      </c>
      <c r="O22" s="29" t="inlineStr">
        <is>
          <t>⚠</t>
        </is>
      </c>
      <c r="P22" s="29" t="inlineStr">
        <is>
          <t>⚠</t>
        </is>
      </c>
      <c r="Q22" s="29" t="inlineStr">
        <is>
          <t>⚠</t>
        </is>
      </c>
      <c r="R22" s="29" t="inlineStr">
        <is>
          <t>B</t>
        </is>
      </c>
      <c r="S22" s="26" t="inlineStr">
        <is>
          <t>Proven budget PLA; cardboard spool requires AMS Adapter Ring on all variants</t>
        </is>
      </c>
      <c r="T22" s="26" t="inlineStr">
        <is>
          <t>Cardboard spool — AMS Adapter Ring required for all AMS variants</t>
        </is>
      </c>
    </row>
    <row r="23" ht="20" customHeight="1">
      <c r="A23" s="23" t="inlineStr">
        <is>
          <t>PLA</t>
        </is>
      </c>
      <c r="B23" s="23" t="inlineStr">
        <is>
          <t>HX-PLA175-LB</t>
        </is>
      </c>
      <c r="C23" s="23" t="inlineStr">
        <is>
          <t>Hatchbox PLA</t>
        </is>
      </c>
      <c r="D23" s="23" t="inlineStr">
        <is>
          <t>Light Blue</t>
        </is>
      </c>
      <c r="E23" s="54" t="inlineStr"/>
      <c r="F23" s="55" t="inlineStr">
        <is>
          <t>#ADD8E6</t>
        </is>
      </c>
      <c r="G23" s="16" t="inlineStr">
        <is>
          <t>1.75mm</t>
        </is>
      </c>
      <c r="H23" s="16" t="inlineStr">
        <is>
          <t>±0.03mm</t>
        </is>
      </c>
      <c r="I23" s="16" t="inlineStr">
        <is>
          <t>Cardboard</t>
        </is>
      </c>
      <c r="J23" s="16" t="inlineStr">
        <is>
          <t>Yes</t>
        </is>
      </c>
      <c r="K23" s="16" t="inlineStr">
        <is>
          <t>180–220°C</t>
        </is>
      </c>
      <c r="L23" s="16" t="inlineStr">
        <is>
          <t>50–60°C</t>
        </is>
      </c>
      <c r="M23" s="16" t="inlineStr">
        <is>
          <t>45°C / 4h</t>
        </is>
      </c>
      <c r="N23" s="16" t="inlineStr">
        <is>
          <t>⚠</t>
        </is>
      </c>
      <c r="O23" s="16" t="inlineStr">
        <is>
          <t>⚠</t>
        </is>
      </c>
      <c r="P23" s="16" t="inlineStr">
        <is>
          <t>⚠</t>
        </is>
      </c>
      <c r="Q23" s="16" t="inlineStr">
        <is>
          <t>⚠</t>
        </is>
      </c>
      <c r="R23" s="16" t="inlineStr">
        <is>
          <t>B</t>
        </is>
      </c>
      <c r="S23" s="23" t="inlineStr">
        <is>
          <t>Proven budget PLA; cardboard spool requires AMS Adapter Ring on all variants</t>
        </is>
      </c>
      <c r="T23" s="23" t="inlineStr">
        <is>
          <t>Cardboard spool — AMS Adapter Ring required for all AMS variants</t>
        </is>
      </c>
    </row>
    <row r="24" ht="20" customHeight="1">
      <c r="A24" s="26" t="inlineStr">
        <is>
          <t>PLA</t>
        </is>
      </c>
      <c r="B24" s="26" t="inlineStr">
        <is>
          <t>HX-PLA175-MRB</t>
        </is>
      </c>
      <c r="C24" s="26" t="inlineStr">
        <is>
          <t>Hatchbox PLA</t>
        </is>
      </c>
      <c r="D24" s="26" t="inlineStr">
        <is>
          <t>Marble</t>
        </is>
      </c>
      <c r="E24" s="56" t="inlineStr"/>
      <c r="F24" s="57" t="inlineStr">
        <is>
          <t>#E8E8E8</t>
        </is>
      </c>
      <c r="G24" s="29" t="inlineStr">
        <is>
          <t>1.75mm</t>
        </is>
      </c>
      <c r="H24" s="29" t="inlineStr">
        <is>
          <t>±0.03mm</t>
        </is>
      </c>
      <c r="I24" s="29" t="inlineStr">
        <is>
          <t>Cardboard</t>
        </is>
      </c>
      <c r="J24" s="29" t="inlineStr">
        <is>
          <t>Yes</t>
        </is>
      </c>
      <c r="K24" s="29" t="inlineStr">
        <is>
          <t>180–220°C</t>
        </is>
      </c>
      <c r="L24" s="29" t="inlineStr">
        <is>
          <t>50–60°C</t>
        </is>
      </c>
      <c r="M24" s="29" t="inlineStr">
        <is>
          <t>45°C / 4h</t>
        </is>
      </c>
      <c r="N24" s="29" t="inlineStr">
        <is>
          <t>⚠</t>
        </is>
      </c>
      <c r="O24" s="29" t="inlineStr">
        <is>
          <t>⚠</t>
        </is>
      </c>
      <c r="P24" s="29" t="inlineStr">
        <is>
          <t>⚠</t>
        </is>
      </c>
      <c r="Q24" s="29" t="inlineStr">
        <is>
          <t>⚠</t>
        </is>
      </c>
      <c r="R24" s="29" t="inlineStr">
        <is>
          <t>B</t>
        </is>
      </c>
      <c r="S24" s="26" t="inlineStr">
        <is>
          <t>Proven budget PLA; cardboard spool requires AMS Adapter Ring on all variants</t>
        </is>
      </c>
      <c r="T24" s="26" t="inlineStr">
        <is>
          <t>Marble composite; slightly abrasive; cardboard spool — adapter ring required</t>
        </is>
      </c>
    </row>
    <row r="25" ht="20" customHeight="1">
      <c r="A25" s="23" t="inlineStr">
        <is>
          <t>PLA</t>
        </is>
      </c>
      <c r="B25" s="23" t="inlineStr">
        <is>
          <t>HX-PLA175-NVB</t>
        </is>
      </c>
      <c r="C25" s="23" t="inlineStr">
        <is>
          <t>Hatchbox PLA</t>
        </is>
      </c>
      <c r="D25" s="23" t="inlineStr">
        <is>
          <t>Navy Blue</t>
        </is>
      </c>
      <c r="E25" s="58" t="inlineStr"/>
      <c r="F25" s="59" t="inlineStr">
        <is>
          <t>#1A2A5A</t>
        </is>
      </c>
      <c r="G25" s="16" t="inlineStr">
        <is>
          <t>1.75mm</t>
        </is>
      </c>
      <c r="H25" s="16" t="inlineStr">
        <is>
          <t>±0.03mm</t>
        </is>
      </c>
      <c r="I25" s="16" t="inlineStr">
        <is>
          <t>Cardboard</t>
        </is>
      </c>
      <c r="J25" s="16" t="inlineStr">
        <is>
          <t>Yes</t>
        </is>
      </c>
      <c r="K25" s="16" t="inlineStr">
        <is>
          <t>180–220°C</t>
        </is>
      </c>
      <c r="L25" s="16" t="inlineStr">
        <is>
          <t>50–60°C</t>
        </is>
      </c>
      <c r="M25" s="16" t="inlineStr">
        <is>
          <t>45°C / 4h</t>
        </is>
      </c>
      <c r="N25" s="16" t="inlineStr">
        <is>
          <t>⚠</t>
        </is>
      </c>
      <c r="O25" s="16" t="inlineStr">
        <is>
          <t>⚠</t>
        </is>
      </c>
      <c r="P25" s="16" t="inlineStr">
        <is>
          <t>⚠</t>
        </is>
      </c>
      <c r="Q25" s="16" t="inlineStr">
        <is>
          <t>⚠</t>
        </is>
      </c>
      <c r="R25" s="16" t="inlineStr">
        <is>
          <t>B</t>
        </is>
      </c>
      <c r="S25" s="23" t="inlineStr">
        <is>
          <t>Proven budget PLA; cardboard spool requires AMS Adapter Ring on all variants</t>
        </is>
      </c>
      <c r="T25" s="23" t="inlineStr">
        <is>
          <t>Cardboard spool — AMS Adapter Ring required for all AMS variants</t>
        </is>
      </c>
    </row>
    <row r="26" ht="20" customHeight="1">
      <c r="A26" s="26" t="inlineStr">
        <is>
          <t>PLA</t>
        </is>
      </c>
      <c r="B26" s="26" t="inlineStr">
        <is>
          <t>HX-PLA175-OR</t>
        </is>
      </c>
      <c r="C26" s="26" t="inlineStr">
        <is>
          <t>Hatchbox PLA</t>
        </is>
      </c>
      <c r="D26" s="26" t="inlineStr">
        <is>
          <t>Orange</t>
        </is>
      </c>
      <c r="E26" s="60" t="inlineStr"/>
      <c r="F26" s="61" t="inlineStr">
        <is>
          <t>#F5821F</t>
        </is>
      </c>
      <c r="G26" s="29" t="inlineStr">
        <is>
          <t>1.75mm</t>
        </is>
      </c>
      <c r="H26" s="29" t="inlineStr">
        <is>
          <t>±0.03mm</t>
        </is>
      </c>
      <c r="I26" s="29" t="inlineStr">
        <is>
          <t>Cardboard</t>
        </is>
      </c>
      <c r="J26" s="29" t="inlineStr">
        <is>
          <t>Yes</t>
        </is>
      </c>
      <c r="K26" s="29" t="inlineStr">
        <is>
          <t>180–220°C</t>
        </is>
      </c>
      <c r="L26" s="29" t="inlineStr">
        <is>
          <t>50–60°C</t>
        </is>
      </c>
      <c r="M26" s="29" t="inlineStr">
        <is>
          <t>45°C / 4h</t>
        </is>
      </c>
      <c r="N26" s="29" t="inlineStr">
        <is>
          <t>⚠</t>
        </is>
      </c>
      <c r="O26" s="29" t="inlineStr">
        <is>
          <t>⚠</t>
        </is>
      </c>
      <c r="P26" s="29" t="inlineStr">
        <is>
          <t>⚠</t>
        </is>
      </c>
      <c r="Q26" s="29" t="inlineStr">
        <is>
          <t>⚠</t>
        </is>
      </c>
      <c r="R26" s="29" t="inlineStr">
        <is>
          <t>B</t>
        </is>
      </c>
      <c r="S26" s="26" t="inlineStr">
        <is>
          <t>Proven budget PLA; cardboard spool requires AMS Adapter Ring on all variants</t>
        </is>
      </c>
      <c r="T26" s="26" t="inlineStr">
        <is>
          <t>Cardboard spool — AMS Adapter Ring required for all AMS variants</t>
        </is>
      </c>
    </row>
    <row r="27" ht="20" customHeight="1">
      <c r="A27" s="23" t="inlineStr">
        <is>
          <t>PLA</t>
        </is>
      </c>
      <c r="B27" s="23" t="inlineStr">
        <is>
          <t>HX-PLA175-PK</t>
        </is>
      </c>
      <c r="C27" s="23" t="inlineStr">
        <is>
          <t>Hatchbox PLA</t>
        </is>
      </c>
      <c r="D27" s="23" t="inlineStr">
        <is>
          <t>Pink</t>
        </is>
      </c>
      <c r="E27" s="62" t="inlineStr"/>
      <c r="F27" s="63" t="inlineStr">
        <is>
          <t>#FF69B4</t>
        </is>
      </c>
      <c r="G27" s="16" t="inlineStr">
        <is>
          <t>1.75mm</t>
        </is>
      </c>
      <c r="H27" s="16" t="inlineStr">
        <is>
          <t>±0.03mm</t>
        </is>
      </c>
      <c r="I27" s="16" t="inlineStr">
        <is>
          <t>Cardboard</t>
        </is>
      </c>
      <c r="J27" s="16" t="inlineStr">
        <is>
          <t>Yes</t>
        </is>
      </c>
      <c r="K27" s="16" t="inlineStr">
        <is>
          <t>180–220°C</t>
        </is>
      </c>
      <c r="L27" s="16" t="inlineStr">
        <is>
          <t>50–60°C</t>
        </is>
      </c>
      <c r="M27" s="16" t="inlineStr">
        <is>
          <t>45°C / 4h</t>
        </is>
      </c>
      <c r="N27" s="16" t="inlineStr">
        <is>
          <t>⚠</t>
        </is>
      </c>
      <c r="O27" s="16" t="inlineStr">
        <is>
          <t>⚠</t>
        </is>
      </c>
      <c r="P27" s="16" t="inlineStr">
        <is>
          <t>⚠</t>
        </is>
      </c>
      <c r="Q27" s="16" t="inlineStr">
        <is>
          <t>⚠</t>
        </is>
      </c>
      <c r="R27" s="16" t="inlineStr">
        <is>
          <t>B</t>
        </is>
      </c>
      <c r="S27" s="23" t="inlineStr">
        <is>
          <t>Proven budget PLA; cardboard spool requires AMS Adapter Ring on all variants</t>
        </is>
      </c>
      <c r="T27" s="23" t="inlineStr">
        <is>
          <t>Cardboard spool — AMS Adapter Ring required for all AMS variants</t>
        </is>
      </c>
    </row>
    <row r="28" ht="20" customHeight="1">
      <c r="A28" s="26" t="inlineStr">
        <is>
          <t>PLA</t>
        </is>
      </c>
      <c r="B28" s="26" t="inlineStr">
        <is>
          <t>HX-PLA175-PU</t>
        </is>
      </c>
      <c r="C28" s="26" t="inlineStr">
        <is>
          <t>Hatchbox PLA</t>
        </is>
      </c>
      <c r="D28" s="26" t="inlineStr">
        <is>
          <t>Purple</t>
        </is>
      </c>
      <c r="E28" s="64" t="inlineStr"/>
      <c r="F28" s="65" t="inlineStr">
        <is>
          <t>#6A0DAD</t>
        </is>
      </c>
      <c r="G28" s="29" t="inlineStr">
        <is>
          <t>1.75mm</t>
        </is>
      </c>
      <c r="H28" s="29" t="inlineStr">
        <is>
          <t>±0.03mm</t>
        </is>
      </c>
      <c r="I28" s="29" t="inlineStr">
        <is>
          <t>Cardboard</t>
        </is>
      </c>
      <c r="J28" s="29" t="inlineStr">
        <is>
          <t>Yes</t>
        </is>
      </c>
      <c r="K28" s="29" t="inlineStr">
        <is>
          <t>180–220°C</t>
        </is>
      </c>
      <c r="L28" s="29" t="inlineStr">
        <is>
          <t>50–60°C</t>
        </is>
      </c>
      <c r="M28" s="29" t="inlineStr">
        <is>
          <t>45°C / 4h</t>
        </is>
      </c>
      <c r="N28" s="29" t="inlineStr">
        <is>
          <t>⚠</t>
        </is>
      </c>
      <c r="O28" s="29" t="inlineStr">
        <is>
          <t>⚠</t>
        </is>
      </c>
      <c r="P28" s="29" t="inlineStr">
        <is>
          <t>⚠</t>
        </is>
      </c>
      <c r="Q28" s="29" t="inlineStr">
        <is>
          <t>⚠</t>
        </is>
      </c>
      <c r="R28" s="29" t="inlineStr">
        <is>
          <t>B</t>
        </is>
      </c>
      <c r="S28" s="26" t="inlineStr">
        <is>
          <t>Proven budget PLA; cardboard spool requires AMS Adapter Ring on all variants</t>
        </is>
      </c>
      <c r="T28" s="26" t="inlineStr">
        <is>
          <t>Cardboard spool — AMS Adapter Ring required for all AMS variants</t>
        </is>
      </c>
    </row>
    <row r="29" ht="20" customHeight="1">
      <c r="A29" s="23" t="inlineStr">
        <is>
          <t>PLA</t>
        </is>
      </c>
      <c r="B29" s="23" t="inlineStr">
        <is>
          <t>HX-PLA175-RD</t>
        </is>
      </c>
      <c r="C29" s="23" t="inlineStr">
        <is>
          <t>Hatchbox PLA</t>
        </is>
      </c>
      <c r="D29" s="23" t="inlineStr">
        <is>
          <t>Red</t>
        </is>
      </c>
      <c r="E29" s="38" t="inlineStr"/>
      <c r="F29" s="39" t="inlineStr">
        <is>
          <t>#CC0000</t>
        </is>
      </c>
      <c r="G29" s="16" t="inlineStr">
        <is>
          <t>1.75mm</t>
        </is>
      </c>
      <c r="H29" s="16" t="inlineStr">
        <is>
          <t>±0.03mm</t>
        </is>
      </c>
      <c r="I29" s="16" t="inlineStr">
        <is>
          <t>Cardboard</t>
        </is>
      </c>
      <c r="J29" s="16" t="inlineStr">
        <is>
          <t>Yes</t>
        </is>
      </c>
      <c r="K29" s="16" t="inlineStr">
        <is>
          <t>180–220°C</t>
        </is>
      </c>
      <c r="L29" s="16" t="inlineStr">
        <is>
          <t>50–60°C</t>
        </is>
      </c>
      <c r="M29" s="16" t="inlineStr">
        <is>
          <t>45°C / 4h</t>
        </is>
      </c>
      <c r="N29" s="16" t="inlineStr">
        <is>
          <t>⚠</t>
        </is>
      </c>
      <c r="O29" s="16" t="inlineStr">
        <is>
          <t>⚠</t>
        </is>
      </c>
      <c r="P29" s="16" t="inlineStr">
        <is>
          <t>⚠</t>
        </is>
      </c>
      <c r="Q29" s="16" t="inlineStr">
        <is>
          <t>⚠</t>
        </is>
      </c>
      <c r="R29" s="16" t="inlineStr">
        <is>
          <t>B</t>
        </is>
      </c>
      <c r="S29" s="23" t="inlineStr">
        <is>
          <t>Proven budget PLA; cardboard spool requires AMS Adapter Ring on all variants</t>
        </is>
      </c>
      <c r="T29" s="23" t="inlineStr">
        <is>
          <t>Cardboard spool — AMS Adapter Ring required for all AMS variants</t>
        </is>
      </c>
    </row>
    <row r="30" ht="20" customHeight="1">
      <c r="A30" s="26" t="inlineStr">
        <is>
          <t>PLA</t>
        </is>
      </c>
      <c r="B30" s="26" t="inlineStr">
        <is>
          <t>HX-PLA175-SLKG</t>
        </is>
      </c>
      <c r="C30" s="26" t="inlineStr">
        <is>
          <t>Hatchbox PLA</t>
        </is>
      </c>
      <c r="D30" s="26" t="inlineStr">
        <is>
          <t>Silk Gold</t>
        </is>
      </c>
      <c r="E30" s="50" t="inlineStr"/>
      <c r="F30" s="51" t="inlineStr">
        <is>
          <t>#D4A017</t>
        </is>
      </c>
      <c r="G30" s="29" t="inlineStr">
        <is>
          <t>1.75mm</t>
        </is>
      </c>
      <c r="H30" s="29" t="inlineStr">
        <is>
          <t>±0.03mm</t>
        </is>
      </c>
      <c r="I30" s="29" t="inlineStr">
        <is>
          <t>Cardboard</t>
        </is>
      </c>
      <c r="J30" s="29" t="inlineStr">
        <is>
          <t>Yes</t>
        </is>
      </c>
      <c r="K30" s="29" t="inlineStr">
        <is>
          <t>180–220°C</t>
        </is>
      </c>
      <c r="L30" s="29" t="inlineStr">
        <is>
          <t>50–60°C</t>
        </is>
      </c>
      <c r="M30" s="29" t="inlineStr">
        <is>
          <t>45°C / 4h</t>
        </is>
      </c>
      <c r="N30" s="29" t="inlineStr">
        <is>
          <t>⚠</t>
        </is>
      </c>
      <c r="O30" s="29" t="inlineStr">
        <is>
          <t>⚠</t>
        </is>
      </c>
      <c r="P30" s="29" t="inlineStr">
        <is>
          <t>⚠</t>
        </is>
      </c>
      <c r="Q30" s="29" t="inlineStr">
        <is>
          <t>⚠</t>
        </is>
      </c>
      <c r="R30" s="29" t="inlineStr">
        <is>
          <t>B</t>
        </is>
      </c>
      <c r="S30" s="26" t="inlineStr">
        <is>
          <t>Proven budget PLA; cardboard spool requires AMS Adapter Ring on all variants</t>
        </is>
      </c>
      <c r="T30" s="26" t="inlineStr">
        <is>
          <t>Silk finish; cardboard spool</t>
        </is>
      </c>
    </row>
    <row r="31" ht="20" customHeight="1">
      <c r="A31" s="23" t="inlineStr">
        <is>
          <t>PLA</t>
        </is>
      </c>
      <c r="B31" s="23" t="inlineStr">
        <is>
          <t>HX-PLA175-SV</t>
        </is>
      </c>
      <c r="C31" s="23" t="inlineStr">
        <is>
          <t>Hatchbox PLA</t>
        </is>
      </c>
      <c r="D31" s="23" t="inlineStr">
        <is>
          <t>Silver</t>
        </is>
      </c>
      <c r="E31" s="66" t="inlineStr"/>
      <c r="F31" s="67" t="inlineStr">
        <is>
          <t>#C0C0C0</t>
        </is>
      </c>
      <c r="G31" s="16" t="inlineStr">
        <is>
          <t>1.75mm</t>
        </is>
      </c>
      <c r="H31" s="16" t="inlineStr">
        <is>
          <t>±0.03mm</t>
        </is>
      </c>
      <c r="I31" s="16" t="inlineStr">
        <is>
          <t>Cardboard</t>
        </is>
      </c>
      <c r="J31" s="16" t="inlineStr">
        <is>
          <t>Yes</t>
        </is>
      </c>
      <c r="K31" s="16" t="inlineStr">
        <is>
          <t>180–220°C</t>
        </is>
      </c>
      <c r="L31" s="16" t="inlineStr">
        <is>
          <t>50–60°C</t>
        </is>
      </c>
      <c r="M31" s="16" t="inlineStr">
        <is>
          <t>45°C / 4h</t>
        </is>
      </c>
      <c r="N31" s="16" t="inlineStr">
        <is>
          <t>⚠</t>
        </is>
      </c>
      <c r="O31" s="16" t="inlineStr">
        <is>
          <t>⚠</t>
        </is>
      </c>
      <c r="P31" s="16" t="inlineStr">
        <is>
          <t>⚠</t>
        </is>
      </c>
      <c r="Q31" s="16" t="inlineStr">
        <is>
          <t>⚠</t>
        </is>
      </c>
      <c r="R31" s="16" t="inlineStr">
        <is>
          <t>B</t>
        </is>
      </c>
      <c r="S31" s="23" t="inlineStr">
        <is>
          <t>Proven budget PLA; cardboard spool requires AMS Adapter Ring on all variants</t>
        </is>
      </c>
      <c r="T31" s="23" t="inlineStr">
        <is>
          <t>Cardboard spool — AMS Adapter Ring required for all AMS variants</t>
        </is>
      </c>
    </row>
    <row r="32" ht="20" customHeight="1">
      <c r="A32" s="26" t="inlineStr">
        <is>
          <t>PLA</t>
        </is>
      </c>
      <c r="B32" s="26" t="inlineStr">
        <is>
          <t>HX-PLA175-TRW</t>
        </is>
      </c>
      <c r="C32" s="26" t="inlineStr">
        <is>
          <t>Hatchbox PLA</t>
        </is>
      </c>
      <c r="D32" s="26" t="inlineStr">
        <is>
          <t>True White</t>
        </is>
      </c>
      <c r="E32" s="68" t="inlineStr"/>
      <c r="F32" s="69" t="inlineStr">
        <is>
          <t>#FAFAFA</t>
        </is>
      </c>
      <c r="G32" s="29" t="inlineStr">
        <is>
          <t>1.75mm</t>
        </is>
      </c>
      <c r="H32" s="29" t="inlineStr">
        <is>
          <t>±0.03mm</t>
        </is>
      </c>
      <c r="I32" s="29" t="inlineStr">
        <is>
          <t>Cardboard</t>
        </is>
      </c>
      <c r="J32" s="29" t="inlineStr">
        <is>
          <t>Yes</t>
        </is>
      </c>
      <c r="K32" s="29" t="inlineStr">
        <is>
          <t>180–220°C</t>
        </is>
      </c>
      <c r="L32" s="29" t="inlineStr">
        <is>
          <t>50–60°C</t>
        </is>
      </c>
      <c r="M32" s="29" t="inlineStr">
        <is>
          <t>45°C / 4h</t>
        </is>
      </c>
      <c r="N32" s="29" t="inlineStr">
        <is>
          <t>⚠</t>
        </is>
      </c>
      <c r="O32" s="29" t="inlineStr">
        <is>
          <t>⚠</t>
        </is>
      </c>
      <c r="P32" s="29" t="inlineStr">
        <is>
          <t>⚠</t>
        </is>
      </c>
      <c r="Q32" s="29" t="inlineStr">
        <is>
          <t>⚠</t>
        </is>
      </c>
      <c r="R32" s="29" t="inlineStr">
        <is>
          <t>B</t>
        </is>
      </c>
      <c r="S32" s="26" t="inlineStr">
        <is>
          <t>Proven budget PLA; cardboard spool requires AMS Adapter Ring on all variants</t>
        </is>
      </c>
      <c r="T32" s="26" t="inlineStr">
        <is>
          <t>Cardboard spool — AMS Adapter Ring required for all AMS variants</t>
        </is>
      </c>
    </row>
    <row r="33" ht="20" customHeight="1">
      <c r="A33" s="23" t="inlineStr">
        <is>
          <t>PLA</t>
        </is>
      </c>
      <c r="B33" s="23" t="inlineStr">
        <is>
          <t>HX-PLA175-WH</t>
        </is>
      </c>
      <c r="C33" s="23" t="inlineStr">
        <is>
          <t>Hatchbox PLA</t>
        </is>
      </c>
      <c r="D33" s="23" t="inlineStr">
        <is>
          <t>White</t>
        </is>
      </c>
      <c r="E33" s="30" t="inlineStr"/>
      <c r="F33" s="31" t="inlineStr">
        <is>
          <t>#F5F5F5</t>
        </is>
      </c>
      <c r="G33" s="16" t="inlineStr">
        <is>
          <t>1.75mm</t>
        </is>
      </c>
      <c r="H33" s="16" t="inlineStr">
        <is>
          <t>±0.03mm</t>
        </is>
      </c>
      <c r="I33" s="16" t="inlineStr">
        <is>
          <t>Cardboard</t>
        </is>
      </c>
      <c r="J33" s="16" t="inlineStr">
        <is>
          <t>Yes</t>
        </is>
      </c>
      <c r="K33" s="16" t="inlineStr">
        <is>
          <t>180–220°C</t>
        </is>
      </c>
      <c r="L33" s="16" t="inlineStr">
        <is>
          <t>50–60°C</t>
        </is>
      </c>
      <c r="M33" s="16" t="inlineStr">
        <is>
          <t>45°C / 4h</t>
        </is>
      </c>
      <c r="N33" s="16" t="inlineStr">
        <is>
          <t>⚠</t>
        </is>
      </c>
      <c r="O33" s="16" t="inlineStr">
        <is>
          <t>⚠</t>
        </is>
      </c>
      <c r="P33" s="16" t="inlineStr">
        <is>
          <t>⚠</t>
        </is>
      </c>
      <c r="Q33" s="16" t="inlineStr">
        <is>
          <t>⚠</t>
        </is>
      </c>
      <c r="R33" s="16" t="inlineStr">
        <is>
          <t>B</t>
        </is>
      </c>
      <c r="S33" s="23" t="inlineStr">
        <is>
          <t>Proven budget PLA; cardboard spool requires AMS Adapter Ring on all variants</t>
        </is>
      </c>
      <c r="T33" s="23" t="inlineStr">
        <is>
          <t>Cardboard spool — AMS Adapter Ring required for all AMS variants</t>
        </is>
      </c>
    </row>
    <row r="34" ht="20" customHeight="1">
      <c r="A34" s="26" t="inlineStr">
        <is>
          <t>PLA</t>
        </is>
      </c>
      <c r="B34" s="26" t="inlineStr">
        <is>
          <t>HX-PLA175-WD</t>
        </is>
      </c>
      <c r="C34" s="26" t="inlineStr">
        <is>
          <t>Hatchbox PLA</t>
        </is>
      </c>
      <c r="D34" s="26" t="inlineStr">
        <is>
          <t>Wood</t>
        </is>
      </c>
      <c r="E34" s="70" t="inlineStr"/>
      <c r="F34" s="71" t="inlineStr">
        <is>
          <t>#A0785A</t>
        </is>
      </c>
      <c r="G34" s="29" t="inlineStr">
        <is>
          <t>1.75mm</t>
        </is>
      </c>
      <c r="H34" s="29" t="inlineStr">
        <is>
          <t>±0.03mm</t>
        </is>
      </c>
      <c r="I34" s="29" t="inlineStr">
        <is>
          <t>Cardboard</t>
        </is>
      </c>
      <c r="J34" s="29" t="inlineStr">
        <is>
          <t>Yes</t>
        </is>
      </c>
      <c r="K34" s="29" t="inlineStr">
        <is>
          <t>180–220°C</t>
        </is>
      </c>
      <c r="L34" s="29" t="inlineStr">
        <is>
          <t>50–60°C</t>
        </is>
      </c>
      <c r="M34" s="29" t="inlineStr">
        <is>
          <t>45°C / 4h</t>
        </is>
      </c>
      <c r="N34" s="29" t="inlineStr">
        <is>
          <t>⚠</t>
        </is>
      </c>
      <c r="O34" s="29" t="inlineStr">
        <is>
          <t>⚠</t>
        </is>
      </c>
      <c r="P34" s="29" t="inlineStr">
        <is>
          <t>⚠</t>
        </is>
      </c>
      <c r="Q34" s="29" t="inlineStr">
        <is>
          <t>⚠</t>
        </is>
      </c>
      <c r="R34" s="29" t="inlineStr">
        <is>
          <t>B</t>
        </is>
      </c>
      <c r="S34" s="26" t="inlineStr">
        <is>
          <t>Proven budget PLA; cardboard spool requires AMS Adapter Ring on all variants</t>
        </is>
      </c>
      <c r="T34" s="26" t="inlineStr">
        <is>
          <t>Wood-composite; cardboard spool + slightly abrasive — monitor nozzle wear</t>
        </is>
      </c>
    </row>
    <row r="35" ht="20" customHeight="1">
      <c r="A35" s="23" t="inlineStr">
        <is>
          <t>PLA</t>
        </is>
      </c>
      <c r="B35" s="23" t="inlineStr">
        <is>
          <t>HX-PLA175-YL</t>
        </is>
      </c>
      <c r="C35" s="23" t="inlineStr">
        <is>
          <t>Hatchbox PLA</t>
        </is>
      </c>
      <c r="D35" s="23" t="inlineStr">
        <is>
          <t>Yellow</t>
        </is>
      </c>
      <c r="E35" s="72" t="inlineStr"/>
      <c r="F35" s="73" t="inlineStr">
        <is>
          <t>#F5C518</t>
        </is>
      </c>
      <c r="G35" s="16" t="inlineStr">
        <is>
          <t>1.75mm</t>
        </is>
      </c>
      <c r="H35" s="16" t="inlineStr">
        <is>
          <t>±0.03mm</t>
        </is>
      </c>
      <c r="I35" s="16" t="inlineStr">
        <is>
          <t>Cardboard</t>
        </is>
      </c>
      <c r="J35" s="16" t="inlineStr">
        <is>
          <t>Yes</t>
        </is>
      </c>
      <c r="K35" s="16" t="inlineStr">
        <is>
          <t>180–220°C</t>
        </is>
      </c>
      <c r="L35" s="16" t="inlineStr">
        <is>
          <t>50–60°C</t>
        </is>
      </c>
      <c r="M35" s="16" t="inlineStr">
        <is>
          <t>45°C / 4h</t>
        </is>
      </c>
      <c r="N35" s="16" t="inlineStr">
        <is>
          <t>⚠</t>
        </is>
      </c>
      <c r="O35" s="16" t="inlineStr">
        <is>
          <t>⚠</t>
        </is>
      </c>
      <c r="P35" s="16" t="inlineStr">
        <is>
          <t>⚠</t>
        </is>
      </c>
      <c r="Q35" s="16" t="inlineStr">
        <is>
          <t>⚠</t>
        </is>
      </c>
      <c r="R35" s="16" t="inlineStr">
        <is>
          <t>B</t>
        </is>
      </c>
      <c r="S35" s="23" t="inlineStr">
        <is>
          <t>Proven budget PLA; cardboard spool requires AMS Adapter Ring on all variants</t>
        </is>
      </c>
      <c r="T35" s="23" t="inlineStr">
        <is>
          <t>Cardboard spool — AMS Adapter Ring required for all AMS variants</t>
        </is>
      </c>
    </row>
    <row r="36" ht="20" customHeight="1">
      <c r="A36" s="26" t="inlineStr">
        <is>
          <t>PLA (MAX)</t>
        </is>
      </c>
      <c r="B36" s="26" t="inlineStr">
        <is>
          <t>HX-MAX-01</t>
        </is>
      </c>
      <c r="C36" s="26" t="inlineStr">
        <is>
          <t>Hatchbox PLA MAX</t>
        </is>
      </c>
      <c r="D36" s="26" t="inlineStr">
        <is>
          <t>Black</t>
        </is>
      </c>
      <c r="E36" s="32" t="inlineStr"/>
      <c r="F36" s="33" t="inlineStr">
        <is>
          <t>#000000</t>
        </is>
      </c>
      <c r="G36" s="29" t="inlineStr">
        <is>
          <t>1.75mm</t>
        </is>
      </c>
      <c r="H36" s="29" t="inlineStr">
        <is>
          <t>±0.02mm</t>
        </is>
      </c>
      <c r="I36" s="29" t="inlineStr">
        <is>
          <t>Plastic</t>
        </is>
      </c>
      <c r="J36" s="29" t="inlineStr">
        <is>
          <t>No</t>
        </is>
      </c>
      <c r="K36" s="29" t="inlineStr">
        <is>
          <t>190–220°C</t>
        </is>
      </c>
      <c r="L36" s="29" t="inlineStr">
        <is>
          <t>50–60°C</t>
        </is>
      </c>
      <c r="M36" s="29" t="inlineStr">
        <is>
          <t>45°C / 4h</t>
        </is>
      </c>
      <c r="N36" s="29" t="inlineStr">
        <is>
          <t>✓</t>
        </is>
      </c>
      <c r="O36" s="29" t="inlineStr">
        <is>
          <t>✓</t>
        </is>
      </c>
      <c r="P36" s="29" t="inlineStr">
        <is>
          <t>✓</t>
        </is>
      </c>
      <c r="Q36" s="29" t="inlineStr">
        <is>
          <t>✓</t>
        </is>
      </c>
      <c r="R36" s="29" t="inlineStr">
        <is>
          <t>C</t>
        </is>
      </c>
      <c r="S36" s="26" t="inlineStr">
        <is>
          <t>Line existence confirmed (hatchbox3d.com "SHOP USA-MADE PLA MAX"); eco-focused USA-made line, specs estimated</t>
        </is>
      </c>
      <c r="T36" s="26" t="inlineStr">
        <is>
          <t>Deep-dive follow-up 2026-07-19; NEW LINE</t>
        </is>
      </c>
    </row>
    <row r="37" ht="20" customHeight="1">
      <c r="A37" s="23" t="inlineStr">
        <is>
          <t>PLA (Performance)</t>
        </is>
      </c>
      <c r="B37" s="23" t="inlineStr">
        <is>
          <t>HX-PERF-01</t>
        </is>
      </c>
      <c r="C37" s="23" t="inlineStr">
        <is>
          <t>Hatchbox Performance PLA (PPLA)</t>
        </is>
      </c>
      <c r="D37" s="23" t="inlineStr">
        <is>
          <t>Black</t>
        </is>
      </c>
      <c r="E37" s="32" t="inlineStr"/>
      <c r="F37" s="33" t="inlineStr">
        <is>
          <t>#000000</t>
        </is>
      </c>
      <c r="G37" s="16" t="inlineStr">
        <is>
          <t>1.75mm</t>
        </is>
      </c>
      <c r="H37" s="16" t="inlineStr">
        <is>
          <t>±0.03mm</t>
        </is>
      </c>
      <c r="I37" s="16" t="inlineStr">
        <is>
          <t>Plastic</t>
        </is>
      </c>
      <c r="J37" s="16" t="inlineStr">
        <is>
          <t>No</t>
        </is>
      </c>
      <c r="K37" s="16" t="inlineStr">
        <is>
          <t>210–230°C</t>
        </is>
      </c>
      <c r="L37" s="16" t="inlineStr">
        <is>
          <t>50–60°C</t>
        </is>
      </c>
      <c r="M37" s="16" t="inlineStr">
        <is>
          <t>45°C / 4h</t>
        </is>
      </c>
      <c r="N37" s="16" t="inlineStr">
        <is>
          <t>✓</t>
        </is>
      </c>
      <c r="O37" s="16" t="inlineStr">
        <is>
          <t>✓</t>
        </is>
      </c>
      <c r="P37" s="16" t="inlineStr">
        <is>
          <t>✓</t>
        </is>
      </c>
      <c r="Q37" s="16" t="inlineStr">
        <is>
          <t>✓</t>
        </is>
      </c>
      <c r="R37" s="16" t="inlineStr">
        <is>
          <t>C</t>
        </is>
      </c>
      <c r="S37" s="23" t="inlineStr">
        <is>
          <t>Line existence confirmed (hatchbox3d.com "BLACK PERFORMANCE PLA FILAMENT"); combines ABS-like engineering properties with PLA ease of use, specs estimated</t>
        </is>
      </c>
      <c r="T37" s="23" t="inlineStr">
        <is>
          <t>Deep-dive follow-up 2026-07-19; NEW LINE</t>
        </is>
      </c>
    </row>
    <row r="38" ht="20" customHeight="1">
      <c r="A38" s="26" t="inlineStr">
        <is>
          <t>PLA Matte</t>
        </is>
      </c>
      <c r="B38" s="26" t="inlineStr">
        <is>
          <t>HX-MAT-ASH</t>
        </is>
      </c>
      <c r="C38" s="26" t="inlineStr">
        <is>
          <t>Hatchbox Matte PLA</t>
        </is>
      </c>
      <c r="D38" s="26" t="inlineStr">
        <is>
          <t>Ash Gray</t>
        </is>
      </c>
      <c r="E38" s="74" t="inlineStr"/>
      <c r="F38" s="75" t="inlineStr">
        <is>
          <t>#8A8D8F</t>
        </is>
      </c>
      <c r="G38" s="29" t="inlineStr">
        <is>
          <t>1.75mm</t>
        </is>
      </c>
      <c r="H38" s="29" t="inlineStr">
        <is>
          <t>±0.03mm</t>
        </is>
      </c>
      <c r="I38" s="29" t="inlineStr">
        <is>
          <t>Plastic</t>
        </is>
      </c>
      <c r="J38" s="29" t="inlineStr">
        <is>
          <t>No</t>
        </is>
      </c>
      <c r="K38" s="29" t="inlineStr">
        <is>
          <t>190–220°C</t>
        </is>
      </c>
      <c r="L38" s="29" t="inlineStr">
        <is>
          <t>50–60°C</t>
        </is>
      </c>
      <c r="M38" s="29" t="inlineStr">
        <is>
          <t>45°C / 4h</t>
        </is>
      </c>
      <c r="N38" s="29" t="inlineStr">
        <is>
          <t>✓</t>
        </is>
      </c>
      <c r="O38" s="29" t="inlineStr">
        <is>
          <t>✓</t>
        </is>
      </c>
      <c r="P38" s="29" t="inlineStr">
        <is>
          <t>✓</t>
        </is>
      </c>
      <c r="Q38" s="29" t="inlineStr">
        <is>
          <t>✓</t>
        </is>
      </c>
      <c r="R38" s="29" t="inlineStr">
        <is>
          <t>C</t>
        </is>
      </c>
      <c r="S38" s="26" t="inlineStr">
        <is>
          <t>Color confirmed to exist (hatchbox3d.com product tag listing); hex not independently confirmed</t>
        </is>
      </c>
      <c r="T38" s="26" t="inlineStr">
        <is>
          <t>Deep-dive follow-up 2026-07-19; Matte PLA expansion</t>
        </is>
      </c>
    </row>
    <row r="39" ht="20" customHeight="1">
      <c r="A39" s="23" t="inlineStr">
        <is>
          <t>PLA Matte</t>
        </is>
      </c>
      <c r="B39" s="23" t="inlineStr">
        <is>
          <t>HX-MAT-BAB</t>
        </is>
      </c>
      <c r="C39" s="23" t="inlineStr">
        <is>
          <t>Hatchbox Matte PLA</t>
        </is>
      </c>
      <c r="D39" s="23" t="inlineStr">
        <is>
          <t>Baby Pink</t>
        </is>
      </c>
      <c r="E39" s="76" t="inlineStr"/>
      <c r="F39" s="77" t="inlineStr">
        <is>
          <t>#F4C2C2</t>
        </is>
      </c>
      <c r="G39" s="16" t="inlineStr">
        <is>
          <t>1.75mm</t>
        </is>
      </c>
      <c r="H39" s="16" t="inlineStr">
        <is>
          <t>±0.03mm</t>
        </is>
      </c>
      <c r="I39" s="16" t="inlineStr">
        <is>
          <t>Plastic</t>
        </is>
      </c>
      <c r="J39" s="16" t="inlineStr">
        <is>
          <t>No</t>
        </is>
      </c>
      <c r="K39" s="16" t="inlineStr">
        <is>
          <t>190–220°C</t>
        </is>
      </c>
      <c r="L39" s="16" t="inlineStr">
        <is>
          <t>50–60°C</t>
        </is>
      </c>
      <c r="M39" s="16" t="inlineStr">
        <is>
          <t>45°C / 4h</t>
        </is>
      </c>
      <c r="N39" s="16" t="inlineStr">
        <is>
          <t>✓</t>
        </is>
      </c>
      <c r="O39" s="16" t="inlineStr">
        <is>
          <t>✓</t>
        </is>
      </c>
      <c r="P39" s="16" t="inlineStr">
        <is>
          <t>✓</t>
        </is>
      </c>
      <c r="Q39" s="16" t="inlineStr">
        <is>
          <t>✓</t>
        </is>
      </c>
      <c r="R39" s="16" t="inlineStr">
        <is>
          <t>C</t>
        </is>
      </c>
      <c r="S39" s="23" t="inlineStr">
        <is>
          <t>Line existence confirmed (hatchbox3d.com product listing); full color list not itemized in any source found</t>
        </is>
      </c>
      <c r="T39" s="23" t="inlineStr">
        <is>
          <t>Deep-dive follow-up 2026-07-19; NEW LINE — not previously in catalog</t>
        </is>
      </c>
    </row>
    <row r="40" ht="20" customHeight="1">
      <c r="A40" s="26" t="inlineStr">
        <is>
          <t>PLA Matte</t>
        </is>
      </c>
      <c r="B40" s="26" t="inlineStr">
        <is>
          <t>HX-MAT-BEI</t>
        </is>
      </c>
      <c r="C40" s="26" t="inlineStr">
        <is>
          <t>Hatchbox Matte PLA</t>
        </is>
      </c>
      <c r="D40" s="26" t="inlineStr">
        <is>
          <t>Beige</t>
        </is>
      </c>
      <c r="E40" s="78" t="inlineStr"/>
      <c r="F40" s="79" t="inlineStr">
        <is>
          <t>#E8D4B8</t>
        </is>
      </c>
      <c r="G40" s="29" t="inlineStr">
        <is>
          <t>1.75mm</t>
        </is>
      </c>
      <c r="H40" s="29" t="inlineStr">
        <is>
          <t>±0.03mm</t>
        </is>
      </c>
      <c r="I40" s="29" t="inlineStr">
        <is>
          <t>Plastic</t>
        </is>
      </c>
      <c r="J40" s="29" t="inlineStr">
        <is>
          <t>No</t>
        </is>
      </c>
      <c r="K40" s="29" t="inlineStr">
        <is>
          <t>190–220°C</t>
        </is>
      </c>
      <c r="L40" s="29" t="inlineStr">
        <is>
          <t>50–60°C</t>
        </is>
      </c>
      <c r="M40" s="29" t="inlineStr">
        <is>
          <t>45°C / 4h</t>
        </is>
      </c>
      <c r="N40" s="29" t="inlineStr">
        <is>
          <t>✓</t>
        </is>
      </c>
      <c r="O40" s="29" t="inlineStr">
        <is>
          <t>✓</t>
        </is>
      </c>
      <c r="P40" s="29" t="inlineStr">
        <is>
          <t>✓</t>
        </is>
      </c>
      <c r="Q40" s="29" t="inlineStr">
        <is>
          <t>✓</t>
        </is>
      </c>
      <c r="R40" s="29" t="inlineStr">
        <is>
          <t>C</t>
        </is>
      </c>
      <c r="S40" s="26" t="inlineStr">
        <is>
          <t>Line existence confirmed (hatchbox3d.com product listing); full color list not itemized in any source found</t>
        </is>
      </c>
      <c r="T40" s="26" t="inlineStr">
        <is>
          <t>Deep-dive follow-up 2026-07-19; NEW LINE — not previously in catalog</t>
        </is>
      </c>
    </row>
    <row r="41" ht="20" customHeight="1">
      <c r="A41" s="23" t="inlineStr">
        <is>
          <t>PLA Matte</t>
        </is>
      </c>
      <c r="B41" s="23" t="inlineStr">
        <is>
          <t>HX-MAT-BLA</t>
        </is>
      </c>
      <c r="C41" s="23" t="inlineStr">
        <is>
          <t>Hatchbox Matte PLA</t>
        </is>
      </c>
      <c r="D41" s="23" t="inlineStr">
        <is>
          <t>Black</t>
        </is>
      </c>
      <c r="E41" s="32" t="inlineStr"/>
      <c r="F41" s="33" t="inlineStr">
        <is>
          <t>#000000</t>
        </is>
      </c>
      <c r="G41" s="16" t="inlineStr">
        <is>
          <t>1.75mm</t>
        </is>
      </c>
      <c r="H41" s="16" t="inlineStr">
        <is>
          <t>±0.03mm</t>
        </is>
      </c>
      <c r="I41" s="16" t="inlineStr">
        <is>
          <t>Plastic</t>
        </is>
      </c>
      <c r="J41" s="16" t="inlineStr">
        <is>
          <t>No</t>
        </is>
      </c>
      <c r="K41" s="16" t="inlineStr">
        <is>
          <t>190–220°C</t>
        </is>
      </c>
      <c r="L41" s="16" t="inlineStr">
        <is>
          <t>50–60°C</t>
        </is>
      </c>
      <c r="M41" s="16" t="inlineStr">
        <is>
          <t>45°C / 4h</t>
        </is>
      </c>
      <c r="N41" s="16" t="inlineStr">
        <is>
          <t>✓</t>
        </is>
      </c>
      <c r="O41" s="16" t="inlineStr">
        <is>
          <t>✓</t>
        </is>
      </c>
      <c r="P41" s="16" t="inlineStr">
        <is>
          <t>✓</t>
        </is>
      </c>
      <c r="Q41" s="16" t="inlineStr">
        <is>
          <t>✓</t>
        </is>
      </c>
      <c r="R41" s="16" t="inlineStr">
        <is>
          <t>C</t>
        </is>
      </c>
      <c r="S41" s="23" t="inlineStr">
        <is>
          <t>Line existence confirmed (hatchbox3d.com product listing); full color list not itemized in any source found</t>
        </is>
      </c>
      <c r="T41" s="23" t="inlineStr">
        <is>
          <t>Deep-dive follow-up 2026-07-19; NEW LINE — not previously in catalog</t>
        </is>
      </c>
    </row>
    <row r="42" ht="20" customHeight="1">
      <c r="A42" s="26" t="inlineStr">
        <is>
          <t>PLA Matte</t>
        </is>
      </c>
      <c r="B42" s="26" t="inlineStr">
        <is>
          <t>HX-MAT-BLU</t>
        </is>
      </c>
      <c r="C42" s="26" t="inlineStr">
        <is>
          <t>Hatchbox Matte PLA</t>
        </is>
      </c>
      <c r="D42" s="26" t="inlineStr">
        <is>
          <t>Blue</t>
        </is>
      </c>
      <c r="E42" s="80" t="inlineStr"/>
      <c r="F42" s="81" t="inlineStr">
        <is>
          <t>#1F5FA8</t>
        </is>
      </c>
      <c r="G42" s="29" t="inlineStr">
        <is>
          <t>1.75mm</t>
        </is>
      </c>
      <c r="H42" s="29" t="inlineStr">
        <is>
          <t>±0.03mm</t>
        </is>
      </c>
      <c r="I42" s="29" t="inlineStr">
        <is>
          <t>Plastic</t>
        </is>
      </c>
      <c r="J42" s="29" t="inlineStr">
        <is>
          <t>No</t>
        </is>
      </c>
      <c r="K42" s="29" t="inlineStr">
        <is>
          <t>190–220°C</t>
        </is>
      </c>
      <c r="L42" s="29" t="inlineStr">
        <is>
          <t>50–60°C</t>
        </is>
      </c>
      <c r="M42" s="29" t="inlineStr">
        <is>
          <t>45°C / 4h</t>
        </is>
      </c>
      <c r="N42" s="29" t="inlineStr">
        <is>
          <t>✓</t>
        </is>
      </c>
      <c r="O42" s="29" t="inlineStr">
        <is>
          <t>✓</t>
        </is>
      </c>
      <c r="P42" s="29" t="inlineStr">
        <is>
          <t>✓</t>
        </is>
      </c>
      <c r="Q42" s="29" t="inlineStr">
        <is>
          <t>✓</t>
        </is>
      </c>
      <c r="R42" s="29" t="inlineStr">
        <is>
          <t>C</t>
        </is>
      </c>
      <c r="S42" s="26" t="inlineStr">
        <is>
          <t>Line existence confirmed (hatchbox3d.com product listing); full color list not itemized in any source found</t>
        </is>
      </c>
      <c r="T42" s="26" t="inlineStr">
        <is>
          <t>Deep-dive follow-up 2026-07-19; NEW LINE — not previously in catalog</t>
        </is>
      </c>
    </row>
    <row r="43" ht="20" customHeight="1">
      <c r="A43" s="23" t="inlineStr">
        <is>
          <t>PLA Matte</t>
        </is>
      </c>
      <c r="B43" s="23" t="inlineStr">
        <is>
          <t>HX-MAT-GRE</t>
        </is>
      </c>
      <c r="C43" s="23" t="inlineStr">
        <is>
          <t>Hatchbox Matte PLA</t>
        </is>
      </c>
      <c r="D43" s="23" t="inlineStr">
        <is>
          <t>Green</t>
        </is>
      </c>
      <c r="E43" s="82" t="inlineStr"/>
      <c r="F43" s="83" t="inlineStr">
        <is>
          <t>#1DAA27</t>
        </is>
      </c>
      <c r="G43" s="16" t="inlineStr">
        <is>
          <t>1.75mm</t>
        </is>
      </c>
      <c r="H43" s="16" t="inlineStr">
        <is>
          <t>±0.03mm</t>
        </is>
      </c>
      <c r="I43" s="16" t="inlineStr">
        <is>
          <t>Plastic</t>
        </is>
      </c>
      <c r="J43" s="16" t="inlineStr">
        <is>
          <t>No</t>
        </is>
      </c>
      <c r="K43" s="16" t="inlineStr">
        <is>
          <t>190–220°C</t>
        </is>
      </c>
      <c r="L43" s="16" t="inlineStr">
        <is>
          <t>50–60°C</t>
        </is>
      </c>
      <c r="M43" s="16" t="inlineStr">
        <is>
          <t>45°C / 4h</t>
        </is>
      </c>
      <c r="N43" s="16" t="inlineStr">
        <is>
          <t>✓</t>
        </is>
      </c>
      <c r="O43" s="16" t="inlineStr">
        <is>
          <t>✓</t>
        </is>
      </c>
      <c r="P43" s="16" t="inlineStr">
        <is>
          <t>✓</t>
        </is>
      </c>
      <c r="Q43" s="16" t="inlineStr">
        <is>
          <t>✓</t>
        </is>
      </c>
      <c r="R43" s="16" t="inlineStr">
        <is>
          <t>C</t>
        </is>
      </c>
      <c r="S43" s="23" t="inlineStr">
        <is>
          <t>Color confirmed to exist (hatchbox3d.com product tag listing); hex not independently confirmed</t>
        </is>
      </c>
      <c r="T43" s="23" t="inlineStr">
        <is>
          <t>Deep-dive follow-up 2026-07-19; Matte PLA expansion</t>
        </is>
      </c>
    </row>
    <row r="44" ht="20" customHeight="1">
      <c r="A44" s="26" t="inlineStr">
        <is>
          <t>PLA Matte</t>
        </is>
      </c>
      <c r="B44" s="26" t="inlineStr">
        <is>
          <t>HX-MAT-NAV</t>
        </is>
      </c>
      <c r="C44" s="26" t="inlineStr">
        <is>
          <t>Hatchbox Matte PLA</t>
        </is>
      </c>
      <c r="D44" s="26" t="inlineStr">
        <is>
          <t>Navy Blue</t>
        </is>
      </c>
      <c r="E44" s="84" t="inlineStr"/>
      <c r="F44" s="85" t="inlineStr">
        <is>
          <t>#1F3864</t>
        </is>
      </c>
      <c r="G44" s="29" t="inlineStr">
        <is>
          <t>1.75mm</t>
        </is>
      </c>
      <c r="H44" s="29" t="inlineStr">
        <is>
          <t>±0.03mm</t>
        </is>
      </c>
      <c r="I44" s="29" t="inlineStr">
        <is>
          <t>Plastic</t>
        </is>
      </c>
      <c r="J44" s="29" t="inlineStr">
        <is>
          <t>No</t>
        </is>
      </c>
      <c r="K44" s="29" t="inlineStr">
        <is>
          <t>190–220°C</t>
        </is>
      </c>
      <c r="L44" s="29" t="inlineStr">
        <is>
          <t>50–60°C</t>
        </is>
      </c>
      <c r="M44" s="29" t="inlineStr">
        <is>
          <t>45°C / 4h</t>
        </is>
      </c>
      <c r="N44" s="29" t="inlineStr">
        <is>
          <t>✓</t>
        </is>
      </c>
      <c r="O44" s="29" t="inlineStr">
        <is>
          <t>✓</t>
        </is>
      </c>
      <c r="P44" s="29" t="inlineStr">
        <is>
          <t>✓</t>
        </is>
      </c>
      <c r="Q44" s="29" t="inlineStr">
        <is>
          <t>✓</t>
        </is>
      </c>
      <c r="R44" s="29" t="inlineStr">
        <is>
          <t>C</t>
        </is>
      </c>
      <c r="S44" s="26" t="inlineStr">
        <is>
          <t>Color confirmed to exist (hatchbox3d.com product tag listing); hex not independently confirmed</t>
        </is>
      </c>
      <c r="T44" s="26" t="inlineStr">
        <is>
          <t>Deep-dive follow-up 2026-07-19; Matte PLA expansion</t>
        </is>
      </c>
    </row>
    <row r="45" ht="20" customHeight="1">
      <c r="A45" s="23" t="inlineStr">
        <is>
          <t>PLA Matte</t>
        </is>
      </c>
      <c r="B45" s="23" t="inlineStr">
        <is>
          <t>HX-MAT-ORA</t>
        </is>
      </c>
      <c r="C45" s="23" t="inlineStr">
        <is>
          <t>Hatchbox Matte PLA</t>
        </is>
      </c>
      <c r="D45" s="23" t="inlineStr">
        <is>
          <t>Orange</t>
        </is>
      </c>
      <c r="E45" s="86" t="inlineStr"/>
      <c r="F45" s="87" t="inlineStr">
        <is>
          <t>#EA7125</t>
        </is>
      </c>
      <c r="G45" s="16" t="inlineStr">
        <is>
          <t>1.75mm</t>
        </is>
      </c>
      <c r="H45" s="16" t="inlineStr">
        <is>
          <t>±0.03mm</t>
        </is>
      </c>
      <c r="I45" s="16" t="inlineStr">
        <is>
          <t>Plastic</t>
        </is>
      </c>
      <c r="J45" s="16" t="inlineStr">
        <is>
          <t>No</t>
        </is>
      </c>
      <c r="K45" s="16" t="inlineStr">
        <is>
          <t>190–220°C</t>
        </is>
      </c>
      <c r="L45" s="16" t="inlineStr">
        <is>
          <t>50–60°C</t>
        </is>
      </c>
      <c r="M45" s="16" t="inlineStr">
        <is>
          <t>45°C / 4h</t>
        </is>
      </c>
      <c r="N45" s="16" t="inlineStr">
        <is>
          <t>✓</t>
        </is>
      </c>
      <c r="O45" s="16" t="inlineStr">
        <is>
          <t>✓</t>
        </is>
      </c>
      <c r="P45" s="16" t="inlineStr">
        <is>
          <t>✓</t>
        </is>
      </c>
      <c r="Q45" s="16" t="inlineStr">
        <is>
          <t>✓</t>
        </is>
      </c>
      <c r="R45" s="16" t="inlineStr">
        <is>
          <t>C</t>
        </is>
      </c>
      <c r="S45" s="23" t="inlineStr">
        <is>
          <t>Color confirmed to exist (hatchbox3d.com product tag listing); hex not independently confirmed</t>
        </is>
      </c>
      <c r="T45" s="23" t="inlineStr">
        <is>
          <t>Deep-dive follow-up 2026-07-19; Matte PLA expansion</t>
        </is>
      </c>
    </row>
    <row r="46" ht="20" customHeight="1">
      <c r="A46" s="26" t="inlineStr">
        <is>
          <t>PLA Matte</t>
        </is>
      </c>
      <c r="B46" s="26" t="inlineStr">
        <is>
          <t>HX-MAT-RED</t>
        </is>
      </c>
      <c r="C46" s="26" t="inlineStr">
        <is>
          <t>Hatchbox Matte PLA</t>
        </is>
      </c>
      <c r="D46" s="26" t="inlineStr">
        <is>
          <t>Red</t>
        </is>
      </c>
      <c r="E46" s="88" t="inlineStr"/>
      <c r="F46" s="89" t="inlineStr">
        <is>
          <t>#C81E2C</t>
        </is>
      </c>
      <c r="G46" s="29" t="inlineStr">
        <is>
          <t>1.75mm</t>
        </is>
      </c>
      <c r="H46" s="29" t="inlineStr">
        <is>
          <t>±0.03mm</t>
        </is>
      </c>
      <c r="I46" s="29" t="inlineStr">
        <is>
          <t>Plastic</t>
        </is>
      </c>
      <c r="J46" s="29" t="inlineStr">
        <is>
          <t>No</t>
        </is>
      </c>
      <c r="K46" s="29" t="inlineStr">
        <is>
          <t>190–220°C</t>
        </is>
      </c>
      <c r="L46" s="29" t="inlineStr">
        <is>
          <t>50–60°C</t>
        </is>
      </c>
      <c r="M46" s="29" t="inlineStr">
        <is>
          <t>45°C / 4h</t>
        </is>
      </c>
      <c r="N46" s="29" t="inlineStr">
        <is>
          <t>✓</t>
        </is>
      </c>
      <c r="O46" s="29" t="inlineStr">
        <is>
          <t>✓</t>
        </is>
      </c>
      <c r="P46" s="29" t="inlineStr">
        <is>
          <t>✓</t>
        </is>
      </c>
      <c r="Q46" s="29" t="inlineStr">
        <is>
          <t>✓</t>
        </is>
      </c>
      <c r="R46" s="29" t="inlineStr">
        <is>
          <t>C</t>
        </is>
      </c>
      <c r="S46" s="26" t="inlineStr">
        <is>
          <t>Color confirmed to exist (hatchbox3d.com product tag listing); hex not independently confirmed</t>
        </is>
      </c>
      <c r="T46" s="26" t="inlineStr">
        <is>
          <t>Deep-dive follow-up 2026-07-19; Matte PLA expansion</t>
        </is>
      </c>
    </row>
    <row r="47" ht="20" customHeight="1">
      <c r="A47" s="23" t="inlineStr">
        <is>
          <t>PLA Matte</t>
        </is>
      </c>
      <c r="B47" s="23" t="inlineStr">
        <is>
          <t>HX-MAT-SIL</t>
        </is>
      </c>
      <c r="C47" s="23" t="inlineStr">
        <is>
          <t>Hatchbox Matte PLA</t>
        </is>
      </c>
      <c r="D47" s="23" t="inlineStr">
        <is>
          <t>Silver</t>
        </is>
      </c>
      <c r="E47" s="90" t="inlineStr"/>
      <c r="F47" s="91" t="inlineStr">
        <is>
          <t>#B8BAB8</t>
        </is>
      </c>
      <c r="G47" s="16" t="inlineStr">
        <is>
          <t>1.75mm</t>
        </is>
      </c>
      <c r="H47" s="16" t="inlineStr">
        <is>
          <t>±0.03mm</t>
        </is>
      </c>
      <c r="I47" s="16" t="inlineStr">
        <is>
          <t>Plastic</t>
        </is>
      </c>
      <c r="J47" s="16" t="inlineStr">
        <is>
          <t>No</t>
        </is>
      </c>
      <c r="K47" s="16" t="inlineStr">
        <is>
          <t>190–220°C</t>
        </is>
      </c>
      <c r="L47" s="16" t="inlineStr">
        <is>
          <t>50–60°C</t>
        </is>
      </c>
      <c r="M47" s="16" t="inlineStr">
        <is>
          <t>45°C / 4h</t>
        </is>
      </c>
      <c r="N47" s="16" t="inlineStr">
        <is>
          <t>✓</t>
        </is>
      </c>
      <c r="O47" s="16" t="inlineStr">
        <is>
          <t>✓</t>
        </is>
      </c>
      <c r="P47" s="16" t="inlineStr">
        <is>
          <t>✓</t>
        </is>
      </c>
      <c r="Q47" s="16" t="inlineStr">
        <is>
          <t>✓</t>
        </is>
      </c>
      <c r="R47" s="16" t="inlineStr">
        <is>
          <t>C</t>
        </is>
      </c>
      <c r="S47" s="23" t="inlineStr">
        <is>
          <t>Color confirmed to exist (hatchbox3d.com product tag listing); hex not independently confirmed</t>
        </is>
      </c>
      <c r="T47" s="23" t="inlineStr">
        <is>
          <t>Deep-dive follow-up 2026-07-19; Matte PLA expansion</t>
        </is>
      </c>
    </row>
    <row r="48" ht="20" customHeight="1">
      <c r="A48" s="26" t="inlineStr">
        <is>
          <t>PLA Matte</t>
        </is>
      </c>
      <c r="B48" s="26" t="inlineStr">
        <is>
          <t>HX-MAT-WHI</t>
        </is>
      </c>
      <c r="C48" s="26" t="inlineStr">
        <is>
          <t>Hatchbox Matte PLA</t>
        </is>
      </c>
      <c r="D48" s="26" t="inlineStr">
        <is>
          <t>White</t>
        </is>
      </c>
      <c r="E48" s="16" t="inlineStr"/>
      <c r="F48" s="92" t="inlineStr">
        <is>
          <t>#FFFFFF</t>
        </is>
      </c>
      <c r="G48" s="29" t="inlineStr">
        <is>
          <t>1.75mm</t>
        </is>
      </c>
      <c r="H48" s="29" t="inlineStr">
        <is>
          <t>±0.03mm</t>
        </is>
      </c>
      <c r="I48" s="29" t="inlineStr">
        <is>
          <t>Plastic</t>
        </is>
      </c>
      <c r="J48" s="29" t="inlineStr">
        <is>
          <t>No</t>
        </is>
      </c>
      <c r="K48" s="29" t="inlineStr">
        <is>
          <t>190–220°C</t>
        </is>
      </c>
      <c r="L48" s="29" t="inlineStr">
        <is>
          <t>50–60°C</t>
        </is>
      </c>
      <c r="M48" s="29" t="inlineStr">
        <is>
          <t>45°C / 4h</t>
        </is>
      </c>
      <c r="N48" s="29" t="inlineStr">
        <is>
          <t>✓</t>
        </is>
      </c>
      <c r="O48" s="29" t="inlineStr">
        <is>
          <t>✓</t>
        </is>
      </c>
      <c r="P48" s="29" t="inlineStr">
        <is>
          <t>✓</t>
        </is>
      </c>
      <c r="Q48" s="29" t="inlineStr">
        <is>
          <t>✓</t>
        </is>
      </c>
      <c r="R48" s="29" t="inlineStr">
        <is>
          <t>C</t>
        </is>
      </c>
      <c r="S48" s="26" t="inlineStr">
        <is>
          <t>Line existence confirmed (hatchbox3d.com product listing); full color list not itemized in any source found</t>
        </is>
      </c>
      <c r="T48" s="26" t="inlineStr">
        <is>
          <t>Deep-dive follow-up 2026-07-19; NEW LINE — not previously in catalog</t>
        </is>
      </c>
    </row>
    <row r="49" ht="20" customHeight="1">
      <c r="A49" s="23" t="inlineStr">
        <is>
          <t>PLA Matte</t>
        </is>
      </c>
      <c r="B49" s="23" t="inlineStr">
        <is>
          <t>HX-MAT-YEL</t>
        </is>
      </c>
      <c r="C49" s="23" t="inlineStr">
        <is>
          <t>Hatchbox Matte PLA</t>
        </is>
      </c>
      <c r="D49" s="23" t="inlineStr">
        <is>
          <t>Yellow</t>
        </is>
      </c>
      <c r="E49" s="93" t="inlineStr"/>
      <c r="F49" s="94" t="inlineStr">
        <is>
          <t>#F4C61F</t>
        </is>
      </c>
      <c r="G49" s="16" t="inlineStr">
        <is>
          <t>1.75mm</t>
        </is>
      </c>
      <c r="H49" s="16" t="inlineStr">
        <is>
          <t>±0.03mm</t>
        </is>
      </c>
      <c r="I49" s="16" t="inlineStr">
        <is>
          <t>Plastic</t>
        </is>
      </c>
      <c r="J49" s="16" t="inlineStr">
        <is>
          <t>No</t>
        </is>
      </c>
      <c r="K49" s="16" t="inlineStr">
        <is>
          <t>190–220°C</t>
        </is>
      </c>
      <c r="L49" s="16" t="inlineStr">
        <is>
          <t>50–60°C</t>
        </is>
      </c>
      <c r="M49" s="16" t="inlineStr">
        <is>
          <t>45°C / 4h</t>
        </is>
      </c>
      <c r="N49" s="16" t="inlineStr">
        <is>
          <t>✓</t>
        </is>
      </c>
      <c r="O49" s="16" t="inlineStr">
        <is>
          <t>✓</t>
        </is>
      </c>
      <c r="P49" s="16" t="inlineStr">
        <is>
          <t>✓</t>
        </is>
      </c>
      <c r="Q49" s="16" t="inlineStr">
        <is>
          <t>✓</t>
        </is>
      </c>
      <c r="R49" s="16" t="inlineStr">
        <is>
          <t>C</t>
        </is>
      </c>
      <c r="S49" s="23" t="inlineStr">
        <is>
          <t>Color confirmed to exist (hatchbox3d.com product tag listing); hex not independently confirmed</t>
        </is>
      </c>
      <c r="T49" s="23" t="inlineStr">
        <is>
          <t>Deep-dive follow-up 2026-07-19; Matte PLA expansion</t>
        </is>
      </c>
    </row>
    <row r="50" ht="20" customHeight="1">
      <c r="A50" s="26" t="inlineStr">
        <is>
          <t>PLA+</t>
        </is>
      </c>
      <c r="B50" s="26" t="inlineStr">
        <is>
          <t>HX-PLAP175-BK</t>
        </is>
      </c>
      <c r="C50" s="26" t="inlineStr">
        <is>
          <t>Hatchbox PLA+</t>
        </is>
      </c>
      <c r="D50" s="26" t="inlineStr">
        <is>
          <t>Black</t>
        </is>
      </c>
      <c r="E50" s="24" t="inlineStr"/>
      <c r="F50" s="25" t="inlineStr">
        <is>
          <t>#111111</t>
        </is>
      </c>
      <c r="G50" s="29" t="inlineStr">
        <is>
          <t>1.75mm</t>
        </is>
      </c>
      <c r="H50" s="29" t="inlineStr">
        <is>
          <t>±0.03mm</t>
        </is>
      </c>
      <c r="I50" s="29" t="inlineStr">
        <is>
          <t>Cardboard</t>
        </is>
      </c>
      <c r="J50" s="29" t="inlineStr">
        <is>
          <t>Yes</t>
        </is>
      </c>
      <c r="K50" s="29" t="inlineStr">
        <is>
          <t>185–225°C</t>
        </is>
      </c>
      <c r="L50" s="29" t="inlineStr">
        <is>
          <t>50–60°C</t>
        </is>
      </c>
      <c r="M50" s="29" t="inlineStr">
        <is>
          <t>45°C / 4h</t>
        </is>
      </c>
      <c r="N50" s="29" t="inlineStr">
        <is>
          <t>⚠</t>
        </is>
      </c>
      <c r="O50" s="29" t="inlineStr">
        <is>
          <t>⚠</t>
        </is>
      </c>
      <c r="P50" s="29" t="inlineStr">
        <is>
          <t>⚠</t>
        </is>
      </c>
      <c r="Q50" s="29" t="inlineStr">
        <is>
          <t>⚠</t>
        </is>
      </c>
      <c r="R50" s="29" t="inlineStr">
        <is>
          <t>B</t>
        </is>
      </c>
      <c r="S50" s="26" t="inlineStr">
        <is>
          <t>Toughened PLA+; cardboard spool requires AMS Adapter Ring</t>
        </is>
      </c>
      <c r="T50" s="26" t="inlineStr">
        <is>
          <t>Cardboard spool — AMS Adapter Ring required</t>
        </is>
      </c>
    </row>
    <row r="51" ht="20" customHeight="1">
      <c r="A51" s="23" t="inlineStr">
        <is>
          <t>PLA+</t>
        </is>
      </c>
      <c r="B51" s="23" t="inlineStr">
        <is>
          <t>HX-PLAP175-BL</t>
        </is>
      </c>
      <c r="C51" s="23" t="inlineStr">
        <is>
          <t>Hatchbox PLA+</t>
        </is>
      </c>
      <c r="D51" s="23" t="inlineStr">
        <is>
          <t>Blue</t>
        </is>
      </c>
      <c r="E51" s="36" t="inlineStr"/>
      <c r="F51" s="37" t="inlineStr">
        <is>
          <t>#0057A8</t>
        </is>
      </c>
      <c r="G51" s="16" t="inlineStr">
        <is>
          <t>1.75mm</t>
        </is>
      </c>
      <c r="H51" s="16" t="inlineStr">
        <is>
          <t>±0.03mm</t>
        </is>
      </c>
      <c r="I51" s="16" t="inlineStr">
        <is>
          <t>Cardboard</t>
        </is>
      </c>
      <c r="J51" s="16" t="inlineStr">
        <is>
          <t>Yes</t>
        </is>
      </c>
      <c r="K51" s="16" t="inlineStr">
        <is>
          <t>185–225°C</t>
        </is>
      </c>
      <c r="L51" s="16" t="inlineStr">
        <is>
          <t>50–60°C</t>
        </is>
      </c>
      <c r="M51" s="16" t="inlineStr">
        <is>
          <t>45°C / 4h</t>
        </is>
      </c>
      <c r="N51" s="16" t="inlineStr">
        <is>
          <t>⚠</t>
        </is>
      </c>
      <c r="O51" s="16" t="inlineStr">
        <is>
          <t>⚠</t>
        </is>
      </c>
      <c r="P51" s="16" t="inlineStr">
        <is>
          <t>⚠</t>
        </is>
      </c>
      <c r="Q51" s="16" t="inlineStr">
        <is>
          <t>⚠</t>
        </is>
      </c>
      <c r="R51" s="16" t="inlineStr">
        <is>
          <t>B</t>
        </is>
      </c>
      <c r="S51" s="23" t="inlineStr">
        <is>
          <t>Toughened PLA+; cardboard spool requires AMS Adapter Ring</t>
        </is>
      </c>
      <c r="T51" s="23" t="inlineStr">
        <is>
          <t>Cardboard spool — AMS Adapter Ring required</t>
        </is>
      </c>
    </row>
    <row r="52" ht="20" customHeight="1">
      <c r="A52" s="26" t="inlineStr">
        <is>
          <t>PLA+</t>
        </is>
      </c>
      <c r="B52" s="26" t="inlineStr">
        <is>
          <t>HX-PLAP175-GY</t>
        </is>
      </c>
      <c r="C52" s="26" t="inlineStr">
        <is>
          <t>Hatchbox PLA+</t>
        </is>
      </c>
      <c r="D52" s="26" t="inlineStr">
        <is>
          <t>Gray</t>
        </is>
      </c>
      <c r="E52" s="27" t="inlineStr"/>
      <c r="F52" s="28" t="inlineStr">
        <is>
          <t>#808080</t>
        </is>
      </c>
      <c r="G52" s="29" t="inlineStr">
        <is>
          <t>1.75mm</t>
        </is>
      </c>
      <c r="H52" s="29" t="inlineStr">
        <is>
          <t>±0.03mm</t>
        </is>
      </c>
      <c r="I52" s="29" t="inlineStr">
        <is>
          <t>Cardboard</t>
        </is>
      </c>
      <c r="J52" s="29" t="inlineStr">
        <is>
          <t>Yes</t>
        </is>
      </c>
      <c r="K52" s="29" t="inlineStr">
        <is>
          <t>185–225°C</t>
        </is>
      </c>
      <c r="L52" s="29" t="inlineStr">
        <is>
          <t>50–60°C</t>
        </is>
      </c>
      <c r="M52" s="29" t="inlineStr">
        <is>
          <t>45°C / 4h</t>
        </is>
      </c>
      <c r="N52" s="29" t="inlineStr">
        <is>
          <t>⚠</t>
        </is>
      </c>
      <c r="O52" s="29" t="inlineStr">
        <is>
          <t>⚠</t>
        </is>
      </c>
      <c r="P52" s="29" t="inlineStr">
        <is>
          <t>⚠</t>
        </is>
      </c>
      <c r="Q52" s="29" t="inlineStr">
        <is>
          <t>⚠</t>
        </is>
      </c>
      <c r="R52" s="29" t="inlineStr">
        <is>
          <t>B</t>
        </is>
      </c>
      <c r="S52" s="26" t="inlineStr">
        <is>
          <t>Toughened PLA+; cardboard spool requires AMS Adapter Ring</t>
        </is>
      </c>
      <c r="T52" s="26" t="inlineStr">
        <is>
          <t>Cardboard spool — AMS Adapter Ring required</t>
        </is>
      </c>
    </row>
    <row r="53" ht="20" customHeight="1">
      <c r="A53" s="23" t="inlineStr">
        <is>
          <t>PLA+</t>
        </is>
      </c>
      <c r="B53" s="23" t="inlineStr">
        <is>
          <t>HX-PLAP175-GN</t>
        </is>
      </c>
      <c r="C53" s="23" t="inlineStr">
        <is>
          <t>Hatchbox PLA+</t>
        </is>
      </c>
      <c r="D53" s="23" t="inlineStr">
        <is>
          <t>Green</t>
        </is>
      </c>
      <c r="E53" s="52" t="inlineStr"/>
      <c r="F53" s="53" t="inlineStr">
        <is>
          <t>#2E8B57</t>
        </is>
      </c>
      <c r="G53" s="16" t="inlineStr">
        <is>
          <t>1.75mm</t>
        </is>
      </c>
      <c r="H53" s="16" t="inlineStr">
        <is>
          <t>±0.03mm</t>
        </is>
      </c>
      <c r="I53" s="16" t="inlineStr">
        <is>
          <t>Cardboard</t>
        </is>
      </c>
      <c r="J53" s="16" t="inlineStr">
        <is>
          <t>Yes</t>
        </is>
      </c>
      <c r="K53" s="16" t="inlineStr">
        <is>
          <t>185–225°C</t>
        </is>
      </c>
      <c r="L53" s="16" t="inlineStr">
        <is>
          <t>50–60°C</t>
        </is>
      </c>
      <c r="M53" s="16" t="inlineStr">
        <is>
          <t>45°C / 4h</t>
        </is>
      </c>
      <c r="N53" s="16" t="inlineStr">
        <is>
          <t>⚠</t>
        </is>
      </c>
      <c r="O53" s="16" t="inlineStr">
        <is>
          <t>⚠</t>
        </is>
      </c>
      <c r="P53" s="16" t="inlineStr">
        <is>
          <t>⚠</t>
        </is>
      </c>
      <c r="Q53" s="16" t="inlineStr">
        <is>
          <t>⚠</t>
        </is>
      </c>
      <c r="R53" s="16" t="inlineStr">
        <is>
          <t>B</t>
        </is>
      </c>
      <c r="S53" s="23" t="inlineStr">
        <is>
          <t>Toughened PLA+; cardboard spool requires AMS Adapter Ring</t>
        </is>
      </c>
      <c r="T53" s="23" t="inlineStr">
        <is>
          <t>Cardboard spool — AMS Adapter Ring required</t>
        </is>
      </c>
    </row>
    <row r="54" ht="20" customHeight="1">
      <c r="A54" s="26" t="inlineStr">
        <is>
          <t>PLA+</t>
        </is>
      </c>
      <c r="B54" s="26" t="inlineStr">
        <is>
          <t>HX-PLAP175-RD</t>
        </is>
      </c>
      <c r="C54" s="26" t="inlineStr">
        <is>
          <t>Hatchbox PLA+</t>
        </is>
      </c>
      <c r="D54" s="26" t="inlineStr">
        <is>
          <t>Red</t>
        </is>
      </c>
      <c r="E54" s="38" t="inlineStr"/>
      <c r="F54" s="39" t="inlineStr">
        <is>
          <t>#CC0000</t>
        </is>
      </c>
      <c r="G54" s="29" t="inlineStr">
        <is>
          <t>1.75mm</t>
        </is>
      </c>
      <c r="H54" s="29" t="inlineStr">
        <is>
          <t>±0.03mm</t>
        </is>
      </c>
      <c r="I54" s="29" t="inlineStr">
        <is>
          <t>Cardboard</t>
        </is>
      </c>
      <c r="J54" s="29" t="inlineStr">
        <is>
          <t>Yes</t>
        </is>
      </c>
      <c r="K54" s="29" t="inlineStr">
        <is>
          <t>185–225°C</t>
        </is>
      </c>
      <c r="L54" s="29" t="inlineStr">
        <is>
          <t>50–60°C</t>
        </is>
      </c>
      <c r="M54" s="29" t="inlineStr">
        <is>
          <t>45°C / 4h</t>
        </is>
      </c>
      <c r="N54" s="29" t="inlineStr">
        <is>
          <t>⚠</t>
        </is>
      </c>
      <c r="O54" s="29" t="inlineStr">
        <is>
          <t>⚠</t>
        </is>
      </c>
      <c r="P54" s="29" t="inlineStr">
        <is>
          <t>⚠</t>
        </is>
      </c>
      <c r="Q54" s="29" t="inlineStr">
        <is>
          <t>⚠</t>
        </is>
      </c>
      <c r="R54" s="29" t="inlineStr">
        <is>
          <t>B</t>
        </is>
      </c>
      <c r="S54" s="26" t="inlineStr">
        <is>
          <t>Toughened PLA+; cardboard spool requires AMS Adapter Ring</t>
        </is>
      </c>
      <c r="T54" s="26" t="inlineStr">
        <is>
          <t>Cardboard spool — AMS Adapter Ring required</t>
        </is>
      </c>
    </row>
    <row r="55" ht="20" customHeight="1">
      <c r="A55" s="23" t="inlineStr">
        <is>
          <t>PLA+</t>
        </is>
      </c>
      <c r="B55" s="23" t="inlineStr">
        <is>
          <t>HX-PLAP175-WH</t>
        </is>
      </c>
      <c r="C55" s="23" t="inlineStr">
        <is>
          <t>Hatchbox PLA+</t>
        </is>
      </c>
      <c r="D55" s="23" t="inlineStr">
        <is>
          <t>White</t>
        </is>
      </c>
      <c r="E55" s="30" t="inlineStr"/>
      <c r="F55" s="31" t="inlineStr">
        <is>
          <t>#F5F5F5</t>
        </is>
      </c>
      <c r="G55" s="16" t="inlineStr">
        <is>
          <t>1.75mm</t>
        </is>
      </c>
      <c r="H55" s="16" t="inlineStr">
        <is>
          <t>±0.03mm</t>
        </is>
      </c>
      <c r="I55" s="16" t="inlineStr">
        <is>
          <t>Cardboard</t>
        </is>
      </c>
      <c r="J55" s="16" t="inlineStr">
        <is>
          <t>Yes</t>
        </is>
      </c>
      <c r="K55" s="16" t="inlineStr">
        <is>
          <t>185–225°C</t>
        </is>
      </c>
      <c r="L55" s="16" t="inlineStr">
        <is>
          <t>50–60°C</t>
        </is>
      </c>
      <c r="M55" s="16" t="inlineStr">
        <is>
          <t>45°C / 4h</t>
        </is>
      </c>
      <c r="N55" s="16" t="inlineStr">
        <is>
          <t>⚠</t>
        </is>
      </c>
      <c r="O55" s="16" t="inlineStr">
        <is>
          <t>⚠</t>
        </is>
      </c>
      <c r="P55" s="16" t="inlineStr">
        <is>
          <t>⚠</t>
        </is>
      </c>
      <c r="Q55" s="16" t="inlineStr">
        <is>
          <t>⚠</t>
        </is>
      </c>
      <c r="R55" s="16" t="inlineStr">
        <is>
          <t>B</t>
        </is>
      </c>
      <c r="S55" s="23" t="inlineStr">
        <is>
          <t>Toughened PLA+; cardboard spool requires AMS Adapter Ring</t>
        </is>
      </c>
      <c r="T55" s="23" t="inlineStr">
        <is>
          <t>Cardboard spool — AMS Adapter Ring required</t>
        </is>
      </c>
    </row>
    <row r="56" ht="20" customHeight="1">
      <c r="A56" s="26" t="inlineStr">
        <is>
          <t>TPU</t>
        </is>
      </c>
      <c r="B56" s="26" t="inlineStr">
        <is>
          <t>HX-TPU-BAB</t>
        </is>
      </c>
      <c r="C56" s="26" t="inlineStr">
        <is>
          <t>Hatchbox TPU 95A</t>
        </is>
      </c>
      <c r="D56" s="26" t="inlineStr">
        <is>
          <t>Baby Blue</t>
        </is>
      </c>
      <c r="E56" s="95" t="inlineStr"/>
      <c r="F56" s="55" t="inlineStr">
        <is>
          <t>#AED6E8</t>
        </is>
      </c>
      <c r="G56" s="29" t="inlineStr">
        <is>
          <t>1.75mm</t>
        </is>
      </c>
      <c r="H56" s="29" t="inlineStr">
        <is>
          <t>±0.03mm</t>
        </is>
      </c>
      <c r="I56" s="29" t="inlineStr">
        <is>
          <t>Plastic</t>
        </is>
      </c>
      <c r="J56" s="29" t="inlineStr">
        <is>
          <t>No</t>
        </is>
      </c>
      <c r="K56" s="29" t="inlineStr">
        <is>
          <t>220–235°C</t>
        </is>
      </c>
      <c r="L56" s="29" t="inlineStr">
        <is>
          <t>25–50°C</t>
        </is>
      </c>
      <c r="M56" s="29" t="inlineStr">
        <is>
          <t>50°C / 8h</t>
        </is>
      </c>
      <c r="N56" s="29" t="inlineStr">
        <is>
          <t>✗</t>
        </is>
      </c>
      <c r="O56" s="29" t="inlineStr">
        <is>
          <t>✗</t>
        </is>
      </c>
      <c r="P56" s="29" t="inlineStr">
        <is>
          <t>✗</t>
        </is>
      </c>
      <c r="Q56" s="29" t="inlineStr">
        <is>
          <t>✗</t>
        </is>
      </c>
      <c r="R56" s="29" t="inlineStr">
        <is>
          <t>B</t>
        </is>
      </c>
      <c r="S56" s="26" t="inlineStr">
        <is>
          <t>Line existence confirmed (hatchbox3d.com/collections/all-filaments/tpu); TPU is external-spool-only on all Bambu AMS variants</t>
        </is>
      </c>
      <c r="T56" s="26" t="inlineStr">
        <is>
          <t>Deep-dive follow-up 2026-07-19; NEW LINE — not previously in catalog</t>
        </is>
      </c>
    </row>
    <row r="57" ht="20" customHeight="1">
      <c r="A57" s="23" t="inlineStr">
        <is>
          <t>TPU</t>
        </is>
      </c>
      <c r="B57" s="23" t="inlineStr">
        <is>
          <t>HX-TPU-BEI</t>
        </is>
      </c>
      <c r="C57" s="23" t="inlineStr">
        <is>
          <t>Hatchbox TPU 95A</t>
        </is>
      </c>
      <c r="D57" s="23" t="inlineStr">
        <is>
          <t>Beige</t>
        </is>
      </c>
      <c r="E57" s="78" t="inlineStr"/>
      <c r="F57" s="79" t="inlineStr">
        <is>
          <t>#E8D4B8</t>
        </is>
      </c>
      <c r="G57" s="16" t="inlineStr">
        <is>
          <t>1.75mm</t>
        </is>
      </c>
      <c r="H57" s="16" t="inlineStr">
        <is>
          <t>±0.03mm</t>
        </is>
      </c>
      <c r="I57" s="16" t="inlineStr">
        <is>
          <t>Plastic</t>
        </is>
      </c>
      <c r="J57" s="16" t="inlineStr">
        <is>
          <t>No</t>
        </is>
      </c>
      <c r="K57" s="16" t="inlineStr">
        <is>
          <t>220–235°C</t>
        </is>
      </c>
      <c r="L57" s="16" t="inlineStr">
        <is>
          <t>25–50°C</t>
        </is>
      </c>
      <c r="M57" s="16" t="inlineStr">
        <is>
          <t>50°C / 8h</t>
        </is>
      </c>
      <c r="N57" s="16" t="inlineStr">
        <is>
          <t>✗</t>
        </is>
      </c>
      <c r="O57" s="16" t="inlineStr">
        <is>
          <t>✗</t>
        </is>
      </c>
      <c r="P57" s="16" t="inlineStr">
        <is>
          <t>✗</t>
        </is>
      </c>
      <c r="Q57" s="16" t="inlineStr">
        <is>
          <t>✗</t>
        </is>
      </c>
      <c r="R57" s="16" t="inlineStr">
        <is>
          <t>B</t>
        </is>
      </c>
      <c r="S57" s="23" t="inlineStr">
        <is>
          <t>Line existence confirmed (hatchbox3d.com/collections/all-filaments/tpu); TPU is external-spool-only on all Bambu AMS variants</t>
        </is>
      </c>
      <c r="T57" s="23" t="inlineStr">
        <is>
          <t>Deep-dive follow-up 2026-07-19; NEW LINE — not previously in catalog</t>
        </is>
      </c>
    </row>
    <row r="58" ht="20" customHeight="1">
      <c r="A58" s="26" t="inlineStr">
        <is>
          <t>TPU</t>
        </is>
      </c>
      <c r="B58" s="26" t="inlineStr">
        <is>
          <t>HX-TPU-BLA</t>
        </is>
      </c>
      <c r="C58" s="26" t="inlineStr">
        <is>
          <t>Hatchbox TPU 95A</t>
        </is>
      </c>
      <c r="D58" s="26" t="inlineStr">
        <is>
          <t>Black</t>
        </is>
      </c>
      <c r="E58" s="32" t="inlineStr"/>
      <c r="F58" s="33" t="inlineStr">
        <is>
          <t>#000000</t>
        </is>
      </c>
      <c r="G58" s="29" t="inlineStr">
        <is>
          <t>1.75mm</t>
        </is>
      </c>
      <c r="H58" s="29" t="inlineStr">
        <is>
          <t>±0.03mm</t>
        </is>
      </c>
      <c r="I58" s="29" t="inlineStr">
        <is>
          <t>Plastic</t>
        </is>
      </c>
      <c r="J58" s="29" t="inlineStr">
        <is>
          <t>No</t>
        </is>
      </c>
      <c r="K58" s="29" t="inlineStr">
        <is>
          <t>220–235°C</t>
        </is>
      </c>
      <c r="L58" s="29" t="inlineStr">
        <is>
          <t>25–50°C</t>
        </is>
      </c>
      <c r="M58" s="29" t="inlineStr">
        <is>
          <t>50°C / 8h</t>
        </is>
      </c>
      <c r="N58" s="29" t="inlineStr">
        <is>
          <t>✗</t>
        </is>
      </c>
      <c r="O58" s="29" t="inlineStr">
        <is>
          <t>✗</t>
        </is>
      </c>
      <c r="P58" s="29" t="inlineStr">
        <is>
          <t>✗</t>
        </is>
      </c>
      <c r="Q58" s="29" t="inlineStr">
        <is>
          <t>✗</t>
        </is>
      </c>
      <c r="R58" s="29" t="inlineStr">
        <is>
          <t>B</t>
        </is>
      </c>
      <c r="S58" s="26" t="inlineStr">
        <is>
          <t>Line existence confirmed (hatchbox3d.com/collections/all-filaments/tpu); TPU is external-spool-only on all Bambu AMS variants</t>
        </is>
      </c>
      <c r="T58" s="26" t="inlineStr">
        <is>
          <t>Deep-dive follow-up 2026-07-19; NEW LINE — not previously in catalog</t>
        </is>
      </c>
    </row>
    <row r="59" ht="20" customHeight="1">
      <c r="A59" s="23" t="inlineStr">
        <is>
          <t>TPU</t>
        </is>
      </c>
      <c r="B59" s="23" t="inlineStr">
        <is>
          <t>HX-TPU-BLU</t>
        </is>
      </c>
      <c r="C59" s="23" t="inlineStr">
        <is>
          <t>Hatchbox TPU 95A</t>
        </is>
      </c>
      <c r="D59" s="23" t="inlineStr">
        <is>
          <t>Blue</t>
        </is>
      </c>
      <c r="E59" s="80" t="inlineStr"/>
      <c r="F59" s="81" t="inlineStr">
        <is>
          <t>#1F5FA8</t>
        </is>
      </c>
      <c r="G59" s="16" t="inlineStr">
        <is>
          <t>1.75mm</t>
        </is>
      </c>
      <c r="H59" s="16" t="inlineStr">
        <is>
          <t>±0.03mm</t>
        </is>
      </c>
      <c r="I59" s="16" t="inlineStr">
        <is>
          <t>Plastic</t>
        </is>
      </c>
      <c r="J59" s="16" t="inlineStr">
        <is>
          <t>No</t>
        </is>
      </c>
      <c r="K59" s="16" t="inlineStr">
        <is>
          <t>220–235°C</t>
        </is>
      </c>
      <c r="L59" s="16" t="inlineStr">
        <is>
          <t>25–50°C</t>
        </is>
      </c>
      <c r="M59" s="16" t="inlineStr">
        <is>
          <t>50°C / 8h</t>
        </is>
      </c>
      <c r="N59" s="16" t="inlineStr">
        <is>
          <t>✗</t>
        </is>
      </c>
      <c r="O59" s="16" t="inlineStr">
        <is>
          <t>✗</t>
        </is>
      </c>
      <c r="P59" s="16" t="inlineStr">
        <is>
          <t>✗</t>
        </is>
      </c>
      <c r="Q59" s="16" t="inlineStr">
        <is>
          <t>✗</t>
        </is>
      </c>
      <c r="R59" s="16" t="inlineStr">
        <is>
          <t>B</t>
        </is>
      </c>
      <c r="S59" s="23" t="inlineStr">
        <is>
          <t>Line existence confirmed (hatchbox3d.com/collections/all-filaments/tpu); TPU is external-spool-only on all Bambu AMS variants</t>
        </is>
      </c>
      <c r="T59" s="23" t="inlineStr">
        <is>
          <t>Deep-dive follow-up 2026-07-19; NEW LINE — not previously in catalog</t>
        </is>
      </c>
    </row>
    <row r="60" ht="20" customHeight="1">
      <c r="A60" s="26" t="inlineStr">
        <is>
          <t>TPU</t>
        </is>
      </c>
      <c r="B60" s="26" t="inlineStr">
        <is>
          <t>HX-TPU-WHI</t>
        </is>
      </c>
      <c r="C60" s="26" t="inlineStr">
        <is>
          <t>Hatchbox TPU 95A</t>
        </is>
      </c>
      <c r="D60" s="26" t="inlineStr">
        <is>
          <t>White</t>
        </is>
      </c>
      <c r="E60" s="16" t="inlineStr"/>
      <c r="F60" s="92" t="inlineStr">
        <is>
          <t>#FFFFFF</t>
        </is>
      </c>
      <c r="G60" s="29" t="inlineStr">
        <is>
          <t>1.75mm</t>
        </is>
      </c>
      <c r="H60" s="29" t="inlineStr">
        <is>
          <t>±0.03mm</t>
        </is>
      </c>
      <c r="I60" s="29" t="inlineStr">
        <is>
          <t>Plastic</t>
        </is>
      </c>
      <c r="J60" s="29" t="inlineStr">
        <is>
          <t>No</t>
        </is>
      </c>
      <c r="K60" s="29" t="inlineStr">
        <is>
          <t>220–235°C</t>
        </is>
      </c>
      <c r="L60" s="29" t="inlineStr">
        <is>
          <t>25–50°C</t>
        </is>
      </c>
      <c r="M60" s="29" t="inlineStr">
        <is>
          <t>50°C / 8h</t>
        </is>
      </c>
      <c r="N60" s="29" t="inlineStr">
        <is>
          <t>✗</t>
        </is>
      </c>
      <c r="O60" s="29" t="inlineStr">
        <is>
          <t>✗</t>
        </is>
      </c>
      <c r="P60" s="29" t="inlineStr">
        <is>
          <t>✗</t>
        </is>
      </c>
      <c r="Q60" s="29" t="inlineStr">
        <is>
          <t>✗</t>
        </is>
      </c>
      <c r="R60" s="29" t="inlineStr">
        <is>
          <t>B</t>
        </is>
      </c>
      <c r="S60" s="26" t="inlineStr">
        <is>
          <t>Line existence confirmed (hatchbox3d.com/collections/all-filaments/tpu); TPU is external-spool-only on all Bambu AMS variants</t>
        </is>
      </c>
      <c r="T60" s="26" t="inlineStr">
        <is>
          <t>Deep-dive follow-up 2026-07-19; NEW LINE — not previously in catalog</t>
        </is>
      </c>
    </row>
  </sheetData>
  <autoFilter ref="A2:T703"/>
  <mergeCells count="1">
    <mergeCell ref="A1:T1"/>
  </mergeCells>
  <conditionalFormatting sqref="R3:R703">
    <cfRule type="expression" priority="1" dxfId="2">
      <formula>$R3="S"</formula>
    </cfRule>
    <cfRule type="expression" priority="2" dxfId="3">
      <formula>$R3="A"</formula>
    </cfRule>
    <cfRule type="expression" priority="3" dxfId="4">
      <formula>$R3="B"</formula>
    </cfRule>
    <cfRule type="expression" priority="4" dxfId="5">
      <formula>$R3="C"</formula>
    </cfRule>
  </conditionalFormatting>
  <conditionalFormatting sqref="N3:N703">
    <cfRule type="expression" priority="5" dxfId="6">
      <formula>NOT(ISERROR(SEARCH("✓",$N3)))</formula>
    </cfRule>
    <cfRule type="expression" priority="6" dxfId="7">
      <formula>NOT(ISERROR(SEARCH("✗",$N3)))</formula>
    </cfRule>
    <cfRule type="expression" priority="7" dxfId="8">
      <formula>NOT(ISERROR(SEARCH("⚠",$N3)))</formula>
    </cfRule>
  </conditionalFormatting>
  <conditionalFormatting sqref="O3:O703">
    <cfRule type="expression" priority="8" dxfId="6">
      <formula>NOT(ISERROR(SEARCH("✓",$O3)))</formula>
    </cfRule>
    <cfRule type="expression" priority="9" dxfId="7">
      <formula>NOT(ISERROR(SEARCH("✗",$O3)))</formula>
    </cfRule>
    <cfRule type="expression" priority="10" dxfId="8">
      <formula>NOT(ISERROR(SEARCH("⚠",$O3)))</formula>
    </cfRule>
  </conditionalFormatting>
  <conditionalFormatting sqref="P3:P703">
    <cfRule type="expression" priority="11" dxfId="6">
      <formula>NOT(ISERROR(SEARCH("✓",$P3)))</formula>
    </cfRule>
    <cfRule type="expression" priority="12" dxfId="7">
      <formula>NOT(ISERROR(SEARCH("✗",$P3)))</formula>
    </cfRule>
    <cfRule type="expression" priority="13" dxfId="8">
      <formula>NOT(ISERROR(SEARCH("⚠",$P3)))</formula>
    </cfRule>
  </conditionalFormatting>
  <conditionalFormatting sqref="Q3:Q703">
    <cfRule type="expression" priority="14" dxfId="6">
      <formula>NOT(ISERROR(SEARCH("✓",$Q3)))</formula>
    </cfRule>
    <cfRule type="expression" priority="15" dxfId="7">
      <formula>NOT(ISERROR(SEARCH("✗",$Q3)))</formula>
    </cfRule>
    <cfRule type="expression" priority="16" dxfId="8">
      <formula>NOT(ISERROR(SEARCH("⚠",$Q3)))</formula>
    </cfRule>
  </conditionalFormatting>
  <conditionalFormatting sqref="J3:J703">
    <cfRule type="expression" priority="17" dxfId="8">
      <formula>$J3="Yes"</formula>
    </cfRule>
  </conditionalFormatting>
  <conditionalFormatting sqref="T3:T703">
    <cfRule type="expression" priority="18" dxfId="9">
      <formula>NOT(ISERROR(SEARCH("hardened nozzle",$T3)))</formula>
    </cfRule>
  </conditionalFormatting>
  <dataValidations count="8">
    <dataValidation sqref="R3:R161" showDropDown="0" showInputMessage="0" showErrorMessage="0" allowBlank="1" type="list">
      <formula1>"S,A,B,C"</formula1>
    </dataValidation>
    <dataValidation sqref="I3:I161" showDropDown="0" showInputMessage="0" showErrorMessage="0" allowBlank="1" type="list">
      <formula1>"Cardboard,Plastic"</formula1>
    </dataValidation>
    <dataValidation sqref="J3:J161" showDropDown="0" showInputMessage="0" showErrorMessage="0" allowBlank="1" type="list">
      <formula1>"Yes,No"</formula1>
    </dataValidation>
    <dataValidation sqref="G3:G161" showDropDown="0" showInputMessage="0" showErrorMessage="0" allowBlank="1" type="list">
      <formula1>"1.75mm,2.85mm"</formula1>
    </dataValidation>
    <dataValidation sqref="N3:N161" showDropDown="0" showInputMessage="0" showErrorMessage="0" allowBlank="1" type="list">
      <formula1>"✓,✗,⚠"</formula1>
    </dataValidation>
    <dataValidation sqref="O3:O161" showDropDown="0" showInputMessage="0" showErrorMessage="0" allowBlank="1" type="list">
      <formula1>"✓,✗,⚠"</formula1>
    </dataValidation>
    <dataValidation sqref="P3:P161" showDropDown="0" showInputMessage="0" showErrorMessage="0" allowBlank="1" type="list">
      <formula1>"✓,✗,⚠"</formula1>
    </dataValidation>
    <dataValidation sqref="Q3:Q161" showDropDown="0" showInputMessage="0" showErrorMessage="0" allowBlank="1" type="list">
      <formula1>"✓,✗,⚠"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33C00"/>
    <outlinePr summaryBelow="1" summaryRight="1"/>
    <pageSetUpPr/>
  </sheetPr>
  <dimension ref="A1:H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  <col width="58" customWidth="1" min="8" max="8"/>
  </cols>
  <sheetData>
    <row r="1" ht="30" customHeight="1">
      <c r="A1" s="21" t="inlineStr">
        <is>
          <t>Hatchbox  —  Material Guide</t>
        </is>
      </c>
    </row>
    <row r="2" ht="34" customHeight="1">
      <c r="A2" s="22" t="inlineStr">
        <is>
          <t>Material</t>
        </is>
      </c>
      <c r="B2" s="22" t="inlineStr">
        <is>
          <t>Print Temp Range</t>
        </is>
      </c>
      <c r="C2" s="22" t="inlineStr">
        <is>
          <t>Bed Temp Range</t>
        </is>
      </c>
      <c r="D2" s="22" t="inlineStr">
        <is>
          <t>Enclosure Required</t>
        </is>
      </c>
      <c r="E2" s="22" t="inlineStr">
        <is>
          <t>AMS Compatible</t>
        </is>
      </c>
      <c r="F2" s="22" t="inlineStr">
        <is>
          <t>Drying Required</t>
        </is>
      </c>
      <c r="G2" s="22" t="inlineStr">
        <is>
          <t>Drying Temp / Time</t>
        </is>
      </c>
      <c r="H2" s="22" t="inlineStr">
        <is>
          <t>Notes</t>
        </is>
      </c>
    </row>
    <row r="3" ht="20" customHeight="1">
      <c r="A3" s="23" t="inlineStr">
        <is>
          <t>PLA</t>
        </is>
      </c>
      <c r="B3" s="16" t="inlineStr">
        <is>
          <t>180–220°C</t>
        </is>
      </c>
      <c r="C3" s="16" t="inlineStr">
        <is>
          <t>50–60°C</t>
        </is>
      </c>
      <c r="D3" s="16" t="inlineStr">
        <is>
          <t>No</t>
        </is>
      </c>
      <c r="E3" s="16" t="inlineStr">
        <is>
          <t>⚠</t>
        </is>
      </c>
      <c r="F3" s="16" t="inlineStr">
        <is>
          <t>Recommended</t>
        </is>
      </c>
      <c r="G3" s="16" t="inlineStr">
        <is>
          <t>45°C / 4h</t>
        </is>
      </c>
      <c r="H3" s="23" t="inlineStr">
        <is>
          <t>All Hatchbox spools are cardboard — AMS Adapter Ring required for all AMS variants</t>
        </is>
      </c>
    </row>
    <row r="4" ht="20" customHeight="1">
      <c r="A4" s="26" t="inlineStr">
        <is>
          <t>PLA+</t>
        </is>
      </c>
      <c r="B4" s="29" t="inlineStr">
        <is>
          <t>185–225°C</t>
        </is>
      </c>
      <c r="C4" s="29" t="inlineStr">
        <is>
          <t>50–60°C</t>
        </is>
      </c>
      <c r="D4" s="29" t="inlineStr">
        <is>
          <t>No</t>
        </is>
      </c>
      <c r="E4" s="29" t="inlineStr">
        <is>
          <t>⚠</t>
        </is>
      </c>
      <c r="F4" s="29" t="inlineStr">
        <is>
          <t>Recommended</t>
        </is>
      </c>
      <c r="G4" s="29" t="inlineStr">
        <is>
          <t>45°C / 4h</t>
        </is>
      </c>
      <c r="H4" s="26" t="inlineStr">
        <is>
          <t>Cardboard spool — AMS Adapter Ring required; tougher than PLA</t>
        </is>
      </c>
    </row>
    <row r="5" ht="20" customHeight="1">
      <c r="A5" s="23" t="inlineStr">
        <is>
          <t>PETG</t>
        </is>
      </c>
      <c r="B5" s="16" t="inlineStr">
        <is>
          <t>230–260°C</t>
        </is>
      </c>
      <c r="C5" s="16" t="inlineStr">
        <is>
          <t>70–80°C</t>
        </is>
      </c>
      <c r="D5" s="16" t="inlineStr">
        <is>
          <t>No</t>
        </is>
      </c>
      <c r="E5" s="16" t="inlineStr">
        <is>
          <t>⚠</t>
        </is>
      </c>
      <c r="F5" s="16" t="inlineStr">
        <is>
          <t>Yes</t>
        </is>
      </c>
      <c r="G5" s="16" t="inlineStr">
        <is>
          <t>65°C / 6h</t>
        </is>
      </c>
      <c r="H5" s="23" t="inlineStr">
        <is>
          <t>Cardboard spool — AMS Adapter Ring required</t>
        </is>
      </c>
    </row>
    <row r="6" ht="20" customHeight="1">
      <c r="A6" s="26" t="inlineStr">
        <is>
          <t>ABS</t>
        </is>
      </c>
      <c r="B6" s="29" t="inlineStr">
        <is>
          <t>220–260°C</t>
        </is>
      </c>
      <c r="C6" s="29" t="inlineStr">
        <is>
          <t>90–110°C</t>
        </is>
      </c>
      <c r="D6" s="29" t="inlineStr">
        <is>
          <t>Yes</t>
        </is>
      </c>
      <c r="E6" s="29" t="inlineStr">
        <is>
          <t>⚠</t>
        </is>
      </c>
      <c r="F6" s="29" t="inlineStr">
        <is>
          <t>Yes</t>
        </is>
      </c>
      <c r="G6" s="29" t="inlineStr">
        <is>
          <t>65°C / 8h</t>
        </is>
      </c>
      <c r="H6" s="26" t="inlineStr">
        <is>
          <t>Cardboard spool + enclosure required; AMS Lite incompatible</t>
        </is>
      </c>
    </row>
  </sheetData>
  <autoFilter ref="A2:H63"/>
  <mergeCells count="1">
    <mergeCell ref="A1:H1"/>
  </mergeCells>
  <conditionalFormatting sqref="D3:D17">
    <cfRule type="expression" priority="1" dxfId="8">
      <formula>$D3="Yes"</formula>
    </cfRule>
  </conditionalFormatting>
  <conditionalFormatting sqref="E3:E17">
    <cfRule type="expression" priority="2" dxfId="7">
      <formula>$E3="No"</formula>
    </cfRule>
    <cfRule type="expression" priority="3" dxfId="8">
      <formula>NOT(ISERROR(SEARCH("⚠",$E3)))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F7F7F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0" customWidth="1" min="1" max="1"/>
    <col width="56" customWidth="1" min="2" max="2"/>
    <col width="70" customWidth="1" min="3" max="3"/>
  </cols>
  <sheetData>
    <row r="1" ht="26" customHeight="1">
      <c r="A1" s="96" t="inlineStr">
        <is>
          <t>⚙  Configuration</t>
        </is>
      </c>
    </row>
    <row r="2" ht="22" customHeight="1">
      <c r="A2" s="18" t="inlineStr">
        <is>
          <t>Setting</t>
        </is>
      </c>
      <c r="B2" s="18" t="inlineStr">
        <is>
          <t>Value</t>
        </is>
      </c>
      <c r="C2" s="18" t="inlineStr">
        <is>
          <t>Notes</t>
        </is>
      </c>
    </row>
    <row r="3" ht="18" customHeight="1">
      <c r="A3" s="97" t="inlineStr">
        <is>
          <t>Brand</t>
        </is>
      </c>
      <c r="B3" s="98" t="inlineStr">
        <is>
          <t>Hatchbox</t>
        </is>
      </c>
      <c r="C3" s="99" t="inlineStr"/>
    </row>
    <row r="4" ht="18" customHeight="1">
      <c r="A4" s="97" t="inlineStr">
        <is>
          <t>File Version</t>
        </is>
      </c>
      <c r="B4" s="100" t="inlineStr">
        <is>
          <t>v3</t>
        </is>
      </c>
      <c r="C4" s="99" t="inlineStr"/>
    </row>
    <row r="5" ht="18" customHeight="1">
      <c r="A5" s="97" t="inlineStr">
        <is>
          <t>Generated</t>
        </is>
      </c>
      <c r="B5" s="100" t="inlineStr">
        <is>
          <t>2026-07-25</t>
        </is>
      </c>
      <c r="C5" s="99" t="inlineStr">
        <is>
          <t>Date this file was last generated by generate_all.py</t>
        </is>
      </c>
    </row>
    <row r="6" ht="18" customHeight="1">
      <c r="A6" s="97" t="inlineStr">
        <is>
          <t>SKU Note</t>
        </is>
      </c>
      <c r="B6" s="100" t="inlineStr">
        <is>
          <t>Reference codes (HX-xxx) — verify ASINs on Amazon</t>
        </is>
      </c>
      <c r="C6" s="99" t="inlineStr">
        <is>
          <t>SKU column: confirmed mfr codes noted above; others are internal reference codes</t>
        </is>
      </c>
    </row>
    <row r="7" ht="18" customHeight="1">
      <c r="A7" s="97" t="inlineStr">
        <is>
          <t>Hex Note</t>
        </is>
      </c>
      <c r="B7" s="100" t="inlineStr">
        <is>
          <t>Per-row confirmation status is tracked in each Catalog row's Notes column (manufacturer TDS-confirmed, official product-page confirmed, or unconfirmed placeholder). #999999 in the Hex Code column always means unconfirmed placeholder, not a real color.</t>
        </is>
      </c>
      <c r="C7" s="99" t="inlineStr">
        <is>
          <t>Approximate hex = visually representative; not manufacturer-confirmed</t>
        </is>
      </c>
    </row>
    <row r="8" ht="18" customHeight="1">
      <c r="A8" s="97" t="inlineStr">
        <is>
          <t>Inventory Note</t>
        </is>
      </c>
      <c r="B8" s="100" t="inlineStr">
        <is>
          <t>This workbook covers catalog reference data only. On-hand spool inventory is tracked separately in Filament_Inventory.xlsx.</t>
        </is>
      </c>
      <c r="C8" s="99" t="inlineStr">
        <is>
          <t>Split from per-brand Inventory Tracker sheets, 2026-07-23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2026-07-25T21:17:05Z</dcterms:created>
  <dcterms:modified xmlns:dcterms="http://purl.org/dc/terms/" xmlns:xsi="http://www.w3.org/2001/XMLSchema-instance" xsi:type="dcterms:W3CDTF">2026-07-25T21:17:05Z</dcterms:modified>
</cp:coreProperties>
</file>