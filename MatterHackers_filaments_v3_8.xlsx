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Material Guide" sheetId="3" state="visible" r:id="rId3"/>
    <sheet xmlns:r="http://schemas.openxmlformats.org/officeDocument/2006/relationships" name="Config" sheetId="4" state="visible" r:id="rId4"/>
  </sheets>
  <definedNames>
    <definedName name="_xlnm._FilterDatabase" localSheetId="1" hidden="1">'Catalog'!$A$2:$T$703</definedName>
    <definedName name="_xlnm._FilterDatabase" localSheetId="2" hidden="1">'Material Guide'!$A$2:$H$63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strike val="0"/>
      <color rgb="FFFFFFFF"/>
      <sz val="14"/>
    </font>
    <font>
      <name val="Arial"/>
      <b val="1"/>
      <strike val="0"/>
      <color rgb="FFFFFFFF"/>
      <sz val="10"/>
    </font>
    <font>
      <name val="Arial"/>
      <b val="1"/>
      <strike val="0"/>
      <color rgb="FF000000"/>
      <sz val="10"/>
    </font>
    <font>
      <name val="Arial"/>
      <b val="1"/>
      <strike val="0"/>
      <color rgb="FF7F6000"/>
      <sz val="10"/>
    </font>
    <font>
      <name val="Arial"/>
      <strike val="0"/>
      <color rgb="FF000000"/>
      <sz val="10"/>
    </font>
    <font>
      <name val="Arial"/>
      <b val="1"/>
      <strike val="0"/>
      <color rgb="FF276221"/>
      <sz val="10"/>
    </font>
    <font>
      <name val="Arial"/>
      <b val="1"/>
      <strike val="0"/>
      <color rgb="FF1F3864"/>
      <sz val="10"/>
    </font>
    <font>
      <name val="Arial"/>
      <b val="1"/>
      <strike val="0"/>
      <color rgb="FF9C0006"/>
      <sz val="10"/>
    </font>
    <font>
      <name val="Arial"/>
      <i val="1"/>
      <strike val="0"/>
      <color rgb="FF000000"/>
      <sz val="10"/>
    </font>
    <font>
      <name val="Arial"/>
      <b val="1"/>
      <strike val="0"/>
      <color rgb="FFFFFFFF"/>
      <sz val="13"/>
    </font>
    <font>
      <name val="Arial"/>
      <strike val="0"/>
      <color rgb="FF444444"/>
      <sz val="9"/>
    </font>
    <font>
      <name val="Arial"/>
      <b val="1"/>
      <strike val="0"/>
      <color rgb="FFFFFFFF"/>
      <sz val="12"/>
    </font>
    <font>
      <name val="Arial"/>
      <strike val="0"/>
      <color rgb="FF7F6000"/>
      <sz val="10"/>
    </font>
  </fonts>
  <fills count="4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F4B8B8"/>
      </patternFill>
    </fill>
    <fill>
      <patternFill patternType="solid">
        <fgColor rgb="FFFFEB9C"/>
      </patternFill>
    </fill>
    <fill>
      <patternFill patternType="solid">
        <fgColor rgb="FF111111"/>
      </patternFill>
    </fill>
    <fill>
      <patternFill patternType="solid">
        <fgColor rgb="FFE2E2E2"/>
      </patternFill>
    </fill>
    <fill>
      <patternFill patternType="solid">
        <fgColor rgb="FFEEF3FB"/>
      </patternFill>
    </fill>
    <fill>
      <patternFill patternType="solid">
        <fgColor rgb="FF808080"/>
      </patternFill>
    </fill>
    <fill>
      <patternFill patternType="solid">
        <fgColor rgb="FFEFEFEF"/>
      </patternFill>
    </fill>
    <fill>
      <patternFill patternType="solid">
        <fgColor rgb="FFCC0000"/>
      </patternFill>
    </fill>
    <fill>
      <patternFill patternType="solid">
        <fgColor rgb="FFF8E0E0"/>
      </patternFill>
    </fill>
    <fill>
      <patternFill patternType="solid">
        <fgColor rgb="FFF5F5F5"/>
      </patternFill>
    </fill>
    <fill>
      <patternFill patternType="solid">
        <fgColor rgb="FFFDFDFD"/>
      </patternFill>
    </fill>
    <fill>
      <patternFill patternType="solid">
        <fgColor rgb="FF0D0D0D"/>
      </patternFill>
    </fill>
    <fill>
      <patternFill patternType="solid">
        <fgColor rgb="FFE1E1E1"/>
      </patternFill>
    </fill>
    <fill>
      <patternFill patternType="solid">
        <fgColor rgb="FF0057A8"/>
      </patternFill>
    </fill>
    <fill>
      <patternFill patternType="solid">
        <fgColor rgb="FFE0EAF4"/>
      </patternFill>
    </fill>
    <fill>
      <patternFill patternType="solid">
        <fgColor rgb="FFD8EEF8"/>
      </patternFill>
    </fill>
    <fill>
      <patternFill patternType="solid">
        <fgColor rgb="FFFAFCFE"/>
      </patternFill>
    </fill>
    <fill>
      <patternFill patternType="solid">
        <fgColor rgb="FF2060C8"/>
      </patternFill>
    </fill>
    <fill>
      <patternFill patternType="solid">
        <fgColor rgb="FFE4EBF8"/>
      </patternFill>
    </fill>
    <fill>
      <patternFill patternType="solid">
        <fgColor rgb="FFF5C518"/>
      </patternFill>
    </fill>
    <fill>
      <patternFill patternType="solid">
        <fgColor rgb="FFFDF8E3"/>
      </patternFill>
    </fill>
    <fill>
      <patternFill patternType="solid">
        <fgColor rgb="FF8B4513"/>
      </patternFill>
    </fill>
    <fill>
      <patternFill patternType="solid">
        <fgColor rgb="FFF1E8E2"/>
      </patternFill>
    </fill>
    <fill>
      <patternFill patternType="solid">
        <fgColor rgb="FF2E8B57"/>
      </patternFill>
    </fill>
    <fill>
      <patternFill patternType="solid">
        <fgColor rgb="FFE5F1EA"/>
      </patternFill>
    </fill>
    <fill>
      <patternFill patternType="solid">
        <fgColor rgb="FF1A2A5A"/>
      </patternFill>
    </fill>
    <fill>
      <patternFill patternType="solid">
        <fgColor rgb="FFE3E5EB"/>
      </patternFill>
    </fill>
    <fill>
      <patternFill patternType="solid">
        <fgColor rgb="FFF5821F"/>
      </patternFill>
    </fill>
    <fill>
      <patternFill patternType="solid">
        <fgColor rgb="FFFDF0E4"/>
      </patternFill>
    </fill>
    <fill>
      <patternFill patternType="solid">
        <fgColor rgb="FFFF69B4"/>
      </patternFill>
    </fill>
    <fill>
      <patternFill patternType="solid">
        <fgColor rgb="FFFFEDF6"/>
      </patternFill>
    </fill>
    <fill>
      <patternFill patternType="solid">
        <fgColor rgb="FF6A0DAD"/>
      </patternFill>
    </fill>
    <fill>
      <patternFill patternType="solid">
        <fgColor rgb="FFEDE1F5"/>
      </patternFill>
    </fill>
    <fill>
      <patternFill patternType="solid">
        <fgColor rgb="FFC0C0C0"/>
      </patternFill>
    </fill>
    <fill>
      <patternFill patternType="solid">
        <fgColor rgb="FFF7F7F7"/>
      </patternFill>
    </fill>
    <fill>
      <patternFill patternType="solid">
        <fgColor rgb="FF008080"/>
      </patternFill>
    </fill>
    <fill>
      <patternFill patternType="solid">
        <fgColor rgb="FFE0EFEF"/>
      </patternFill>
    </fill>
    <fill>
      <patternFill patternType="solid">
        <fgColor rgb="FFE8F4FC"/>
      </patternFill>
    </fill>
    <fill>
      <patternFill patternType="solid">
        <fgColor rgb="FFFCFDF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center" vertical="center" wrapText="1"/>
    </xf>
    <xf numFmtId="0" fontId="5" fillId="18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5" fillId="22" borderId="1" applyAlignment="1" pivotButton="0" quotePrefix="0" xfId="0">
      <alignment horizontal="center" vertical="center" wrapText="1"/>
    </xf>
    <xf numFmtId="0" fontId="11" fillId="23" borderId="1" applyAlignment="1" pivotButton="0" quotePrefix="0" xfId="0">
      <alignment horizontal="center" vertical="center" wrapText="1"/>
    </xf>
    <xf numFmtId="0" fontId="5" fillId="24" borderId="1" applyAlignment="1" pivotButton="0" quotePrefix="0" xfId="0">
      <alignment horizontal="center" vertical="center" wrapText="1"/>
    </xf>
    <xf numFmtId="0" fontId="11" fillId="25" borderId="1" applyAlignment="1" pivotButton="0" quotePrefix="0" xfId="0">
      <alignment horizontal="center" vertical="center" wrapText="1"/>
    </xf>
    <xf numFmtId="0" fontId="5" fillId="26" borderId="1" applyAlignment="1" pivotButton="0" quotePrefix="0" xfId="0">
      <alignment horizontal="center" vertical="center" wrapText="1"/>
    </xf>
    <xf numFmtId="0" fontId="11" fillId="27" borderId="1" applyAlignment="1" pivotButton="0" quotePrefix="0" xfId="0">
      <alignment horizontal="center" vertical="center" wrapText="1"/>
    </xf>
    <xf numFmtId="0" fontId="5" fillId="28" borderId="1" applyAlignment="1" pivotButton="0" quotePrefix="0" xfId="0">
      <alignment horizontal="center" vertical="center" wrapText="1"/>
    </xf>
    <xf numFmtId="0" fontId="11" fillId="29" borderId="1" applyAlignment="1" pivotButton="0" quotePrefix="0" xfId="0">
      <alignment horizontal="center" vertical="center" wrapText="1"/>
    </xf>
    <xf numFmtId="0" fontId="5" fillId="30" borderId="1" applyAlignment="1" pivotButton="0" quotePrefix="0" xfId="0">
      <alignment horizontal="center" vertical="center" wrapText="1"/>
    </xf>
    <xf numFmtId="0" fontId="11" fillId="31" borderId="1" applyAlignment="1" pivotButton="0" quotePrefix="0" xfId="0">
      <alignment horizontal="center" vertical="center" wrapText="1"/>
    </xf>
    <xf numFmtId="0" fontId="5" fillId="32" borderId="1" applyAlignment="1" pivotButton="0" quotePrefix="0" xfId="0">
      <alignment horizontal="center" vertical="center" wrapText="1"/>
    </xf>
    <xf numFmtId="0" fontId="11" fillId="33" borderId="1" applyAlignment="1" pivotButton="0" quotePrefix="0" xfId="0">
      <alignment horizontal="center" vertical="center" wrapText="1"/>
    </xf>
    <xf numFmtId="0" fontId="5" fillId="34" borderId="1" applyAlignment="1" pivotButton="0" quotePrefix="0" xfId="0">
      <alignment horizontal="center" vertical="center" wrapText="1"/>
    </xf>
    <xf numFmtId="0" fontId="11" fillId="35" borderId="1" applyAlignment="1" pivotButton="0" quotePrefix="0" xfId="0">
      <alignment horizontal="center" vertical="center" wrapText="1"/>
    </xf>
    <xf numFmtId="0" fontId="5" fillId="36" borderId="1" applyAlignment="1" pivotButton="0" quotePrefix="0" xfId="0">
      <alignment horizontal="center" vertical="center" wrapText="1"/>
    </xf>
    <xf numFmtId="0" fontId="11" fillId="37" borderId="1" applyAlignment="1" pivotButton="0" quotePrefix="0" xfId="0">
      <alignment horizontal="center" vertical="center" wrapText="1"/>
    </xf>
    <xf numFmtId="0" fontId="5" fillId="38" borderId="1" applyAlignment="1" pivotButton="0" quotePrefix="0" xfId="0">
      <alignment horizontal="center" vertical="center" wrapText="1"/>
    </xf>
    <xf numFmtId="0" fontId="11" fillId="39" borderId="1" applyAlignment="1" pivotButton="0" quotePrefix="0" xfId="0">
      <alignment horizontal="center" vertical="center" wrapText="1"/>
    </xf>
    <xf numFmtId="0" fontId="5" fillId="40" borderId="1" applyAlignment="1" pivotButton="0" quotePrefix="0" xfId="0">
      <alignment horizontal="center" vertical="center" wrapText="1"/>
    </xf>
    <xf numFmtId="0" fontId="11" fillId="41" borderId="1" applyAlignment="1" pivotButton="0" quotePrefix="0" xfId="0">
      <alignment horizontal="center" vertical="center" wrapText="1"/>
    </xf>
    <xf numFmtId="0" fontId="5" fillId="42" borderId="1" applyAlignment="1" pivotButton="0" quotePrefix="0" xfId="0">
      <alignment horizontal="center" vertical="center" wrapText="1"/>
    </xf>
    <xf numFmtId="0" fontId="11" fillId="43" borderId="1" applyAlignment="1" pivotButton="0" quotePrefix="0" xfId="0">
      <alignment horizontal="center" vertical="center" wrapText="1"/>
    </xf>
    <xf numFmtId="0" fontId="5" fillId="44" borderId="1" applyAlignment="1" pivotButton="0" quotePrefix="0" xfId="0">
      <alignment horizontal="center" vertical="center" wrapText="1"/>
    </xf>
    <xf numFmtId="0" fontId="11" fillId="45" borderId="1" applyAlignment="1" pivotButton="0" quotePrefix="0" xfId="0">
      <alignment horizontal="center" vertical="center" wrapText="1"/>
    </xf>
    <xf numFmtId="0" fontId="5" fillId="46" borderId="1" applyAlignment="1" pivotButton="0" quotePrefix="0" xfId="0">
      <alignment horizontal="center" vertical="center" wrapText="1"/>
    </xf>
    <xf numFmtId="0" fontId="11" fillId="47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3" fillId="48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0">
    <dxf>
      <font>
        <name val="Arial"/>
        <b val="1"/>
        <color rgb="FF9C5700"/>
      </font>
      <fill>
        <patternFill>
          <bgColor rgb="FFFFEB9C"/>
        </patternFill>
      </fill>
    </dxf>
    <dxf>
      <font>
        <name val="Arial"/>
        <b val="1"/>
        <color rgb="FF276221"/>
      </font>
      <fill>
        <patternFill>
          <bgColor rgb="FFC6EFCE"/>
        </patternFill>
      </fill>
    </dxf>
    <dxf>
      <font>
        <name val="Arial"/>
        <color rgb="FF7F6000"/>
      </font>
      <fill>
        <patternFill>
          <bgColor rgb="FFFFD700"/>
        </patternFill>
      </fill>
    </dxf>
    <dxf>
      <font>
        <name val="Arial"/>
        <color rgb="FF276221"/>
      </font>
      <fill>
        <patternFill>
          <bgColor rgb="FF92D050"/>
        </patternFill>
      </fill>
    </dxf>
    <dxf>
      <font>
        <name val="Arial"/>
        <color rgb="FF1F3864"/>
      </font>
      <fill>
        <patternFill>
          <bgColor rgb="FFBDD7EE"/>
        </patternFill>
      </fill>
    </dxf>
    <dxf>
      <font>
        <name val="Arial"/>
        <color rgb="FF9C0006"/>
      </font>
      <fill>
        <patternFill>
          <bgColor rgb="FFF4B8B8"/>
        </patternFill>
      </fill>
    </dxf>
    <dxf>
      <font>
        <name val="Arial"/>
        <color rgb="FF276221"/>
      </font>
      <fill>
        <patternFill>
          <bgColor rgb="FFC6EFCE"/>
        </patternFill>
      </fill>
    </dxf>
    <dxf>
      <font>
        <name val="Arial"/>
        <color rgb="FF9C0006"/>
      </font>
      <fill>
        <patternFill>
          <bgColor rgb="FFFFC7CE"/>
        </patternFill>
      </fill>
    </dxf>
    <dxf>
      <font>
        <name val="Arial"/>
        <color rgb="FF9C5700"/>
      </font>
      <fill>
        <patternFill>
          <bgColor rgb="FFFFEB9C"/>
        </patternFill>
      </fill>
    </dxf>
    <dxf>
      <font>
        <name val="Arial"/>
        <color rgb="FF7F4F00"/>
      </font>
      <fill>
        <patternFill>
          <bgColor rgb="FFFFCC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Filament Ref v3</author>
  </authors>
  <commentList>
    <comment ref="B2" authorId="0" shapeId="0">
      <text>
        <t>SKU / Part No.
Polymaker PolyLite PLA: confirmed manufacturer codes (PA02001–PA02029).
All other brands: internal reference codes.
See Config sheet → SKU Note for details.</t>
      </text>
    </comment>
    <comment ref="E2" authorId="0" shapeId="0">
      <text>
        <t>Color Swatch
Cell fill = filament color. No text — see Hex Code (col F).
Official hex sources:
• Bambu PLA Basic/Matte/PETG Basic/ABS/PLA Translucent: Bambu hex PDFs
• Polymaker PolyLite PLA: confirmed from shop.polymaker.com
• All other brands: approximate</t>
      </text>
    </comment>
    <comment ref="F2" authorId="0" shapeId="0">
      <text>
        <t>Hex Code
The hex color code for this filament.
Background tint is a 12% blend of the swatch color toward white,
giving a visual connection to the adjacent swatch cell.
Official hex sources: see Color Swatch comment (col E).</t>
      </text>
    </comment>
    <comment ref="N2" authorId="0" shapeId="0">
      <text>
        <t>AMS X/P Compatibility
✓  Compatible with standard AMS X/P unit
✗  Not compatible — use external spool
⚠  Compatible with conditions (adapter ring, special mode, etc.)
Printers: X1C, X1E, P1S, P1P</t>
      </text>
    </comment>
    <comment ref="O2" authorId="0" shapeId="0">
      <text>
        <t>AMS Lite Compatibility
✓  Compatible with AMS Lite unit
✗  Not compatible (open-frame; no ABS/ASA/PA support)
⚠  Compatible with conditions
Printers: A1, A1 mini</t>
      </text>
    </comment>
    <comment ref="P2" authorId="0" shapeId="0">
      <text>
        <t>AMS 2 Pro Compatibility
✓  Compatible with AMS 2 Pro unit
✗  Not compatible
⚠  Compatible with conditions
Printers: H2D</t>
      </text>
    </comment>
    <comment ref="Q2" authorId="0" shapeId="0">
      <text>
        <t>AMS HT Compatibility
✓  Compatible with AMS HT unit
✗  Not compatible
⚠  Compatible with conditions
Printers: H2D
Required for TPU 95A multi-color printing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" t="inlineStr">
        <is>
          <t>📦  MatterHackers  —  Filament Reference  |  v3</t>
        </is>
      </c>
    </row>
    <row r="3" ht="18" customHeight="1">
      <c r="A3" s="2" t="inlineStr">
        <is>
          <t xml:space="preserve">  CATALOG SUMMARY</t>
        </is>
      </c>
    </row>
    <row r="4" ht="18" customHeight="1">
      <c r="A4" s="3" t="inlineStr">
        <is>
          <t>Total Catalog Entries (active)</t>
        </is>
      </c>
      <c r="B4" s="4">
        <f>COUNTA(Catalog!C3:C1000)-COUNTIF(Catalog!T3:T1000,"~[DISCONTINUED~]*")</f>
        <v/>
      </c>
    </row>
    <row r="5" ht="18" customHeight="1">
      <c r="A5" s="3" t="inlineStr">
        <is>
          <t>Tier S — Premium</t>
        </is>
      </c>
      <c r="B5" s="5">
        <f>COUNTIF(Catalog!R3:R1000,"S")</f>
        <v/>
      </c>
    </row>
    <row r="6" ht="18" customHeight="1">
      <c r="A6" s="3" t="inlineStr">
        <is>
          <t>Tier A — Excellent</t>
        </is>
      </c>
      <c r="B6" s="6">
        <f>COUNTIF(Catalog!R3:R1000,"A")</f>
        <v/>
      </c>
    </row>
    <row r="7" ht="18" customHeight="1">
      <c r="A7" s="3" t="inlineStr">
        <is>
          <t>Tier B — Good</t>
        </is>
      </c>
      <c r="B7" s="7">
        <f>COUNTIF(Catalog!R3:R1000,"B")</f>
        <v/>
      </c>
    </row>
    <row r="8" ht="18" customHeight="1">
      <c r="A8" s="3" t="inlineStr">
        <is>
          <t>Tier C — Specialty</t>
        </is>
      </c>
      <c r="B8" s="8">
        <f>COUNTIF(Catalog!R3:R1000,"C")</f>
        <v/>
      </c>
    </row>
    <row r="9" ht="18" customHeight="1">
      <c r="A9" s="3" t="inlineStr">
        <is>
          <t>Require AMS Adapter Ring</t>
        </is>
      </c>
      <c r="B9" s="9">
        <f>COUNTIF(Catalog!J3:J1000,"Yes")</f>
        <v/>
      </c>
    </row>
    <row r="11" ht="18" customHeight="1">
      <c r="A11" s="2" t="inlineStr">
        <is>
          <t xml:space="preserve">  TIER LEGEND</t>
        </is>
      </c>
    </row>
    <row r="12" ht="18" customHeight="1">
      <c r="A12" s="10" t="inlineStr">
        <is>
          <t xml:space="preserve">  S</t>
        </is>
      </c>
      <c r="B12" s="11" t="inlineStr">
        <is>
          <t>Premium — first-party or best-in-class; optimized profiles, top AMS reliability</t>
        </is>
      </c>
    </row>
    <row r="13" ht="18" customHeight="1">
      <c r="A13" s="12" t="inlineStr">
        <is>
          <t xml:space="preserve">  A</t>
        </is>
      </c>
      <c r="B13" s="11" t="inlineStr">
        <is>
          <t>Excellent — high quality, tested profiles, reliable AMS performance</t>
        </is>
      </c>
    </row>
    <row r="14" ht="18" customHeight="1">
      <c r="A14" s="13" t="inlineStr">
        <is>
          <t xml:space="preserve">  B</t>
        </is>
      </c>
      <c r="B14" s="11" t="inlineStr">
        <is>
          <t>Good — solid performer with minor caveats (e.g. needs adapter ring, temp adjustment)</t>
        </is>
      </c>
    </row>
    <row r="15" ht="18" customHeight="1">
      <c r="A15" s="14" t="inlineStr">
        <is>
          <t xml:space="preserve">  C</t>
        </is>
      </c>
      <c r="B15" s="11" t="inlineStr">
        <is>
          <t>Specialty — limited AMS use, requires special setup, or niche material</t>
        </is>
      </c>
    </row>
    <row r="17" ht="18" customHeight="1">
      <c r="A17" s="2" t="inlineStr">
        <is>
          <t xml:space="preserve">  INVENTORY</t>
        </is>
      </c>
    </row>
    <row r="18">
      <c r="A18" s="15" t="inlineStr">
        <is>
          <t>On-hand spool inventory is tracked separately in Filament_Inventory.xlsx, not in this workbook.</t>
        </is>
      </c>
    </row>
    <row r="19" ht="18" customHeight="1">
      <c r="A19" s="3" t="inlineStr">
        <is>
          <t>File Generated</t>
        </is>
      </c>
      <c r="B19" s="16">
        <f>Config!$B$5</f>
        <v/>
      </c>
    </row>
    <row r="21" ht="18" customHeight="1">
      <c r="A21" s="2" t="inlineStr">
        <is>
          <t xml:space="preserve">  AMS ADAPTER RING STATUS</t>
        </is>
      </c>
    </row>
    <row r="22" ht="20" customHeight="1">
      <c r="A22" s="17">
        <f>IF(COUNTIF(Catalog!J3:J1000,"Yes")&gt;0,"⚠  One or more filaments require the AMS Adapter Ring — see Catalog column J","✓  No filaments in this catalog require the AMS Adapter Ring")</f>
        <v/>
      </c>
    </row>
    <row r="24" ht="18" customHeight="1">
      <c r="A24" s="2" t="inlineStr">
        <is>
          <t xml:space="preserve">  BY MATERIAL TYPE</t>
        </is>
      </c>
    </row>
    <row r="25" ht="22" customHeight="1">
      <c r="A25" s="18" t="inlineStr">
        <is>
          <t>Material Type</t>
        </is>
      </c>
      <c r="B25" s="18" t="inlineStr">
        <is>
          <t>Catalog Entries</t>
        </is>
      </c>
    </row>
    <row r="26" ht="18" customHeight="1">
      <c r="A26" s="19" t="inlineStr">
        <is>
          <t>ABS</t>
        </is>
      </c>
      <c r="B26" s="20">
        <f>COUNTIF(Catalog!A3:A700,"ABS")</f>
        <v/>
      </c>
    </row>
    <row r="27" ht="18" customHeight="1">
      <c r="A27" s="19" t="inlineStr">
        <is>
          <t>PA</t>
        </is>
      </c>
      <c r="B27" s="20">
        <f>COUNTIF(Catalog!A3:A700,"PA")</f>
        <v/>
      </c>
    </row>
    <row r="28" ht="18" customHeight="1">
      <c r="A28" s="19" t="inlineStr">
        <is>
          <t>PETG</t>
        </is>
      </c>
      <c r="B28" s="20">
        <f>COUNTIF(Catalog!A3:A700,"PETG")</f>
        <v/>
      </c>
    </row>
    <row r="29" ht="18" customHeight="1">
      <c r="A29" s="19" t="inlineStr">
        <is>
          <t>PLA (Build Series)</t>
        </is>
      </c>
      <c r="B29" s="20">
        <f>COUNTIF(Catalog!A3:A700,"PLA (Build Series)")</f>
        <v/>
      </c>
    </row>
    <row r="30" ht="18" customHeight="1">
      <c r="A30" s="19" t="inlineStr">
        <is>
          <t>PLA (PRO Series)</t>
        </is>
      </c>
      <c r="B30" s="20">
        <f>COUNTIF(Catalog!A3:A700,"PLA (PRO Series)")</f>
        <v/>
      </c>
    </row>
    <row r="31" ht="18" customHeight="1">
      <c r="A31" s="19" t="inlineStr">
        <is>
          <t>PLA (Tough)</t>
        </is>
      </c>
      <c r="B31" s="20">
        <f>COUNTIF(Catalog!A3:A700,"PLA (Tough)")</f>
        <v/>
      </c>
    </row>
    <row r="32" ht="18" customHeight="1">
      <c r="A32" s="19" t="inlineStr">
        <is>
          <t>TPU</t>
        </is>
      </c>
      <c r="B32" s="20">
        <f>COUNTIF(Catalog!A3:A700,"TPU")</f>
        <v/>
      </c>
    </row>
  </sheetData>
  <mergeCells count="12">
    <mergeCell ref="A18:H18"/>
    <mergeCell ref="B14:H14"/>
    <mergeCell ref="A3:H3"/>
    <mergeCell ref="A21:H21"/>
    <mergeCell ref="B13:H13"/>
    <mergeCell ref="A24:H24"/>
    <mergeCell ref="B12:H12"/>
    <mergeCell ref="A11:H11"/>
    <mergeCell ref="B15:H15"/>
    <mergeCell ref="A1:H1"/>
    <mergeCell ref="A22:H22"/>
    <mergeCell ref="A17:H17"/>
  </mergeCells>
  <conditionalFormatting sqref="A22:H22">
    <cfRule type="expression" priority="1" dxfId="0">
      <formula>NOT(ISERROR(SEARCH("⚠",A22)))</formula>
    </cfRule>
    <cfRule type="expression" priority="2" dxfId="1">
      <formula>NOT(ISERROR(SEARCH("✓",A22)))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T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9" customWidth="1" min="7" max="7"/>
    <col width="16" customWidth="1" min="8" max="8"/>
    <col width="12" customWidth="1" min="9" max="9"/>
    <col width="18" customWidth="1" min="10" max="10"/>
    <col width="15" customWidth="1" min="11" max="11"/>
    <col width="14" customWidth="1" min="12" max="12"/>
    <col width="16" customWidth="1" min="13" max="13"/>
    <col outlineLevel="1" width="9" customWidth="1" min="14" max="14"/>
    <col outlineLevel="1" width="9" customWidth="1" min="15" max="15"/>
    <col outlineLevel="1" width="9" customWidth="1" min="16" max="16"/>
    <col outlineLevel="1" width="9" customWidth="1" min="17" max="17"/>
    <col width="9" customWidth="1" min="18" max="18"/>
    <col width="48" customWidth="1" min="19" max="19"/>
    <col width="48" customWidth="1" min="20" max="20"/>
  </cols>
  <sheetData>
    <row r="1" ht="30" customHeight="1">
      <c r="A1" s="21" t="inlineStr">
        <is>
          <t>MatterHackers  —  Filament Catalog</t>
        </is>
      </c>
    </row>
    <row r="2" ht="34" customHeight="1">
      <c r="A2" s="22" t="inlineStr">
        <is>
          <t>Material Type</t>
        </is>
      </c>
      <c r="B2" s="22" t="inlineStr">
        <is>
          <t>SKU / Part No.</t>
        </is>
      </c>
      <c r="C2" s="22" t="inlineStr">
        <is>
          <t>Product Name</t>
        </is>
      </c>
      <c r="D2" s="22" t="inlineStr">
        <is>
          <t>Color Name</t>
        </is>
      </c>
      <c r="E2" s="22" t="inlineStr">
        <is>
          <t>Color Swatch</t>
        </is>
      </c>
      <c r="F2" s="22" t="inlineStr">
        <is>
          <t>Hex Code</t>
        </is>
      </c>
      <c r="G2" s="22" t="inlineStr">
        <is>
          <t>Diameter</t>
        </is>
      </c>
      <c r="H2" s="22" t="inlineStr">
        <is>
          <t>Diameter Tolerance</t>
        </is>
      </c>
      <c r="I2" s="22" t="inlineStr">
        <is>
          <t>Spool Type</t>
        </is>
      </c>
      <c r="J2" s="22" t="inlineStr">
        <is>
          <t>AMS Adapter Required</t>
        </is>
      </c>
      <c r="K2" s="22" t="inlineStr">
        <is>
          <t>Print Temp Range</t>
        </is>
      </c>
      <c r="L2" s="22" t="inlineStr">
        <is>
          <t>Bed Temp Range</t>
        </is>
      </c>
      <c r="M2" s="22" t="inlineStr">
        <is>
          <t>Drying Temp / Time</t>
        </is>
      </c>
      <c r="N2" s="22" t="inlineStr">
        <is>
          <t>AMS X/P</t>
        </is>
      </c>
      <c r="O2" s="22" t="inlineStr">
        <is>
          <t>AMS Lite</t>
        </is>
      </c>
      <c r="P2" s="22" t="inlineStr">
        <is>
          <t>AMS 2 Pro</t>
        </is>
      </c>
      <c r="Q2" s="22" t="inlineStr">
        <is>
          <t>AMS HT</t>
        </is>
      </c>
      <c r="R2" s="22" t="inlineStr">
        <is>
          <t>Tier</t>
        </is>
      </c>
      <c r="S2" s="22" t="inlineStr">
        <is>
          <t>Tier Rationale</t>
        </is>
      </c>
      <c r="T2" s="22" t="inlineStr">
        <is>
          <t>Notes</t>
        </is>
      </c>
    </row>
    <row r="3" ht="20" customHeight="1">
      <c r="A3" s="23" t="inlineStr">
        <is>
          <t>ABS</t>
        </is>
      </c>
      <c r="B3" s="23" t="inlineStr">
        <is>
          <t>MH-PRO-ABS-BK</t>
        </is>
      </c>
      <c r="C3" s="23" t="inlineStr">
        <is>
          <t>PRO Series ABS</t>
        </is>
      </c>
      <c r="D3" s="23" t="inlineStr">
        <is>
          <t>Black</t>
        </is>
      </c>
      <c r="E3" s="24" t="inlineStr"/>
      <c r="F3" s="25" t="inlineStr">
        <is>
          <t>#111111</t>
        </is>
      </c>
      <c r="G3" s="16" t="inlineStr">
        <is>
          <t>1.75mm</t>
        </is>
      </c>
      <c r="H3" s="16" t="inlineStr">
        <is>
          <t>±0.03mm</t>
        </is>
      </c>
      <c r="I3" s="16" t="inlineStr">
        <is>
          <t>Plastic</t>
        </is>
      </c>
      <c r="J3" s="16" t="inlineStr">
        <is>
          <t>No</t>
        </is>
      </c>
      <c r="K3" s="16" t="inlineStr">
        <is>
          <t>235–265°C</t>
        </is>
      </c>
      <c r="L3" s="16" t="inlineStr">
        <is>
          <t>90–110°C</t>
        </is>
      </c>
      <c r="M3" s="16" t="inlineStr">
        <is>
          <t>65°C / 8h</t>
        </is>
      </c>
      <c r="N3" s="16" t="inlineStr">
        <is>
          <t>✓</t>
        </is>
      </c>
      <c r="O3" s="16" t="inlineStr">
        <is>
          <t>✗</t>
        </is>
      </c>
      <c r="P3" s="16" t="inlineStr">
        <is>
          <t>✓</t>
        </is>
      </c>
      <c r="Q3" s="16" t="inlineStr">
        <is>
          <t>✓</t>
        </is>
      </c>
      <c r="R3" s="16" t="inlineStr">
        <is>
          <t>A</t>
        </is>
      </c>
      <c r="S3" s="23" t="inlineStr">
        <is>
          <t>PRO Series ABS; enclosure required; consistent quality</t>
        </is>
      </c>
      <c r="T3" s="23" t="inlineStr">
        <is>
          <t>Enclosure required; AMS Lite ✗</t>
        </is>
      </c>
    </row>
    <row r="4" ht="20" customHeight="1">
      <c r="A4" s="26" t="inlineStr">
        <is>
          <t>ABS</t>
        </is>
      </c>
      <c r="B4" s="26" t="inlineStr">
        <is>
          <t>MH-PRO-ABS-GY</t>
        </is>
      </c>
      <c r="C4" s="26" t="inlineStr">
        <is>
          <t>PRO Series ABS</t>
        </is>
      </c>
      <c r="D4" s="26" t="inlineStr">
        <is>
          <t>Gray</t>
        </is>
      </c>
      <c r="E4" s="27" t="inlineStr"/>
      <c r="F4" s="28" t="inlineStr">
        <is>
          <t>#808080</t>
        </is>
      </c>
      <c r="G4" s="29" t="inlineStr">
        <is>
          <t>1.75mm</t>
        </is>
      </c>
      <c r="H4" s="29" t="inlineStr">
        <is>
          <t>±0.03mm</t>
        </is>
      </c>
      <c r="I4" s="29" t="inlineStr">
        <is>
          <t>Plastic</t>
        </is>
      </c>
      <c r="J4" s="29" t="inlineStr">
        <is>
          <t>No</t>
        </is>
      </c>
      <c r="K4" s="29" t="inlineStr">
        <is>
          <t>235–265°C</t>
        </is>
      </c>
      <c r="L4" s="29" t="inlineStr">
        <is>
          <t>90–110°C</t>
        </is>
      </c>
      <c r="M4" s="29" t="inlineStr">
        <is>
          <t>65°C / 8h</t>
        </is>
      </c>
      <c r="N4" s="29" t="inlineStr">
        <is>
          <t>✓</t>
        </is>
      </c>
      <c r="O4" s="29" t="inlineStr">
        <is>
          <t>✗</t>
        </is>
      </c>
      <c r="P4" s="29" t="inlineStr">
        <is>
          <t>✓</t>
        </is>
      </c>
      <c r="Q4" s="29" t="inlineStr">
        <is>
          <t>✓</t>
        </is>
      </c>
      <c r="R4" s="29" t="inlineStr">
        <is>
          <t>A</t>
        </is>
      </c>
      <c r="S4" s="26" t="inlineStr">
        <is>
          <t>PRO Series ABS; enclosure required; consistent quality</t>
        </is>
      </c>
      <c r="T4" s="26" t="inlineStr">
        <is>
          <t>Enclosure required; AMS Lite ✗</t>
        </is>
      </c>
    </row>
    <row r="5" ht="20" customHeight="1">
      <c r="A5" s="23" t="inlineStr">
        <is>
          <t>ABS</t>
        </is>
      </c>
      <c r="B5" s="23" t="inlineStr">
        <is>
          <t>MH-PRO-ABS-RD</t>
        </is>
      </c>
      <c r="C5" s="23" t="inlineStr">
        <is>
          <t>PRO Series ABS</t>
        </is>
      </c>
      <c r="D5" s="23" t="inlineStr">
        <is>
          <t>Red</t>
        </is>
      </c>
      <c r="E5" s="30" t="inlineStr"/>
      <c r="F5" s="31" t="inlineStr">
        <is>
          <t>#CC0000</t>
        </is>
      </c>
      <c r="G5" s="16" t="inlineStr">
        <is>
          <t>1.75mm</t>
        </is>
      </c>
      <c r="H5" s="16" t="inlineStr">
        <is>
          <t>±0.03mm</t>
        </is>
      </c>
      <c r="I5" s="16" t="inlineStr">
        <is>
          <t>Plastic</t>
        </is>
      </c>
      <c r="J5" s="16" t="inlineStr">
        <is>
          <t>No</t>
        </is>
      </c>
      <c r="K5" s="16" t="inlineStr">
        <is>
          <t>235–265°C</t>
        </is>
      </c>
      <c r="L5" s="16" t="inlineStr">
        <is>
          <t>90–110°C</t>
        </is>
      </c>
      <c r="M5" s="16" t="inlineStr">
        <is>
          <t>65°C / 8h</t>
        </is>
      </c>
      <c r="N5" s="16" t="inlineStr">
        <is>
          <t>✓</t>
        </is>
      </c>
      <c r="O5" s="16" t="inlineStr">
        <is>
          <t>✗</t>
        </is>
      </c>
      <c r="P5" s="16" t="inlineStr">
        <is>
          <t>✓</t>
        </is>
      </c>
      <c r="Q5" s="16" t="inlineStr">
        <is>
          <t>✓</t>
        </is>
      </c>
      <c r="R5" s="16" t="inlineStr">
        <is>
          <t>A</t>
        </is>
      </c>
      <c r="S5" s="23" t="inlineStr">
        <is>
          <t>PRO Series ABS; enclosure required; consistent quality</t>
        </is>
      </c>
      <c r="T5" s="23" t="inlineStr">
        <is>
          <t>Enclosure required; AMS Lite ✗</t>
        </is>
      </c>
    </row>
    <row r="6" ht="20" customHeight="1">
      <c r="A6" s="26" t="inlineStr">
        <is>
          <t>ABS</t>
        </is>
      </c>
      <c r="B6" s="26" t="inlineStr">
        <is>
          <t>MH-PRO-ABS-WH</t>
        </is>
      </c>
      <c r="C6" s="26" t="inlineStr">
        <is>
          <t>PRO Series ABS</t>
        </is>
      </c>
      <c r="D6" s="26" t="inlineStr">
        <is>
          <t>White</t>
        </is>
      </c>
      <c r="E6" s="32" t="inlineStr"/>
      <c r="F6" s="33" t="inlineStr">
        <is>
          <t>#F5F5F5</t>
        </is>
      </c>
      <c r="G6" s="29" t="inlineStr">
        <is>
          <t>1.75mm</t>
        </is>
      </c>
      <c r="H6" s="29" t="inlineStr">
        <is>
          <t>±0.03mm</t>
        </is>
      </c>
      <c r="I6" s="29" t="inlineStr">
        <is>
          <t>Plastic</t>
        </is>
      </c>
      <c r="J6" s="29" t="inlineStr">
        <is>
          <t>No</t>
        </is>
      </c>
      <c r="K6" s="29" t="inlineStr">
        <is>
          <t>235–265°C</t>
        </is>
      </c>
      <c r="L6" s="29" t="inlineStr">
        <is>
          <t>90–110°C</t>
        </is>
      </c>
      <c r="M6" s="29" t="inlineStr">
        <is>
          <t>65°C / 8h</t>
        </is>
      </c>
      <c r="N6" s="29" t="inlineStr">
        <is>
          <t>✓</t>
        </is>
      </c>
      <c r="O6" s="29" t="inlineStr">
        <is>
          <t>✗</t>
        </is>
      </c>
      <c r="P6" s="29" t="inlineStr">
        <is>
          <t>✓</t>
        </is>
      </c>
      <c r="Q6" s="29" t="inlineStr">
        <is>
          <t>✓</t>
        </is>
      </c>
      <c r="R6" s="29" t="inlineStr">
        <is>
          <t>A</t>
        </is>
      </c>
      <c r="S6" s="26" t="inlineStr">
        <is>
          <t>PRO Series ABS; enclosure required; consistent quality</t>
        </is>
      </c>
      <c r="T6" s="26" t="inlineStr">
        <is>
          <t>Enclosure required; AMS Lite ✗</t>
        </is>
      </c>
    </row>
    <row r="7" ht="20" customHeight="1">
      <c r="A7" s="23" t="inlineStr">
        <is>
          <t>PA</t>
        </is>
      </c>
      <c r="B7" s="23" t="inlineStr">
        <is>
          <t>MH-NYLON-01</t>
        </is>
      </c>
      <c r="C7" s="23" t="inlineStr">
        <is>
          <t>MatterHackers PRO Series Nylon</t>
        </is>
      </c>
      <c r="D7" s="23" t="inlineStr">
        <is>
          <t>Black</t>
        </is>
      </c>
      <c r="E7" s="34" t="inlineStr"/>
      <c r="F7" s="35" t="inlineStr">
        <is>
          <t>#0D0D0D</t>
        </is>
      </c>
      <c r="G7" s="16" t="inlineStr">
        <is>
          <t>1.75mm</t>
        </is>
      </c>
      <c r="H7" s="16" t="inlineStr">
        <is>
          <t>±0.02mm</t>
        </is>
      </c>
      <c r="I7" s="16" t="inlineStr">
        <is>
          <t>Plastic</t>
        </is>
      </c>
      <c r="J7" s="16" t="inlineStr">
        <is>
          <t>No</t>
        </is>
      </c>
      <c r="K7" s="16" t="inlineStr">
        <is>
          <t>250–270°C</t>
        </is>
      </c>
      <c r="L7" s="16" t="inlineStr">
        <is>
          <t>70–90°C</t>
        </is>
      </c>
      <c r="M7" s="16" t="inlineStr">
        <is>
          <t>80°C / 12h</t>
        </is>
      </c>
      <c r="N7" s="16" t="inlineStr">
        <is>
          <t>✓</t>
        </is>
      </c>
      <c r="O7" s="16" t="inlineStr">
        <is>
          <t>✗</t>
        </is>
      </c>
      <c r="P7" s="16" t="inlineStr">
        <is>
          <t>✓</t>
        </is>
      </c>
      <c r="Q7" s="16" t="inlineStr">
        <is>
          <t>✓</t>
        </is>
      </c>
      <c r="R7" s="16" t="inlineStr">
        <is>
          <t>C</t>
        </is>
      </c>
      <c r="S7" s="23" t="inlineStr">
        <is>
          <t>Line existence confirmed (matterhackers.com/store/c/pro-series-filament); very moisture-sensitive, specs estimated</t>
        </is>
      </c>
      <c r="T7" s="23" t="inlineStr">
        <is>
          <t>Deep-dive follow-up 2026-07-19; NEW LINE — not previously in catalog</t>
        </is>
      </c>
    </row>
    <row r="8" ht="20" customHeight="1">
      <c r="A8" s="26" t="inlineStr">
        <is>
          <t>PETG</t>
        </is>
      </c>
      <c r="B8" s="26" t="inlineStr">
        <is>
          <t>MH-PRO-PETG-BK</t>
        </is>
      </c>
      <c r="C8" s="26" t="inlineStr">
        <is>
          <t>PRO Series PETG</t>
        </is>
      </c>
      <c r="D8" s="26" t="inlineStr">
        <is>
          <t>Black</t>
        </is>
      </c>
      <c r="E8" s="24" t="inlineStr"/>
      <c r="F8" s="25" t="inlineStr">
        <is>
          <t>#111111</t>
        </is>
      </c>
      <c r="G8" s="29" t="inlineStr">
        <is>
          <t>1.75mm</t>
        </is>
      </c>
      <c r="H8" s="29" t="inlineStr">
        <is>
          <t>±0.03mm</t>
        </is>
      </c>
      <c r="I8" s="29" t="inlineStr">
        <is>
          <t>Plastic</t>
        </is>
      </c>
      <c r="J8" s="29" t="inlineStr">
        <is>
          <t>No</t>
        </is>
      </c>
      <c r="K8" s="29" t="inlineStr">
        <is>
          <t>225–255°C</t>
        </is>
      </c>
      <c r="L8" s="29" t="inlineStr">
        <is>
          <t>70–85°C</t>
        </is>
      </c>
      <c r="M8" s="29" t="inlineStr">
        <is>
          <t>65°C / 6h</t>
        </is>
      </c>
      <c r="N8" s="29" t="inlineStr">
        <is>
          <t>✓</t>
        </is>
      </c>
      <c r="O8" s="29" t="inlineStr">
        <is>
          <t>✓</t>
        </is>
      </c>
      <c r="P8" s="29" t="inlineStr">
        <is>
          <t>✓</t>
        </is>
      </c>
      <c r="Q8" s="29" t="inlineStr">
        <is>
          <t>✓</t>
        </is>
      </c>
      <c r="R8" s="29" t="inlineStr">
        <is>
          <t>A</t>
        </is>
      </c>
      <c r="S8" s="26" t="inlineStr">
        <is>
          <t>PRO Series PETG; consistent quality; good moisture handling</t>
        </is>
      </c>
      <c r="T8" s="26" t="inlineStr"/>
    </row>
    <row r="9" ht="20" customHeight="1">
      <c r="A9" s="23" t="inlineStr">
        <is>
          <t>PETG</t>
        </is>
      </c>
      <c r="B9" s="23" t="inlineStr">
        <is>
          <t>MH-PRO-PETG-BL</t>
        </is>
      </c>
      <c r="C9" s="23" t="inlineStr">
        <is>
          <t>PRO Series PETG</t>
        </is>
      </c>
      <c r="D9" s="23" t="inlineStr">
        <is>
          <t>Blue</t>
        </is>
      </c>
      <c r="E9" s="36" t="inlineStr"/>
      <c r="F9" s="37" t="inlineStr">
        <is>
          <t>#0057A8</t>
        </is>
      </c>
      <c r="G9" s="16" t="inlineStr">
        <is>
          <t>1.75mm</t>
        </is>
      </c>
      <c r="H9" s="16" t="inlineStr">
        <is>
          <t>±0.03mm</t>
        </is>
      </c>
      <c r="I9" s="16" t="inlineStr">
        <is>
          <t>Plastic</t>
        </is>
      </c>
      <c r="J9" s="16" t="inlineStr">
        <is>
          <t>No</t>
        </is>
      </c>
      <c r="K9" s="16" t="inlineStr">
        <is>
          <t>225–255°C</t>
        </is>
      </c>
      <c r="L9" s="16" t="inlineStr">
        <is>
          <t>70–85°C</t>
        </is>
      </c>
      <c r="M9" s="16" t="inlineStr">
        <is>
          <t>65°C / 6h</t>
        </is>
      </c>
      <c r="N9" s="16" t="inlineStr">
        <is>
          <t>✓</t>
        </is>
      </c>
      <c r="O9" s="16" t="inlineStr">
        <is>
          <t>✓</t>
        </is>
      </c>
      <c r="P9" s="16" t="inlineStr">
        <is>
          <t>✓</t>
        </is>
      </c>
      <c r="Q9" s="16" t="inlineStr">
        <is>
          <t>✓</t>
        </is>
      </c>
      <c r="R9" s="16" t="inlineStr">
        <is>
          <t>A</t>
        </is>
      </c>
      <c r="S9" s="23" t="inlineStr">
        <is>
          <t>PRO Series PETG; consistent quality; good moisture handling</t>
        </is>
      </c>
      <c r="T9" s="23" t="inlineStr"/>
    </row>
    <row r="10" ht="20" customHeight="1">
      <c r="A10" s="26" t="inlineStr">
        <is>
          <t>PETG</t>
        </is>
      </c>
      <c r="B10" s="26" t="inlineStr">
        <is>
          <t>MH-PRO-PETG-GY</t>
        </is>
      </c>
      <c r="C10" s="26" t="inlineStr">
        <is>
          <t>PRO Series PETG</t>
        </is>
      </c>
      <c r="D10" s="26" t="inlineStr">
        <is>
          <t>Gray</t>
        </is>
      </c>
      <c r="E10" s="27" t="inlineStr"/>
      <c r="F10" s="28" t="inlineStr">
        <is>
          <t>#808080</t>
        </is>
      </c>
      <c r="G10" s="29" t="inlineStr">
        <is>
          <t>1.75mm</t>
        </is>
      </c>
      <c r="H10" s="29" t="inlineStr">
        <is>
          <t>±0.03mm</t>
        </is>
      </c>
      <c r="I10" s="29" t="inlineStr">
        <is>
          <t>Plastic</t>
        </is>
      </c>
      <c r="J10" s="29" t="inlineStr">
        <is>
          <t>No</t>
        </is>
      </c>
      <c r="K10" s="29" t="inlineStr">
        <is>
          <t>225–255°C</t>
        </is>
      </c>
      <c r="L10" s="29" t="inlineStr">
        <is>
          <t>70–85°C</t>
        </is>
      </c>
      <c r="M10" s="29" t="inlineStr">
        <is>
          <t>65°C / 6h</t>
        </is>
      </c>
      <c r="N10" s="29" t="inlineStr">
        <is>
          <t>✓</t>
        </is>
      </c>
      <c r="O10" s="29" t="inlineStr">
        <is>
          <t>✓</t>
        </is>
      </c>
      <c r="P10" s="29" t="inlineStr">
        <is>
          <t>✓</t>
        </is>
      </c>
      <c r="Q10" s="29" t="inlineStr">
        <is>
          <t>✓</t>
        </is>
      </c>
      <c r="R10" s="29" t="inlineStr">
        <is>
          <t>A</t>
        </is>
      </c>
      <c r="S10" s="26" t="inlineStr">
        <is>
          <t>PRO Series PETG; consistent quality; good moisture handling</t>
        </is>
      </c>
      <c r="T10" s="26" t="inlineStr"/>
    </row>
    <row r="11" ht="20" customHeight="1">
      <c r="A11" s="23" t="inlineStr">
        <is>
          <t>PETG</t>
        </is>
      </c>
      <c r="B11" s="23" t="inlineStr">
        <is>
          <t>MH-PRO-PETG-RD</t>
        </is>
      </c>
      <c r="C11" s="23" t="inlineStr">
        <is>
          <t>PRO Series PETG</t>
        </is>
      </c>
      <c r="D11" s="23" t="inlineStr">
        <is>
          <t>Red</t>
        </is>
      </c>
      <c r="E11" s="30" t="inlineStr"/>
      <c r="F11" s="31" t="inlineStr">
        <is>
          <t>#CC0000</t>
        </is>
      </c>
      <c r="G11" s="16" t="inlineStr">
        <is>
          <t>1.75mm</t>
        </is>
      </c>
      <c r="H11" s="16" t="inlineStr">
        <is>
          <t>±0.03mm</t>
        </is>
      </c>
      <c r="I11" s="16" t="inlineStr">
        <is>
          <t>Plastic</t>
        </is>
      </c>
      <c r="J11" s="16" t="inlineStr">
        <is>
          <t>No</t>
        </is>
      </c>
      <c r="K11" s="16" t="inlineStr">
        <is>
          <t>225–255°C</t>
        </is>
      </c>
      <c r="L11" s="16" t="inlineStr">
        <is>
          <t>70–85°C</t>
        </is>
      </c>
      <c r="M11" s="16" t="inlineStr">
        <is>
          <t>65°C / 6h</t>
        </is>
      </c>
      <c r="N11" s="16" t="inlineStr">
        <is>
          <t>✓</t>
        </is>
      </c>
      <c r="O11" s="16" t="inlineStr">
        <is>
          <t>✓</t>
        </is>
      </c>
      <c r="P11" s="16" t="inlineStr">
        <is>
          <t>✓</t>
        </is>
      </c>
      <c r="Q11" s="16" t="inlineStr">
        <is>
          <t>✓</t>
        </is>
      </c>
      <c r="R11" s="16" t="inlineStr">
        <is>
          <t>A</t>
        </is>
      </c>
      <c r="S11" s="23" t="inlineStr">
        <is>
          <t>PRO Series PETG; consistent quality; good moisture handling</t>
        </is>
      </c>
      <c r="T11" s="23" t="inlineStr"/>
    </row>
    <row r="12" ht="20" customHeight="1">
      <c r="A12" s="26" t="inlineStr">
        <is>
          <t>PETG</t>
        </is>
      </c>
      <c r="B12" s="26" t="inlineStr">
        <is>
          <t>MH-PRO-PETG-TR</t>
        </is>
      </c>
      <c r="C12" s="26" t="inlineStr">
        <is>
          <t>PRO Series PETG</t>
        </is>
      </c>
      <c r="D12" s="26" t="inlineStr">
        <is>
          <t>Transparent</t>
        </is>
      </c>
      <c r="E12" s="38" t="inlineStr"/>
      <c r="F12" s="39" t="inlineStr">
        <is>
          <t>#D8EEF8</t>
        </is>
      </c>
      <c r="G12" s="29" t="inlineStr">
        <is>
          <t>1.75mm</t>
        </is>
      </c>
      <c r="H12" s="29" t="inlineStr">
        <is>
          <t>±0.03mm</t>
        </is>
      </c>
      <c r="I12" s="29" t="inlineStr">
        <is>
          <t>Plastic</t>
        </is>
      </c>
      <c r="J12" s="29" t="inlineStr">
        <is>
          <t>No</t>
        </is>
      </c>
      <c r="K12" s="29" t="inlineStr">
        <is>
          <t>225–255°C</t>
        </is>
      </c>
      <c r="L12" s="29" t="inlineStr">
        <is>
          <t>70–85°C</t>
        </is>
      </c>
      <c r="M12" s="29" t="inlineStr">
        <is>
          <t>65°C / 6h</t>
        </is>
      </c>
      <c r="N12" s="29" t="inlineStr">
        <is>
          <t>✓</t>
        </is>
      </c>
      <c r="O12" s="29" t="inlineStr">
        <is>
          <t>✓</t>
        </is>
      </c>
      <c r="P12" s="29" t="inlineStr">
        <is>
          <t>✓</t>
        </is>
      </c>
      <c r="Q12" s="29" t="inlineStr">
        <is>
          <t>✓</t>
        </is>
      </c>
      <c r="R12" s="29" t="inlineStr">
        <is>
          <t>A</t>
        </is>
      </c>
      <c r="S12" s="26" t="inlineStr">
        <is>
          <t>PRO Series PETG; consistent quality; good moisture handling</t>
        </is>
      </c>
      <c r="T12" s="26" t="inlineStr"/>
    </row>
    <row r="13" ht="20" customHeight="1">
      <c r="A13" s="23" t="inlineStr">
        <is>
          <t>PETG</t>
        </is>
      </c>
      <c r="B13" s="23" t="inlineStr">
        <is>
          <t>MH-PRO-PETG-WH</t>
        </is>
      </c>
      <c r="C13" s="23" t="inlineStr">
        <is>
          <t>PRO Series PETG</t>
        </is>
      </c>
      <c r="D13" s="23" t="inlineStr">
        <is>
          <t>White</t>
        </is>
      </c>
      <c r="E13" s="32" t="inlineStr"/>
      <c r="F13" s="33" t="inlineStr">
        <is>
          <t>#F5F5F5</t>
        </is>
      </c>
      <c r="G13" s="16" t="inlineStr">
        <is>
          <t>1.75mm</t>
        </is>
      </c>
      <c r="H13" s="16" t="inlineStr">
        <is>
          <t>±0.03mm</t>
        </is>
      </c>
      <c r="I13" s="16" t="inlineStr">
        <is>
          <t>Plastic</t>
        </is>
      </c>
      <c r="J13" s="16" t="inlineStr">
        <is>
          <t>No</t>
        </is>
      </c>
      <c r="K13" s="16" t="inlineStr">
        <is>
          <t>225–255°C</t>
        </is>
      </c>
      <c r="L13" s="16" t="inlineStr">
        <is>
          <t>70–85°C</t>
        </is>
      </c>
      <c r="M13" s="16" t="inlineStr">
        <is>
          <t>65°C / 6h</t>
        </is>
      </c>
      <c r="N13" s="16" t="inlineStr">
        <is>
          <t>✓</t>
        </is>
      </c>
      <c r="O13" s="16" t="inlineStr">
        <is>
          <t>✓</t>
        </is>
      </c>
      <c r="P13" s="16" t="inlineStr">
        <is>
          <t>✓</t>
        </is>
      </c>
      <c r="Q13" s="16" t="inlineStr">
        <is>
          <t>✓</t>
        </is>
      </c>
      <c r="R13" s="16" t="inlineStr">
        <is>
          <t>A</t>
        </is>
      </c>
      <c r="S13" s="23" t="inlineStr">
        <is>
          <t>PRO Series PETG; consistent quality; good moisture handling</t>
        </is>
      </c>
      <c r="T13" s="23" t="inlineStr"/>
    </row>
    <row r="14" ht="20" customHeight="1">
      <c r="A14" s="26" t="inlineStr">
        <is>
          <t>PLA (Build Series)</t>
        </is>
      </c>
      <c r="B14" s="26" t="inlineStr">
        <is>
          <t>MH-BLD-PLA-BK</t>
        </is>
      </c>
      <c r="C14" s="26" t="inlineStr">
        <is>
          <t>Build Series PLA</t>
        </is>
      </c>
      <c r="D14" s="26" t="inlineStr">
        <is>
          <t>Black</t>
        </is>
      </c>
      <c r="E14" s="24" t="inlineStr"/>
      <c r="F14" s="25" t="inlineStr">
        <is>
          <t>#111111</t>
        </is>
      </c>
      <c r="G14" s="29" t="inlineStr">
        <is>
          <t>1.75mm</t>
        </is>
      </c>
      <c r="H14" s="29" t="inlineStr">
        <is>
          <t>±0.03mm</t>
        </is>
      </c>
      <c r="I14" s="29" t="inlineStr">
        <is>
          <t>Plastic</t>
        </is>
      </c>
      <c r="J14" s="29" t="inlineStr">
        <is>
          <t>No</t>
        </is>
      </c>
      <c r="K14" s="29" t="inlineStr">
        <is>
          <t>190–220°C</t>
        </is>
      </c>
      <c r="L14" s="29" t="inlineStr">
        <is>
          <t>45–60°C</t>
        </is>
      </c>
      <c r="M14" s="29" t="inlineStr">
        <is>
          <t>45°C / 6h</t>
        </is>
      </c>
      <c r="N14" s="29" t="inlineStr">
        <is>
          <t>✓</t>
        </is>
      </c>
      <c r="O14" s="29" t="inlineStr">
        <is>
          <t>✓</t>
        </is>
      </c>
      <c r="P14" s="29" t="inlineStr">
        <is>
          <t>✓</t>
        </is>
      </c>
      <c r="Q14" s="29" t="inlineStr">
        <is>
          <t>✓</t>
        </is>
      </c>
      <c r="R14" s="29" t="inlineStr">
        <is>
          <t>B</t>
        </is>
      </c>
      <c r="S14" s="26" t="inlineStr">
        <is>
          <t>Build Series — budget tier; wider tolerances than PRO; entry-level option</t>
        </is>
      </c>
      <c r="T14" s="26" t="inlineStr">
        <is>
          <t>Build Series has wider tolerances than PRO Series</t>
        </is>
      </c>
    </row>
    <row r="15" ht="20" customHeight="1">
      <c r="A15" s="23" t="inlineStr">
        <is>
          <t>PLA (Build Series)</t>
        </is>
      </c>
      <c r="B15" s="23" t="inlineStr">
        <is>
          <t>MH-BLD-PLA-BL</t>
        </is>
      </c>
      <c r="C15" s="23" t="inlineStr">
        <is>
          <t>Build Series PLA</t>
        </is>
      </c>
      <c r="D15" s="23" t="inlineStr">
        <is>
          <t>Blue</t>
        </is>
      </c>
      <c r="E15" s="40" t="inlineStr"/>
      <c r="F15" s="41" t="inlineStr">
        <is>
          <t>#2060C8</t>
        </is>
      </c>
      <c r="G15" s="16" t="inlineStr">
        <is>
          <t>1.75mm</t>
        </is>
      </c>
      <c r="H15" s="16" t="inlineStr">
        <is>
          <t>±0.03mm</t>
        </is>
      </c>
      <c r="I15" s="16" t="inlineStr">
        <is>
          <t>Plastic</t>
        </is>
      </c>
      <c r="J15" s="16" t="inlineStr">
        <is>
          <t>No</t>
        </is>
      </c>
      <c r="K15" s="16" t="inlineStr">
        <is>
          <t>190–220°C</t>
        </is>
      </c>
      <c r="L15" s="16" t="inlineStr">
        <is>
          <t>45–60°C</t>
        </is>
      </c>
      <c r="M15" s="16" t="inlineStr">
        <is>
          <t>45°C / 6h</t>
        </is>
      </c>
      <c r="N15" s="16" t="inlineStr">
        <is>
          <t>✓</t>
        </is>
      </c>
      <c r="O15" s="16" t="inlineStr">
        <is>
          <t>✓</t>
        </is>
      </c>
      <c r="P15" s="16" t="inlineStr">
        <is>
          <t>✓</t>
        </is>
      </c>
      <c r="Q15" s="16" t="inlineStr">
        <is>
          <t>✓</t>
        </is>
      </c>
      <c r="R15" s="16" t="inlineStr">
        <is>
          <t>B</t>
        </is>
      </c>
      <c r="S15" s="23" t="inlineStr">
        <is>
          <t>Build Series — budget tier; wider tolerances than PRO; entry-level option</t>
        </is>
      </c>
      <c r="T15" s="23" t="inlineStr">
        <is>
          <t>Build Series has wider tolerances than PRO Series</t>
        </is>
      </c>
    </row>
    <row r="16" ht="20" customHeight="1">
      <c r="A16" s="26" t="inlineStr">
        <is>
          <t>PLA (Build Series)</t>
        </is>
      </c>
      <c r="B16" s="26" t="inlineStr">
        <is>
          <t>MH-BLD-PLA-GY</t>
        </is>
      </c>
      <c r="C16" s="26" t="inlineStr">
        <is>
          <t>Build Series PLA</t>
        </is>
      </c>
      <c r="D16" s="26" t="inlineStr">
        <is>
          <t>Gray</t>
        </is>
      </c>
      <c r="E16" s="27" t="inlineStr"/>
      <c r="F16" s="28" t="inlineStr">
        <is>
          <t>#808080</t>
        </is>
      </c>
      <c r="G16" s="29" t="inlineStr">
        <is>
          <t>1.75mm</t>
        </is>
      </c>
      <c r="H16" s="29" t="inlineStr">
        <is>
          <t>±0.03mm</t>
        </is>
      </c>
      <c r="I16" s="29" t="inlineStr">
        <is>
          <t>Plastic</t>
        </is>
      </c>
      <c r="J16" s="29" t="inlineStr">
        <is>
          <t>No</t>
        </is>
      </c>
      <c r="K16" s="29" t="inlineStr">
        <is>
          <t>190–220°C</t>
        </is>
      </c>
      <c r="L16" s="29" t="inlineStr">
        <is>
          <t>45–60°C</t>
        </is>
      </c>
      <c r="M16" s="29" t="inlineStr">
        <is>
          <t>45°C / 6h</t>
        </is>
      </c>
      <c r="N16" s="29" t="inlineStr">
        <is>
          <t>✓</t>
        </is>
      </c>
      <c r="O16" s="29" t="inlineStr">
        <is>
          <t>✓</t>
        </is>
      </c>
      <c r="P16" s="29" t="inlineStr">
        <is>
          <t>✓</t>
        </is>
      </c>
      <c r="Q16" s="29" t="inlineStr">
        <is>
          <t>✓</t>
        </is>
      </c>
      <c r="R16" s="29" t="inlineStr">
        <is>
          <t>B</t>
        </is>
      </c>
      <c r="S16" s="26" t="inlineStr">
        <is>
          <t>Build Series — budget tier; wider tolerances than PRO; entry-level option</t>
        </is>
      </c>
      <c r="T16" s="26" t="inlineStr">
        <is>
          <t>Build Series has wider tolerances than PRO Series</t>
        </is>
      </c>
    </row>
    <row r="17" ht="20" customHeight="1">
      <c r="A17" s="23" t="inlineStr">
        <is>
          <t>PLA (Build Series)</t>
        </is>
      </c>
      <c r="B17" s="23" t="inlineStr">
        <is>
          <t>MH-BLD-PLA-RD</t>
        </is>
      </c>
      <c r="C17" s="23" t="inlineStr">
        <is>
          <t>Build Series PLA</t>
        </is>
      </c>
      <c r="D17" s="23" t="inlineStr">
        <is>
          <t>Red</t>
        </is>
      </c>
      <c r="E17" s="30" t="inlineStr"/>
      <c r="F17" s="31" t="inlineStr">
        <is>
          <t>#CC0000</t>
        </is>
      </c>
      <c r="G17" s="16" t="inlineStr">
        <is>
          <t>1.75mm</t>
        </is>
      </c>
      <c r="H17" s="16" t="inlineStr">
        <is>
          <t>±0.03mm</t>
        </is>
      </c>
      <c r="I17" s="16" t="inlineStr">
        <is>
          <t>Plastic</t>
        </is>
      </c>
      <c r="J17" s="16" t="inlineStr">
        <is>
          <t>No</t>
        </is>
      </c>
      <c r="K17" s="16" t="inlineStr">
        <is>
          <t>190–220°C</t>
        </is>
      </c>
      <c r="L17" s="16" t="inlineStr">
        <is>
          <t>45–60°C</t>
        </is>
      </c>
      <c r="M17" s="16" t="inlineStr">
        <is>
          <t>45°C / 6h</t>
        </is>
      </c>
      <c r="N17" s="16" t="inlineStr">
        <is>
          <t>✓</t>
        </is>
      </c>
      <c r="O17" s="16" t="inlineStr">
        <is>
          <t>✓</t>
        </is>
      </c>
      <c r="P17" s="16" t="inlineStr">
        <is>
          <t>✓</t>
        </is>
      </c>
      <c r="Q17" s="16" t="inlineStr">
        <is>
          <t>✓</t>
        </is>
      </c>
      <c r="R17" s="16" t="inlineStr">
        <is>
          <t>B</t>
        </is>
      </c>
      <c r="S17" s="23" t="inlineStr">
        <is>
          <t>Build Series — budget tier; wider tolerances than PRO; entry-level option</t>
        </is>
      </c>
      <c r="T17" s="23" t="inlineStr">
        <is>
          <t>Build Series has wider tolerances than PRO Series</t>
        </is>
      </c>
    </row>
    <row r="18" ht="20" customHeight="1">
      <c r="A18" s="26" t="inlineStr">
        <is>
          <t>PLA (Build Series)</t>
        </is>
      </c>
      <c r="B18" s="26" t="inlineStr">
        <is>
          <t>MH-BLD-PLA-WH</t>
        </is>
      </c>
      <c r="C18" s="26" t="inlineStr">
        <is>
          <t>Build Series PLA</t>
        </is>
      </c>
      <c r="D18" s="26" t="inlineStr">
        <is>
          <t>White</t>
        </is>
      </c>
      <c r="E18" s="32" t="inlineStr"/>
      <c r="F18" s="33" t="inlineStr">
        <is>
          <t>#F5F5F5</t>
        </is>
      </c>
      <c r="G18" s="29" t="inlineStr">
        <is>
          <t>1.75mm</t>
        </is>
      </c>
      <c r="H18" s="29" t="inlineStr">
        <is>
          <t>±0.03mm</t>
        </is>
      </c>
      <c r="I18" s="29" t="inlineStr">
        <is>
          <t>Plastic</t>
        </is>
      </c>
      <c r="J18" s="29" t="inlineStr">
        <is>
          <t>No</t>
        </is>
      </c>
      <c r="K18" s="29" t="inlineStr">
        <is>
          <t>190–220°C</t>
        </is>
      </c>
      <c r="L18" s="29" t="inlineStr">
        <is>
          <t>45–60°C</t>
        </is>
      </c>
      <c r="M18" s="29" t="inlineStr">
        <is>
          <t>45°C / 6h</t>
        </is>
      </c>
      <c r="N18" s="29" t="inlineStr">
        <is>
          <t>✓</t>
        </is>
      </c>
      <c r="O18" s="29" t="inlineStr">
        <is>
          <t>✓</t>
        </is>
      </c>
      <c r="P18" s="29" t="inlineStr">
        <is>
          <t>✓</t>
        </is>
      </c>
      <c r="Q18" s="29" t="inlineStr">
        <is>
          <t>✓</t>
        </is>
      </c>
      <c r="R18" s="29" t="inlineStr">
        <is>
          <t>B</t>
        </is>
      </c>
      <c r="S18" s="26" t="inlineStr">
        <is>
          <t>Build Series — budget tier; wider tolerances than PRO; entry-level option</t>
        </is>
      </c>
      <c r="T18" s="26" t="inlineStr">
        <is>
          <t>Build Series has wider tolerances than PRO Series</t>
        </is>
      </c>
    </row>
    <row r="19" ht="20" customHeight="1">
      <c r="A19" s="23" t="inlineStr">
        <is>
          <t>PLA (Build Series)</t>
        </is>
      </c>
      <c r="B19" s="23" t="inlineStr">
        <is>
          <t>MH-BLD-PLA-YL</t>
        </is>
      </c>
      <c r="C19" s="23" t="inlineStr">
        <is>
          <t>Build Series PLA</t>
        </is>
      </c>
      <c r="D19" s="23" t="inlineStr">
        <is>
          <t>Yellow</t>
        </is>
      </c>
      <c r="E19" s="42" t="inlineStr"/>
      <c r="F19" s="43" t="inlineStr">
        <is>
          <t>#F5C518</t>
        </is>
      </c>
      <c r="G19" s="16" t="inlineStr">
        <is>
          <t>1.75mm</t>
        </is>
      </c>
      <c r="H19" s="16" t="inlineStr">
        <is>
          <t>±0.03mm</t>
        </is>
      </c>
      <c r="I19" s="16" t="inlineStr">
        <is>
          <t>Plastic</t>
        </is>
      </c>
      <c r="J19" s="16" t="inlineStr">
        <is>
          <t>No</t>
        </is>
      </c>
      <c r="K19" s="16" t="inlineStr">
        <is>
          <t>190–220°C</t>
        </is>
      </c>
      <c r="L19" s="16" t="inlineStr">
        <is>
          <t>45–60°C</t>
        </is>
      </c>
      <c r="M19" s="16" t="inlineStr">
        <is>
          <t>45°C / 6h</t>
        </is>
      </c>
      <c r="N19" s="16" t="inlineStr">
        <is>
          <t>✓</t>
        </is>
      </c>
      <c r="O19" s="16" t="inlineStr">
        <is>
          <t>✓</t>
        </is>
      </c>
      <c r="P19" s="16" t="inlineStr">
        <is>
          <t>✓</t>
        </is>
      </c>
      <c r="Q19" s="16" t="inlineStr">
        <is>
          <t>✓</t>
        </is>
      </c>
      <c r="R19" s="16" t="inlineStr">
        <is>
          <t>B</t>
        </is>
      </c>
      <c r="S19" s="23" t="inlineStr">
        <is>
          <t>Build Series — budget tier; wider tolerances than PRO; entry-level option</t>
        </is>
      </c>
      <c r="T19" s="23" t="inlineStr">
        <is>
          <t>Build Series has wider tolerances than PRO Series</t>
        </is>
      </c>
    </row>
    <row r="20" ht="20" customHeight="1">
      <c r="A20" s="26" t="inlineStr">
        <is>
          <t>PLA (PRO Series)</t>
        </is>
      </c>
      <c r="B20" s="26" t="inlineStr">
        <is>
          <t>MH-PRO-PLA-BK</t>
        </is>
      </c>
      <c r="C20" s="26" t="inlineStr">
        <is>
          <t>PRO Series PLA</t>
        </is>
      </c>
      <c r="D20" s="26" t="inlineStr">
        <is>
          <t>Black</t>
        </is>
      </c>
      <c r="E20" s="24" t="inlineStr"/>
      <c r="F20" s="25" t="inlineStr">
        <is>
          <t>#111111</t>
        </is>
      </c>
      <c r="G20" s="29" t="inlineStr">
        <is>
          <t>1.75mm</t>
        </is>
      </c>
      <c r="H20" s="29" t="inlineStr">
        <is>
          <t>±0.03mm</t>
        </is>
      </c>
      <c r="I20" s="29" t="inlineStr">
        <is>
          <t>Plastic</t>
        </is>
      </c>
      <c r="J20" s="29" t="inlineStr">
        <is>
          <t>No</t>
        </is>
      </c>
      <c r="K20" s="29" t="inlineStr">
        <is>
          <t>195–230°C</t>
        </is>
      </c>
      <c r="L20" s="29" t="inlineStr">
        <is>
          <t>45–60°C</t>
        </is>
      </c>
      <c r="M20" s="29" t="inlineStr">
        <is>
          <t>45°C / 6h</t>
        </is>
      </c>
      <c r="N20" s="29" t="inlineStr">
        <is>
          <t>✓</t>
        </is>
      </c>
      <c r="O20" s="29" t="inlineStr">
        <is>
          <t>✓</t>
        </is>
      </c>
      <c r="P20" s="29" t="inlineStr">
        <is>
          <t>✓</t>
        </is>
      </c>
      <c r="Q20" s="29" t="inlineStr">
        <is>
          <t>✓</t>
        </is>
      </c>
      <c r="R20" s="29" t="inlineStr">
        <is>
          <t>A</t>
        </is>
      </c>
      <c r="S20" s="26" t="inlineStr">
        <is>
          <t>PRO Series — tight QC; reliable diameter consistency; good AMS performance</t>
        </is>
      </c>
      <c r="T20" s="26" t="inlineStr"/>
    </row>
    <row r="21" ht="20" customHeight="1">
      <c r="A21" s="23" t="inlineStr">
        <is>
          <t>PLA (PRO Series)</t>
        </is>
      </c>
      <c r="B21" s="23" t="inlineStr">
        <is>
          <t>MH-PRO-PLA-BL</t>
        </is>
      </c>
      <c r="C21" s="23" t="inlineStr">
        <is>
          <t>PRO Series PLA</t>
        </is>
      </c>
      <c r="D21" s="23" t="inlineStr">
        <is>
          <t>Blue</t>
        </is>
      </c>
      <c r="E21" s="36" t="inlineStr"/>
      <c r="F21" s="37" t="inlineStr">
        <is>
          <t>#0057A8</t>
        </is>
      </c>
      <c r="G21" s="16" t="inlineStr">
        <is>
          <t>1.75mm</t>
        </is>
      </c>
      <c r="H21" s="16" t="inlineStr">
        <is>
          <t>±0.03mm</t>
        </is>
      </c>
      <c r="I21" s="16" t="inlineStr">
        <is>
          <t>Plastic</t>
        </is>
      </c>
      <c r="J21" s="16" t="inlineStr">
        <is>
          <t>No</t>
        </is>
      </c>
      <c r="K21" s="16" t="inlineStr">
        <is>
          <t>195–230°C</t>
        </is>
      </c>
      <c r="L21" s="16" t="inlineStr">
        <is>
          <t>45–60°C</t>
        </is>
      </c>
      <c r="M21" s="16" t="inlineStr">
        <is>
          <t>45°C / 6h</t>
        </is>
      </c>
      <c r="N21" s="16" t="inlineStr">
        <is>
          <t>✓</t>
        </is>
      </c>
      <c r="O21" s="16" t="inlineStr">
        <is>
          <t>✓</t>
        </is>
      </c>
      <c r="P21" s="16" t="inlineStr">
        <is>
          <t>✓</t>
        </is>
      </c>
      <c r="Q21" s="16" t="inlineStr">
        <is>
          <t>✓</t>
        </is>
      </c>
      <c r="R21" s="16" t="inlineStr">
        <is>
          <t>A</t>
        </is>
      </c>
      <c r="S21" s="23" t="inlineStr">
        <is>
          <t>PRO Series — tight QC; reliable diameter consistency; good AMS performance</t>
        </is>
      </c>
      <c r="T21" s="23" t="inlineStr"/>
    </row>
    <row r="22" ht="20" customHeight="1">
      <c r="A22" s="26" t="inlineStr">
        <is>
          <t>PLA (PRO Series)</t>
        </is>
      </c>
      <c r="B22" s="26" t="inlineStr">
        <is>
          <t>MH-PRO-PLA-BR</t>
        </is>
      </c>
      <c r="C22" s="26" t="inlineStr">
        <is>
          <t>PRO Series PLA</t>
        </is>
      </c>
      <c r="D22" s="26" t="inlineStr">
        <is>
          <t>Brown</t>
        </is>
      </c>
      <c r="E22" s="44" t="inlineStr"/>
      <c r="F22" s="45" t="inlineStr">
        <is>
          <t>#8B4513</t>
        </is>
      </c>
      <c r="G22" s="29" t="inlineStr">
        <is>
          <t>1.75mm</t>
        </is>
      </c>
      <c r="H22" s="29" t="inlineStr">
        <is>
          <t>±0.03mm</t>
        </is>
      </c>
      <c r="I22" s="29" t="inlineStr">
        <is>
          <t>Plastic</t>
        </is>
      </c>
      <c r="J22" s="29" t="inlineStr">
        <is>
          <t>No</t>
        </is>
      </c>
      <c r="K22" s="29" t="inlineStr">
        <is>
          <t>195–230°C</t>
        </is>
      </c>
      <c r="L22" s="29" t="inlineStr">
        <is>
          <t>45–60°C</t>
        </is>
      </c>
      <c r="M22" s="29" t="inlineStr">
        <is>
          <t>45°C / 6h</t>
        </is>
      </c>
      <c r="N22" s="29" t="inlineStr">
        <is>
          <t>✓</t>
        </is>
      </c>
      <c r="O22" s="29" t="inlineStr">
        <is>
          <t>✓</t>
        </is>
      </c>
      <c r="P22" s="29" t="inlineStr">
        <is>
          <t>✓</t>
        </is>
      </c>
      <c r="Q22" s="29" t="inlineStr">
        <is>
          <t>✓</t>
        </is>
      </c>
      <c r="R22" s="29" t="inlineStr">
        <is>
          <t>A</t>
        </is>
      </c>
      <c r="S22" s="26" t="inlineStr">
        <is>
          <t>PRO Series — tight QC; reliable diameter consistency; good AMS performance</t>
        </is>
      </c>
      <c r="T22" s="26" t="inlineStr"/>
    </row>
    <row r="23" ht="20" customHeight="1">
      <c r="A23" s="23" t="inlineStr">
        <is>
          <t>PLA (PRO Series)</t>
        </is>
      </c>
      <c r="B23" s="23" t="inlineStr">
        <is>
          <t>MH-PRO-PLA-GY</t>
        </is>
      </c>
      <c r="C23" s="23" t="inlineStr">
        <is>
          <t>PRO Series PLA</t>
        </is>
      </c>
      <c r="D23" s="23" t="inlineStr">
        <is>
          <t>Gray</t>
        </is>
      </c>
      <c r="E23" s="27" t="inlineStr"/>
      <c r="F23" s="28" t="inlineStr">
        <is>
          <t>#808080</t>
        </is>
      </c>
      <c r="G23" s="16" t="inlineStr">
        <is>
          <t>1.75mm</t>
        </is>
      </c>
      <c r="H23" s="16" t="inlineStr">
        <is>
          <t>±0.03mm</t>
        </is>
      </c>
      <c r="I23" s="16" t="inlineStr">
        <is>
          <t>Plastic</t>
        </is>
      </c>
      <c r="J23" s="16" t="inlineStr">
        <is>
          <t>No</t>
        </is>
      </c>
      <c r="K23" s="16" t="inlineStr">
        <is>
          <t>195–230°C</t>
        </is>
      </c>
      <c r="L23" s="16" t="inlineStr">
        <is>
          <t>45–60°C</t>
        </is>
      </c>
      <c r="M23" s="16" t="inlineStr">
        <is>
          <t>45°C / 6h</t>
        </is>
      </c>
      <c r="N23" s="16" t="inlineStr">
        <is>
          <t>✓</t>
        </is>
      </c>
      <c r="O23" s="16" t="inlineStr">
        <is>
          <t>✓</t>
        </is>
      </c>
      <c r="P23" s="16" t="inlineStr">
        <is>
          <t>✓</t>
        </is>
      </c>
      <c r="Q23" s="16" t="inlineStr">
        <is>
          <t>✓</t>
        </is>
      </c>
      <c r="R23" s="16" t="inlineStr">
        <is>
          <t>A</t>
        </is>
      </c>
      <c r="S23" s="23" t="inlineStr">
        <is>
          <t>PRO Series — tight QC; reliable diameter consistency; good AMS performance</t>
        </is>
      </c>
      <c r="T23" s="23" t="inlineStr"/>
    </row>
    <row r="24" ht="20" customHeight="1">
      <c r="A24" s="26" t="inlineStr">
        <is>
          <t>PLA (PRO Series)</t>
        </is>
      </c>
      <c r="B24" s="26" t="inlineStr">
        <is>
          <t>MH-PRO-PLA-GN</t>
        </is>
      </c>
      <c r="C24" s="26" t="inlineStr">
        <is>
          <t>PRO Series PLA</t>
        </is>
      </c>
      <c r="D24" s="26" t="inlineStr">
        <is>
          <t>Green</t>
        </is>
      </c>
      <c r="E24" s="46" t="inlineStr"/>
      <c r="F24" s="47" t="inlineStr">
        <is>
          <t>#2E8B57</t>
        </is>
      </c>
      <c r="G24" s="29" t="inlineStr">
        <is>
          <t>1.75mm</t>
        </is>
      </c>
      <c r="H24" s="29" t="inlineStr">
        <is>
          <t>±0.03mm</t>
        </is>
      </c>
      <c r="I24" s="29" t="inlineStr">
        <is>
          <t>Plastic</t>
        </is>
      </c>
      <c r="J24" s="29" t="inlineStr">
        <is>
          <t>No</t>
        </is>
      </c>
      <c r="K24" s="29" t="inlineStr">
        <is>
          <t>195–230°C</t>
        </is>
      </c>
      <c r="L24" s="29" t="inlineStr">
        <is>
          <t>45–60°C</t>
        </is>
      </c>
      <c r="M24" s="29" t="inlineStr">
        <is>
          <t>45°C / 6h</t>
        </is>
      </c>
      <c r="N24" s="29" t="inlineStr">
        <is>
          <t>✓</t>
        </is>
      </c>
      <c r="O24" s="29" t="inlineStr">
        <is>
          <t>✓</t>
        </is>
      </c>
      <c r="P24" s="29" t="inlineStr">
        <is>
          <t>✓</t>
        </is>
      </c>
      <c r="Q24" s="29" t="inlineStr">
        <is>
          <t>✓</t>
        </is>
      </c>
      <c r="R24" s="29" t="inlineStr">
        <is>
          <t>A</t>
        </is>
      </c>
      <c r="S24" s="26" t="inlineStr">
        <is>
          <t>PRO Series — tight QC; reliable diameter consistency; good AMS performance</t>
        </is>
      </c>
      <c r="T24" s="26" t="inlineStr"/>
    </row>
    <row r="25" ht="20" customHeight="1">
      <c r="A25" s="23" t="inlineStr">
        <is>
          <t>PLA (PRO Series)</t>
        </is>
      </c>
      <c r="B25" s="23" t="inlineStr">
        <is>
          <t>MH-PRO-PLA-NVY</t>
        </is>
      </c>
      <c r="C25" s="23" t="inlineStr">
        <is>
          <t>PRO Series PLA</t>
        </is>
      </c>
      <c r="D25" s="23" t="inlineStr">
        <is>
          <t>Navy</t>
        </is>
      </c>
      <c r="E25" s="48" t="inlineStr"/>
      <c r="F25" s="49" t="inlineStr">
        <is>
          <t>#1A2A5A</t>
        </is>
      </c>
      <c r="G25" s="16" t="inlineStr">
        <is>
          <t>1.75mm</t>
        </is>
      </c>
      <c r="H25" s="16" t="inlineStr">
        <is>
          <t>±0.03mm</t>
        </is>
      </c>
      <c r="I25" s="16" t="inlineStr">
        <is>
          <t>Plastic</t>
        </is>
      </c>
      <c r="J25" s="16" t="inlineStr">
        <is>
          <t>No</t>
        </is>
      </c>
      <c r="K25" s="16" t="inlineStr">
        <is>
          <t>195–230°C</t>
        </is>
      </c>
      <c r="L25" s="16" t="inlineStr">
        <is>
          <t>45–60°C</t>
        </is>
      </c>
      <c r="M25" s="16" t="inlineStr">
        <is>
          <t>45°C / 6h</t>
        </is>
      </c>
      <c r="N25" s="16" t="inlineStr">
        <is>
          <t>✓</t>
        </is>
      </c>
      <c r="O25" s="16" t="inlineStr">
        <is>
          <t>✓</t>
        </is>
      </c>
      <c r="P25" s="16" t="inlineStr">
        <is>
          <t>✓</t>
        </is>
      </c>
      <c r="Q25" s="16" t="inlineStr">
        <is>
          <t>✓</t>
        </is>
      </c>
      <c r="R25" s="16" t="inlineStr">
        <is>
          <t>A</t>
        </is>
      </c>
      <c r="S25" s="23" t="inlineStr">
        <is>
          <t>PRO Series — tight QC; reliable diameter consistency; good AMS performance</t>
        </is>
      </c>
      <c r="T25" s="23" t="inlineStr"/>
    </row>
    <row r="26" ht="20" customHeight="1">
      <c r="A26" s="26" t="inlineStr">
        <is>
          <t>PLA (PRO Series)</t>
        </is>
      </c>
      <c r="B26" s="26" t="inlineStr">
        <is>
          <t>MH-PRO-PLA-OR</t>
        </is>
      </c>
      <c r="C26" s="26" t="inlineStr">
        <is>
          <t>PRO Series PLA</t>
        </is>
      </c>
      <c r="D26" s="26" t="inlineStr">
        <is>
          <t>Orange</t>
        </is>
      </c>
      <c r="E26" s="50" t="inlineStr"/>
      <c r="F26" s="51" t="inlineStr">
        <is>
          <t>#F5821F</t>
        </is>
      </c>
      <c r="G26" s="29" t="inlineStr">
        <is>
          <t>1.75mm</t>
        </is>
      </c>
      <c r="H26" s="29" t="inlineStr">
        <is>
          <t>±0.03mm</t>
        </is>
      </c>
      <c r="I26" s="29" t="inlineStr">
        <is>
          <t>Plastic</t>
        </is>
      </c>
      <c r="J26" s="29" t="inlineStr">
        <is>
          <t>No</t>
        </is>
      </c>
      <c r="K26" s="29" t="inlineStr">
        <is>
          <t>195–230°C</t>
        </is>
      </c>
      <c r="L26" s="29" t="inlineStr">
        <is>
          <t>45–60°C</t>
        </is>
      </c>
      <c r="M26" s="29" t="inlineStr">
        <is>
          <t>45°C / 6h</t>
        </is>
      </c>
      <c r="N26" s="29" t="inlineStr">
        <is>
          <t>✓</t>
        </is>
      </c>
      <c r="O26" s="29" t="inlineStr">
        <is>
          <t>✓</t>
        </is>
      </c>
      <c r="P26" s="29" t="inlineStr">
        <is>
          <t>✓</t>
        </is>
      </c>
      <c r="Q26" s="29" t="inlineStr">
        <is>
          <t>✓</t>
        </is>
      </c>
      <c r="R26" s="29" t="inlineStr">
        <is>
          <t>A</t>
        </is>
      </c>
      <c r="S26" s="26" t="inlineStr">
        <is>
          <t>PRO Series — tight QC; reliable diameter consistency; good AMS performance</t>
        </is>
      </c>
      <c r="T26" s="26" t="inlineStr"/>
    </row>
    <row r="27" ht="20" customHeight="1">
      <c r="A27" s="23" t="inlineStr">
        <is>
          <t>PLA (PRO Series)</t>
        </is>
      </c>
      <c r="B27" s="23" t="inlineStr">
        <is>
          <t>MH-PRO-PLA-PK</t>
        </is>
      </c>
      <c r="C27" s="23" t="inlineStr">
        <is>
          <t>PRO Series PLA</t>
        </is>
      </c>
      <c r="D27" s="23" t="inlineStr">
        <is>
          <t>Pink</t>
        </is>
      </c>
      <c r="E27" s="52" t="inlineStr"/>
      <c r="F27" s="53" t="inlineStr">
        <is>
          <t>#FF69B4</t>
        </is>
      </c>
      <c r="G27" s="16" t="inlineStr">
        <is>
          <t>1.75mm</t>
        </is>
      </c>
      <c r="H27" s="16" t="inlineStr">
        <is>
          <t>±0.03mm</t>
        </is>
      </c>
      <c r="I27" s="16" t="inlineStr">
        <is>
          <t>Plastic</t>
        </is>
      </c>
      <c r="J27" s="16" t="inlineStr">
        <is>
          <t>No</t>
        </is>
      </c>
      <c r="K27" s="16" t="inlineStr">
        <is>
          <t>195–230°C</t>
        </is>
      </c>
      <c r="L27" s="16" t="inlineStr">
        <is>
          <t>45–60°C</t>
        </is>
      </c>
      <c r="M27" s="16" t="inlineStr">
        <is>
          <t>45°C / 6h</t>
        </is>
      </c>
      <c r="N27" s="16" t="inlineStr">
        <is>
          <t>✓</t>
        </is>
      </c>
      <c r="O27" s="16" t="inlineStr">
        <is>
          <t>✓</t>
        </is>
      </c>
      <c r="P27" s="16" t="inlineStr">
        <is>
          <t>✓</t>
        </is>
      </c>
      <c r="Q27" s="16" t="inlineStr">
        <is>
          <t>✓</t>
        </is>
      </c>
      <c r="R27" s="16" t="inlineStr">
        <is>
          <t>A</t>
        </is>
      </c>
      <c r="S27" s="23" t="inlineStr">
        <is>
          <t>PRO Series — tight QC; reliable diameter consistency; good AMS performance</t>
        </is>
      </c>
      <c r="T27" s="23" t="inlineStr"/>
    </row>
    <row r="28" ht="20" customHeight="1">
      <c r="A28" s="26" t="inlineStr">
        <is>
          <t>PLA (PRO Series)</t>
        </is>
      </c>
      <c r="B28" s="26" t="inlineStr">
        <is>
          <t>MH-PRO-PLA-PU</t>
        </is>
      </c>
      <c r="C28" s="26" t="inlineStr">
        <is>
          <t>PRO Series PLA</t>
        </is>
      </c>
      <c r="D28" s="26" t="inlineStr">
        <is>
          <t>Purple</t>
        </is>
      </c>
      <c r="E28" s="54" t="inlineStr"/>
      <c r="F28" s="55" t="inlineStr">
        <is>
          <t>#6A0DAD</t>
        </is>
      </c>
      <c r="G28" s="29" t="inlineStr">
        <is>
          <t>1.75mm</t>
        </is>
      </c>
      <c r="H28" s="29" t="inlineStr">
        <is>
          <t>±0.03mm</t>
        </is>
      </c>
      <c r="I28" s="29" t="inlineStr">
        <is>
          <t>Plastic</t>
        </is>
      </c>
      <c r="J28" s="29" t="inlineStr">
        <is>
          <t>No</t>
        </is>
      </c>
      <c r="K28" s="29" t="inlineStr">
        <is>
          <t>195–230°C</t>
        </is>
      </c>
      <c r="L28" s="29" t="inlineStr">
        <is>
          <t>45–60°C</t>
        </is>
      </c>
      <c r="M28" s="29" t="inlineStr">
        <is>
          <t>45°C / 6h</t>
        </is>
      </c>
      <c r="N28" s="29" t="inlineStr">
        <is>
          <t>✓</t>
        </is>
      </c>
      <c r="O28" s="29" t="inlineStr">
        <is>
          <t>✓</t>
        </is>
      </c>
      <c r="P28" s="29" t="inlineStr">
        <is>
          <t>✓</t>
        </is>
      </c>
      <c r="Q28" s="29" t="inlineStr">
        <is>
          <t>✓</t>
        </is>
      </c>
      <c r="R28" s="29" t="inlineStr">
        <is>
          <t>A</t>
        </is>
      </c>
      <c r="S28" s="26" t="inlineStr">
        <is>
          <t>PRO Series — tight QC; reliable diameter consistency; good AMS performance</t>
        </is>
      </c>
      <c r="T28" s="26" t="inlineStr"/>
    </row>
    <row r="29" ht="20" customHeight="1">
      <c r="A29" s="23" t="inlineStr">
        <is>
          <t>PLA (PRO Series)</t>
        </is>
      </c>
      <c r="B29" s="23" t="inlineStr">
        <is>
          <t>MH-PRO-PLA-RD</t>
        </is>
      </c>
      <c r="C29" s="23" t="inlineStr">
        <is>
          <t>PRO Series PLA</t>
        </is>
      </c>
      <c r="D29" s="23" t="inlineStr">
        <is>
          <t>Red</t>
        </is>
      </c>
      <c r="E29" s="30" t="inlineStr"/>
      <c r="F29" s="31" t="inlineStr">
        <is>
          <t>#CC0000</t>
        </is>
      </c>
      <c r="G29" s="16" t="inlineStr">
        <is>
          <t>1.75mm</t>
        </is>
      </c>
      <c r="H29" s="16" t="inlineStr">
        <is>
          <t>±0.03mm</t>
        </is>
      </c>
      <c r="I29" s="16" t="inlineStr">
        <is>
          <t>Plastic</t>
        </is>
      </c>
      <c r="J29" s="16" t="inlineStr">
        <is>
          <t>No</t>
        </is>
      </c>
      <c r="K29" s="16" t="inlineStr">
        <is>
          <t>195–230°C</t>
        </is>
      </c>
      <c r="L29" s="16" t="inlineStr">
        <is>
          <t>45–60°C</t>
        </is>
      </c>
      <c r="M29" s="16" t="inlineStr">
        <is>
          <t>45°C / 6h</t>
        </is>
      </c>
      <c r="N29" s="16" t="inlineStr">
        <is>
          <t>✓</t>
        </is>
      </c>
      <c r="O29" s="16" t="inlineStr">
        <is>
          <t>✓</t>
        </is>
      </c>
      <c r="P29" s="16" t="inlineStr">
        <is>
          <t>✓</t>
        </is>
      </c>
      <c r="Q29" s="16" t="inlineStr">
        <is>
          <t>✓</t>
        </is>
      </c>
      <c r="R29" s="16" t="inlineStr">
        <is>
          <t>A</t>
        </is>
      </c>
      <c r="S29" s="23" t="inlineStr">
        <is>
          <t>PRO Series — tight QC; reliable diameter consistency; good AMS performance</t>
        </is>
      </c>
      <c r="T29" s="23" t="inlineStr"/>
    </row>
    <row r="30" ht="20" customHeight="1">
      <c r="A30" s="26" t="inlineStr">
        <is>
          <t>PLA (PRO Series)</t>
        </is>
      </c>
      <c r="B30" s="26" t="inlineStr">
        <is>
          <t>MH-PRO-PLA-SV</t>
        </is>
      </c>
      <c r="C30" s="26" t="inlineStr">
        <is>
          <t>PRO Series PLA</t>
        </is>
      </c>
      <c r="D30" s="26" t="inlineStr">
        <is>
          <t>Silver</t>
        </is>
      </c>
      <c r="E30" s="56" t="inlineStr"/>
      <c r="F30" s="57" t="inlineStr">
        <is>
          <t>#C0C0C0</t>
        </is>
      </c>
      <c r="G30" s="29" t="inlineStr">
        <is>
          <t>1.75mm</t>
        </is>
      </c>
      <c r="H30" s="29" t="inlineStr">
        <is>
          <t>±0.03mm</t>
        </is>
      </c>
      <c r="I30" s="29" t="inlineStr">
        <is>
          <t>Plastic</t>
        </is>
      </c>
      <c r="J30" s="29" t="inlineStr">
        <is>
          <t>No</t>
        </is>
      </c>
      <c r="K30" s="29" t="inlineStr">
        <is>
          <t>195–230°C</t>
        </is>
      </c>
      <c r="L30" s="29" t="inlineStr">
        <is>
          <t>45–60°C</t>
        </is>
      </c>
      <c r="M30" s="29" t="inlineStr">
        <is>
          <t>45°C / 6h</t>
        </is>
      </c>
      <c r="N30" s="29" t="inlineStr">
        <is>
          <t>✓</t>
        </is>
      </c>
      <c r="O30" s="29" t="inlineStr">
        <is>
          <t>✓</t>
        </is>
      </c>
      <c r="P30" s="29" t="inlineStr">
        <is>
          <t>✓</t>
        </is>
      </c>
      <c r="Q30" s="29" t="inlineStr">
        <is>
          <t>✓</t>
        </is>
      </c>
      <c r="R30" s="29" t="inlineStr">
        <is>
          <t>A</t>
        </is>
      </c>
      <c r="S30" s="26" t="inlineStr">
        <is>
          <t>PRO Series — tight QC; reliable diameter consistency; good AMS performance</t>
        </is>
      </c>
      <c r="T30" s="26" t="inlineStr"/>
    </row>
    <row r="31" ht="20" customHeight="1">
      <c r="A31" s="23" t="inlineStr">
        <is>
          <t>PLA (PRO Series)</t>
        </is>
      </c>
      <c r="B31" s="23" t="inlineStr">
        <is>
          <t>MH-PRO-PLA-TEA</t>
        </is>
      </c>
      <c r="C31" s="23" t="inlineStr">
        <is>
          <t>PRO Series PLA</t>
        </is>
      </c>
      <c r="D31" s="23" t="inlineStr">
        <is>
          <t>Teal</t>
        </is>
      </c>
      <c r="E31" s="58" t="inlineStr"/>
      <c r="F31" s="59" t="inlineStr">
        <is>
          <t>#008080</t>
        </is>
      </c>
      <c r="G31" s="16" t="inlineStr">
        <is>
          <t>1.75mm</t>
        </is>
      </c>
      <c r="H31" s="16" t="inlineStr">
        <is>
          <t>±0.03mm</t>
        </is>
      </c>
      <c r="I31" s="16" t="inlineStr">
        <is>
          <t>Plastic</t>
        </is>
      </c>
      <c r="J31" s="16" t="inlineStr">
        <is>
          <t>No</t>
        </is>
      </c>
      <c r="K31" s="16" t="inlineStr">
        <is>
          <t>195–230°C</t>
        </is>
      </c>
      <c r="L31" s="16" t="inlineStr">
        <is>
          <t>45–60°C</t>
        </is>
      </c>
      <c r="M31" s="16" t="inlineStr">
        <is>
          <t>45°C / 6h</t>
        </is>
      </c>
      <c r="N31" s="16" t="inlineStr">
        <is>
          <t>✓</t>
        </is>
      </c>
      <c r="O31" s="16" t="inlineStr">
        <is>
          <t>✓</t>
        </is>
      </c>
      <c r="P31" s="16" t="inlineStr">
        <is>
          <t>✓</t>
        </is>
      </c>
      <c r="Q31" s="16" t="inlineStr">
        <is>
          <t>✓</t>
        </is>
      </c>
      <c r="R31" s="16" t="inlineStr">
        <is>
          <t>A</t>
        </is>
      </c>
      <c r="S31" s="23" t="inlineStr">
        <is>
          <t>PRO Series — tight QC; reliable diameter consistency; good AMS performance</t>
        </is>
      </c>
      <c r="T31" s="23" t="inlineStr"/>
    </row>
    <row r="32" ht="20" customHeight="1">
      <c r="A32" s="26" t="inlineStr">
        <is>
          <t>PLA (PRO Series)</t>
        </is>
      </c>
      <c r="B32" s="26" t="inlineStr">
        <is>
          <t>MH-PRO-PLA-TR</t>
        </is>
      </c>
      <c r="C32" s="26" t="inlineStr">
        <is>
          <t>PRO Series PLA</t>
        </is>
      </c>
      <c r="D32" s="26" t="inlineStr">
        <is>
          <t>Translucent</t>
        </is>
      </c>
      <c r="E32" s="60" t="inlineStr"/>
      <c r="F32" s="61" t="inlineStr">
        <is>
          <t>#E8F4FC</t>
        </is>
      </c>
      <c r="G32" s="29" t="inlineStr">
        <is>
          <t>1.75mm</t>
        </is>
      </c>
      <c r="H32" s="29" t="inlineStr">
        <is>
          <t>±0.03mm</t>
        </is>
      </c>
      <c r="I32" s="29" t="inlineStr">
        <is>
          <t>Plastic</t>
        </is>
      </c>
      <c r="J32" s="29" t="inlineStr">
        <is>
          <t>No</t>
        </is>
      </c>
      <c r="K32" s="29" t="inlineStr">
        <is>
          <t>195–230°C</t>
        </is>
      </c>
      <c r="L32" s="29" t="inlineStr">
        <is>
          <t>45–60°C</t>
        </is>
      </c>
      <c r="M32" s="29" t="inlineStr">
        <is>
          <t>45°C / 6h</t>
        </is>
      </c>
      <c r="N32" s="29" t="inlineStr">
        <is>
          <t>✓</t>
        </is>
      </c>
      <c r="O32" s="29" t="inlineStr">
        <is>
          <t>✓</t>
        </is>
      </c>
      <c r="P32" s="29" t="inlineStr">
        <is>
          <t>✓</t>
        </is>
      </c>
      <c r="Q32" s="29" t="inlineStr">
        <is>
          <t>✓</t>
        </is>
      </c>
      <c r="R32" s="29" t="inlineStr">
        <is>
          <t>A</t>
        </is>
      </c>
      <c r="S32" s="26" t="inlineStr">
        <is>
          <t>PRO Series — tight QC; reliable diameter consistency; good AMS performance</t>
        </is>
      </c>
      <c r="T32" s="26" t="inlineStr"/>
    </row>
    <row r="33" ht="20" customHeight="1">
      <c r="A33" s="23" t="inlineStr">
        <is>
          <t>PLA (PRO Series)</t>
        </is>
      </c>
      <c r="B33" s="23" t="inlineStr">
        <is>
          <t>MH-PRO-PLA-WH</t>
        </is>
      </c>
      <c r="C33" s="23" t="inlineStr">
        <is>
          <t>PRO Series PLA</t>
        </is>
      </c>
      <c r="D33" s="23" t="inlineStr">
        <is>
          <t>White</t>
        </is>
      </c>
      <c r="E33" s="32" t="inlineStr"/>
      <c r="F33" s="33" t="inlineStr">
        <is>
          <t>#F5F5F5</t>
        </is>
      </c>
      <c r="G33" s="16" t="inlineStr">
        <is>
          <t>1.75mm</t>
        </is>
      </c>
      <c r="H33" s="16" t="inlineStr">
        <is>
          <t>±0.03mm</t>
        </is>
      </c>
      <c r="I33" s="16" t="inlineStr">
        <is>
          <t>Plastic</t>
        </is>
      </c>
      <c r="J33" s="16" t="inlineStr">
        <is>
          <t>No</t>
        </is>
      </c>
      <c r="K33" s="16" t="inlineStr">
        <is>
          <t>195–230°C</t>
        </is>
      </c>
      <c r="L33" s="16" t="inlineStr">
        <is>
          <t>45–60°C</t>
        </is>
      </c>
      <c r="M33" s="16" t="inlineStr">
        <is>
          <t>45°C / 6h</t>
        </is>
      </c>
      <c r="N33" s="16" t="inlineStr">
        <is>
          <t>✓</t>
        </is>
      </c>
      <c r="O33" s="16" t="inlineStr">
        <is>
          <t>✓</t>
        </is>
      </c>
      <c r="P33" s="16" t="inlineStr">
        <is>
          <t>✓</t>
        </is>
      </c>
      <c r="Q33" s="16" t="inlineStr">
        <is>
          <t>✓</t>
        </is>
      </c>
      <c r="R33" s="16" t="inlineStr">
        <is>
          <t>A</t>
        </is>
      </c>
      <c r="S33" s="23" t="inlineStr">
        <is>
          <t>PRO Series — tight QC; reliable diameter consistency; good AMS performance</t>
        </is>
      </c>
      <c r="T33" s="23" t="inlineStr"/>
    </row>
    <row r="34" ht="20" customHeight="1">
      <c r="A34" s="26" t="inlineStr">
        <is>
          <t>PLA (PRO Series)</t>
        </is>
      </c>
      <c r="B34" s="26" t="inlineStr">
        <is>
          <t>MH-PRO-PLA-YL</t>
        </is>
      </c>
      <c r="C34" s="26" t="inlineStr">
        <is>
          <t>PRO Series PLA</t>
        </is>
      </c>
      <c r="D34" s="26" t="inlineStr">
        <is>
          <t>Yellow</t>
        </is>
      </c>
      <c r="E34" s="42" t="inlineStr"/>
      <c r="F34" s="43" t="inlineStr">
        <is>
          <t>#F5C518</t>
        </is>
      </c>
      <c r="G34" s="29" t="inlineStr">
        <is>
          <t>1.75mm</t>
        </is>
      </c>
      <c r="H34" s="29" t="inlineStr">
        <is>
          <t>±0.03mm</t>
        </is>
      </c>
      <c r="I34" s="29" t="inlineStr">
        <is>
          <t>Plastic</t>
        </is>
      </c>
      <c r="J34" s="29" t="inlineStr">
        <is>
          <t>No</t>
        </is>
      </c>
      <c r="K34" s="29" t="inlineStr">
        <is>
          <t>195–230°C</t>
        </is>
      </c>
      <c r="L34" s="29" t="inlineStr">
        <is>
          <t>45–60°C</t>
        </is>
      </c>
      <c r="M34" s="29" t="inlineStr">
        <is>
          <t>45°C / 6h</t>
        </is>
      </c>
      <c r="N34" s="29" t="inlineStr">
        <is>
          <t>✓</t>
        </is>
      </c>
      <c r="O34" s="29" t="inlineStr">
        <is>
          <t>✓</t>
        </is>
      </c>
      <c r="P34" s="29" t="inlineStr">
        <is>
          <t>✓</t>
        </is>
      </c>
      <c r="Q34" s="29" t="inlineStr">
        <is>
          <t>✓</t>
        </is>
      </c>
      <c r="R34" s="29" t="inlineStr">
        <is>
          <t>A</t>
        </is>
      </c>
      <c r="S34" s="26" t="inlineStr">
        <is>
          <t>PRO Series — tight QC; reliable diameter consistency; good AMS performance</t>
        </is>
      </c>
      <c r="T34" s="26" t="inlineStr"/>
    </row>
    <row r="35" ht="20" customHeight="1">
      <c r="A35" s="23" t="inlineStr">
        <is>
          <t>PLA (Tough)</t>
        </is>
      </c>
      <c r="B35" s="23" t="inlineStr">
        <is>
          <t>MH-TOUGH-01</t>
        </is>
      </c>
      <c r="C35" s="23" t="inlineStr">
        <is>
          <t>MatterHackers PRO Series Tough PLA</t>
        </is>
      </c>
      <c r="D35" s="23" t="inlineStr">
        <is>
          <t>Black</t>
        </is>
      </c>
      <c r="E35" s="34" t="inlineStr"/>
      <c r="F35" s="35" t="inlineStr">
        <is>
          <t>#0D0D0D</t>
        </is>
      </c>
      <c r="G35" s="16" t="inlineStr">
        <is>
          <t>1.75mm</t>
        </is>
      </c>
      <c r="H35" s="16" t="inlineStr">
        <is>
          <t>±0.02mm</t>
        </is>
      </c>
      <c r="I35" s="16" t="inlineStr">
        <is>
          <t>Plastic</t>
        </is>
      </c>
      <c r="J35" s="16" t="inlineStr">
        <is>
          <t>No</t>
        </is>
      </c>
      <c r="K35" s="16" t="inlineStr">
        <is>
          <t>195–225°C</t>
        </is>
      </c>
      <c r="L35" s="16" t="inlineStr">
        <is>
          <t>45–60°C</t>
        </is>
      </c>
      <c r="M35" s="16" t="inlineStr">
        <is>
          <t>45°C / 4h</t>
        </is>
      </c>
      <c r="N35" s="16" t="inlineStr">
        <is>
          <t>✓</t>
        </is>
      </c>
      <c r="O35" s="16" t="inlineStr">
        <is>
          <t>✓</t>
        </is>
      </c>
      <c r="P35" s="16" t="inlineStr">
        <is>
          <t>✓</t>
        </is>
      </c>
      <c r="Q35" s="16" t="inlineStr">
        <is>
          <t>✓</t>
        </is>
      </c>
      <c r="R35" s="16" t="inlineStr">
        <is>
          <t>C</t>
        </is>
      </c>
      <c r="S35" s="23" t="inlineStr">
        <is>
          <t>Line existence confirmed (matterhackers.com/store/c/pro-series-tough-pla); ABS-like strength, PLA-like ease of use; specs estimated from PRO Series PLA</t>
        </is>
      </c>
      <c r="T35" s="23" t="inlineStr">
        <is>
          <t>Deep-dive follow-up 2026-07-19; NEW LINE — not previously in catalog</t>
        </is>
      </c>
    </row>
    <row r="36" ht="20" customHeight="1">
      <c r="A36" s="26" t="inlineStr">
        <is>
          <t>TPU</t>
        </is>
      </c>
      <c r="B36" s="26" t="inlineStr">
        <is>
          <t>MH-FLEX-01</t>
        </is>
      </c>
      <c r="C36" s="26" t="inlineStr">
        <is>
          <t>MatterHackers PRO Series Flex</t>
        </is>
      </c>
      <c r="D36" s="26" t="inlineStr">
        <is>
          <t>Black</t>
        </is>
      </c>
      <c r="E36" s="34" t="inlineStr"/>
      <c r="F36" s="35" t="inlineStr">
        <is>
          <t>#0D0D0D</t>
        </is>
      </c>
      <c r="G36" s="29" t="inlineStr">
        <is>
          <t>1.75mm</t>
        </is>
      </c>
      <c r="H36" s="29" t="inlineStr">
        <is>
          <t>±0.02mm</t>
        </is>
      </c>
      <c r="I36" s="29" t="inlineStr">
        <is>
          <t>Plastic</t>
        </is>
      </c>
      <c r="J36" s="29" t="inlineStr">
        <is>
          <t>No</t>
        </is>
      </c>
      <c r="K36" s="29" t="inlineStr">
        <is>
          <t>220–240°C</t>
        </is>
      </c>
      <c r="L36" s="29" t="inlineStr">
        <is>
          <t>25–60°C</t>
        </is>
      </c>
      <c r="M36" s="29" t="inlineStr">
        <is>
          <t>50°C / 8h</t>
        </is>
      </c>
      <c r="N36" s="29" t="inlineStr">
        <is>
          <t>✗</t>
        </is>
      </c>
      <c r="O36" s="29" t="inlineStr">
        <is>
          <t>✗</t>
        </is>
      </c>
      <c r="P36" s="29" t="inlineStr">
        <is>
          <t>✗</t>
        </is>
      </c>
      <c r="Q36" s="29" t="inlineStr">
        <is>
          <t>✗</t>
        </is>
      </c>
      <c r="R36" s="29" t="inlineStr">
        <is>
          <t>C</t>
        </is>
      </c>
      <c r="S36" s="26" t="inlineStr">
        <is>
          <t>Line existence confirmed (matterhackers.com/store/c/pro-series-filament); external spool only on all Bambu AMS variants</t>
        </is>
      </c>
      <c r="T36" s="26" t="inlineStr">
        <is>
          <t>Deep-dive follow-up 2026-07-19; NEW LINE — not previously in catalog</t>
        </is>
      </c>
    </row>
  </sheetData>
  <autoFilter ref="A2:T703"/>
  <mergeCells count="1">
    <mergeCell ref="A1:T1"/>
  </mergeCells>
  <conditionalFormatting sqref="R3:R703">
    <cfRule type="expression" priority="1" dxfId="2">
      <formula>$R3="S"</formula>
    </cfRule>
    <cfRule type="expression" priority="2" dxfId="3">
      <formula>$R3="A"</formula>
    </cfRule>
    <cfRule type="expression" priority="3" dxfId="4">
      <formula>$R3="B"</formula>
    </cfRule>
    <cfRule type="expression" priority="4" dxfId="5">
      <formula>$R3="C"</formula>
    </cfRule>
  </conditionalFormatting>
  <conditionalFormatting sqref="N3:N703">
    <cfRule type="expression" priority="5" dxfId="6">
      <formula>NOT(ISERROR(SEARCH("✓",$N3)))</formula>
    </cfRule>
    <cfRule type="expression" priority="6" dxfId="7">
      <formula>NOT(ISERROR(SEARCH("✗",$N3)))</formula>
    </cfRule>
    <cfRule type="expression" priority="7" dxfId="8">
      <formula>NOT(ISERROR(SEARCH("⚠",$N3)))</formula>
    </cfRule>
  </conditionalFormatting>
  <conditionalFormatting sqref="O3:O703">
    <cfRule type="expression" priority="8" dxfId="6">
      <formula>NOT(ISERROR(SEARCH("✓",$O3)))</formula>
    </cfRule>
    <cfRule type="expression" priority="9" dxfId="7">
      <formula>NOT(ISERROR(SEARCH("✗",$O3)))</formula>
    </cfRule>
    <cfRule type="expression" priority="10" dxfId="8">
      <formula>NOT(ISERROR(SEARCH("⚠",$O3)))</formula>
    </cfRule>
  </conditionalFormatting>
  <conditionalFormatting sqref="P3:P703">
    <cfRule type="expression" priority="11" dxfId="6">
      <formula>NOT(ISERROR(SEARCH("✓",$P3)))</formula>
    </cfRule>
    <cfRule type="expression" priority="12" dxfId="7">
      <formula>NOT(ISERROR(SEARCH("✗",$P3)))</formula>
    </cfRule>
    <cfRule type="expression" priority="13" dxfId="8">
      <formula>NOT(ISERROR(SEARCH("⚠",$P3)))</formula>
    </cfRule>
  </conditionalFormatting>
  <conditionalFormatting sqref="Q3:Q703">
    <cfRule type="expression" priority="14" dxfId="6">
      <formula>NOT(ISERROR(SEARCH("✓",$Q3)))</formula>
    </cfRule>
    <cfRule type="expression" priority="15" dxfId="7">
      <formula>NOT(ISERROR(SEARCH("✗",$Q3)))</formula>
    </cfRule>
    <cfRule type="expression" priority="16" dxfId="8">
      <formula>NOT(ISERROR(SEARCH("⚠",$Q3)))</formula>
    </cfRule>
  </conditionalFormatting>
  <conditionalFormatting sqref="J3:J703">
    <cfRule type="expression" priority="17" dxfId="8">
      <formula>$J3="Yes"</formula>
    </cfRule>
  </conditionalFormatting>
  <conditionalFormatting sqref="T3:T703">
    <cfRule type="expression" priority="18" dxfId="9">
      <formula>NOT(ISERROR(SEARCH("hardened nozzle",$T3)))</formula>
    </cfRule>
  </conditionalFormatting>
  <dataValidations count="8">
    <dataValidation sqref="R3:R137" showDropDown="0" showInputMessage="0" showErrorMessage="0" allowBlank="1" type="list">
      <formula1>"S,A,B,C"</formula1>
    </dataValidation>
    <dataValidation sqref="I3:I137" showDropDown="0" showInputMessage="0" showErrorMessage="0" allowBlank="1" type="list">
      <formula1>"Cardboard,Plastic"</formula1>
    </dataValidation>
    <dataValidation sqref="J3:J137" showDropDown="0" showInputMessage="0" showErrorMessage="0" allowBlank="1" type="list">
      <formula1>"Yes,No"</formula1>
    </dataValidation>
    <dataValidation sqref="G3:G137" showDropDown="0" showInputMessage="0" showErrorMessage="0" allowBlank="1" type="list">
      <formula1>"1.75mm,2.85mm"</formula1>
    </dataValidation>
    <dataValidation sqref="N3:N137" showDropDown="0" showInputMessage="0" showErrorMessage="0" allowBlank="1" type="list">
      <formula1>"✓,✗,⚠"</formula1>
    </dataValidation>
    <dataValidation sqref="O3:O137" showDropDown="0" showInputMessage="0" showErrorMessage="0" allowBlank="1" type="list">
      <formula1>"✓,✗,⚠"</formula1>
    </dataValidation>
    <dataValidation sqref="P3:P137" showDropDown="0" showInputMessage="0" showErrorMessage="0" allowBlank="1" type="list">
      <formula1>"✓,✗,⚠"</formula1>
    </dataValidation>
    <dataValidation sqref="Q3:Q137" showDropDown="0" showInputMessage="0" showErrorMessage="0" allowBlank="1" type="list">
      <formula1>"✓,✗,⚠"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H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8" customWidth="1" min="4" max="4"/>
    <col width="14" customWidth="1" min="5" max="5"/>
    <col width="16" customWidth="1" min="6" max="6"/>
    <col width="16" customWidth="1" min="7" max="7"/>
    <col width="58" customWidth="1" min="8" max="8"/>
  </cols>
  <sheetData>
    <row r="1" ht="30" customHeight="1">
      <c r="A1" s="21" t="inlineStr">
        <is>
          <t>MatterHackers  —  Material Guide</t>
        </is>
      </c>
    </row>
    <row r="2" ht="34" customHeight="1">
      <c r="A2" s="22" t="inlineStr">
        <is>
          <t>Material</t>
        </is>
      </c>
      <c r="B2" s="22" t="inlineStr">
        <is>
          <t>Print Temp Range</t>
        </is>
      </c>
      <c r="C2" s="22" t="inlineStr">
        <is>
          <t>Bed Temp Range</t>
        </is>
      </c>
      <c r="D2" s="22" t="inlineStr">
        <is>
          <t>Enclosure Required</t>
        </is>
      </c>
      <c r="E2" s="22" t="inlineStr">
        <is>
          <t>AMS Compatible</t>
        </is>
      </c>
      <c r="F2" s="22" t="inlineStr">
        <is>
          <t>Drying Required</t>
        </is>
      </c>
      <c r="G2" s="22" t="inlineStr">
        <is>
          <t>Drying Temp / Time</t>
        </is>
      </c>
      <c r="H2" s="22" t="inlineStr">
        <is>
          <t>Notes</t>
        </is>
      </c>
    </row>
    <row r="3" ht="20" customHeight="1">
      <c r="A3" s="23" t="inlineStr">
        <is>
          <t>PLA</t>
        </is>
      </c>
      <c r="B3" s="16" t="inlineStr">
        <is>
          <t>190–230°C</t>
        </is>
      </c>
      <c r="C3" s="16" t="inlineStr">
        <is>
          <t>45–60°C</t>
        </is>
      </c>
      <c r="D3" s="16" t="inlineStr">
        <is>
          <t>No</t>
        </is>
      </c>
      <c r="E3" s="16" t="inlineStr">
        <is>
          <t>Yes</t>
        </is>
      </c>
      <c r="F3" s="16" t="inlineStr">
        <is>
          <t>Recommended</t>
        </is>
      </c>
      <c r="G3" s="16" t="inlineStr">
        <is>
          <t>45°C / 6h</t>
        </is>
      </c>
      <c r="H3" s="23" t="inlineStr">
        <is>
          <t>PRO Series (Tier A, tighter QC) and Build Series (Tier B, budget) — both in catalog</t>
        </is>
      </c>
    </row>
    <row r="4" ht="20" customHeight="1">
      <c r="A4" s="26" t="inlineStr">
        <is>
          <t>PETG</t>
        </is>
      </c>
      <c r="B4" s="29" t="inlineStr">
        <is>
          <t>225–255°C</t>
        </is>
      </c>
      <c r="C4" s="29" t="inlineStr">
        <is>
          <t>70–85°C</t>
        </is>
      </c>
      <c r="D4" s="29" t="inlineStr">
        <is>
          <t>No</t>
        </is>
      </c>
      <c r="E4" s="29" t="inlineStr">
        <is>
          <t>Yes</t>
        </is>
      </c>
      <c r="F4" s="29" t="inlineStr">
        <is>
          <t>Yes</t>
        </is>
      </c>
      <c r="G4" s="29" t="inlineStr">
        <is>
          <t>65°C / 6h</t>
        </is>
      </c>
      <c r="H4" s="26" t="inlineStr">
        <is>
          <t>PRO Series PETG</t>
        </is>
      </c>
    </row>
    <row r="5" ht="20" customHeight="1">
      <c r="A5" s="23" t="inlineStr">
        <is>
          <t>ABS</t>
        </is>
      </c>
      <c r="B5" s="16" t="inlineStr">
        <is>
          <t>235–265°C</t>
        </is>
      </c>
      <c r="C5" s="16" t="inlineStr">
        <is>
          <t>90–110°C</t>
        </is>
      </c>
      <c r="D5" s="16" t="inlineStr">
        <is>
          <t>Yes</t>
        </is>
      </c>
      <c r="E5" s="16" t="inlineStr">
        <is>
          <t>Yes</t>
        </is>
      </c>
      <c r="F5" s="16" t="inlineStr">
        <is>
          <t>Yes</t>
        </is>
      </c>
      <c r="G5" s="16" t="inlineStr">
        <is>
          <t>65°C / 8h</t>
        </is>
      </c>
      <c r="H5" s="23" t="inlineStr">
        <is>
          <t>PRO Series ABS — enclosure required; AMS Lite ✗</t>
        </is>
      </c>
    </row>
  </sheetData>
  <autoFilter ref="A2:H63"/>
  <mergeCells count="1">
    <mergeCell ref="A1:H1"/>
  </mergeCells>
  <conditionalFormatting sqref="D3:D16">
    <cfRule type="expression" priority="1" dxfId="8">
      <formula>$D3="Yes"</formula>
    </cfRule>
  </conditionalFormatting>
  <conditionalFormatting sqref="E3:E16">
    <cfRule type="expression" priority="2" dxfId="7">
      <formula>$E3="No"</formula>
    </cfRule>
    <cfRule type="expression" priority="3" dxfId="8">
      <formula>NOT(ISERROR(SEARCH("⚠",$E3)))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70" customWidth="1" min="3" max="3"/>
  </cols>
  <sheetData>
    <row r="1" ht="26" customHeight="1">
      <c r="A1" s="62" t="inlineStr">
        <is>
          <t>⚙  Configuration</t>
        </is>
      </c>
    </row>
    <row r="2" ht="22" customHeight="1">
      <c r="A2" s="18" t="inlineStr">
        <is>
          <t>Setting</t>
        </is>
      </c>
      <c r="B2" s="18" t="inlineStr">
        <is>
          <t>Value</t>
        </is>
      </c>
      <c r="C2" s="18" t="inlineStr">
        <is>
          <t>Notes</t>
        </is>
      </c>
    </row>
    <row r="3" ht="18" customHeight="1">
      <c r="A3" s="63" t="inlineStr">
        <is>
          <t>Brand</t>
        </is>
      </c>
      <c r="B3" s="64" t="inlineStr">
        <is>
          <t>MatterHackers</t>
        </is>
      </c>
      <c r="C3" s="65" t="inlineStr"/>
    </row>
    <row r="4" ht="18" customHeight="1">
      <c r="A4" s="63" t="inlineStr">
        <is>
          <t>File Version</t>
        </is>
      </c>
      <c r="B4" s="66" t="inlineStr">
        <is>
          <t>v3</t>
        </is>
      </c>
      <c r="C4" s="65" t="inlineStr"/>
    </row>
    <row r="5" ht="18" customHeight="1">
      <c r="A5" s="63" t="inlineStr">
        <is>
          <t>Generated</t>
        </is>
      </c>
      <c r="B5" s="66" t="inlineStr">
        <is>
          <t>2026-07-25</t>
        </is>
      </c>
      <c r="C5" s="65" t="inlineStr">
        <is>
          <t>Date this file was last generated by generate_all.py</t>
        </is>
      </c>
    </row>
    <row r="6" ht="18" customHeight="1">
      <c r="A6" s="63" t="inlineStr">
        <is>
          <t>SKU Note</t>
        </is>
      </c>
      <c r="B6" s="66" t="inlineStr">
        <is>
          <t>Reference codes (MH-xxx) — verify at matterhackers.com</t>
        </is>
      </c>
      <c r="C6" s="65" t="inlineStr">
        <is>
          <t>SKU column: confirmed mfr codes noted above; others are internal reference codes</t>
        </is>
      </c>
    </row>
    <row r="7" ht="18" customHeight="1">
      <c r="A7" s="63" t="inlineStr">
        <is>
          <t>Hex Note</t>
        </is>
      </c>
      <c r="B7" s="66" t="inlineStr">
        <is>
          <t>Per-row confirmation status is tracked in each Catalog row's Notes column (manufacturer TDS-confirmed, official product-page confirmed, or unconfirmed placeholder). #999999 in the Hex Code column always means unconfirmed placeholder, not a real color.</t>
        </is>
      </c>
      <c r="C7" s="65" t="inlineStr">
        <is>
          <t>Approximate hex = visually representative; not manufacturer-confirmed</t>
        </is>
      </c>
    </row>
    <row r="8" ht="18" customHeight="1">
      <c r="A8" s="63" t="inlineStr">
        <is>
          <t>Inventory Note</t>
        </is>
      </c>
      <c r="B8" s="66" t="inlineStr">
        <is>
          <t>This workbook covers catalog reference data only. On-hand spool inventory is tracked separately in Filament_Inventory.xlsx.</t>
        </is>
      </c>
      <c r="C8" s="65" t="inlineStr">
        <is>
          <t>Split from per-brand Inventory Tracker sheets, 2026-07-23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2026-07-25T21:17:06Z</dcterms:created>
  <dcterms:modified xmlns:dcterms="http://purl.org/dc/terms/" xmlns:xsi="http://www.w3.org/2001/XMLSchema-instance" xsi:type="dcterms:W3CDTF">2026-07-25T21:17:06Z</dcterms:modified>
</cp:coreProperties>
</file>