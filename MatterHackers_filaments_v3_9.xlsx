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talog" sheetId="2" state="visible" r:id="rId4"/>
    <sheet name="Material Guide" sheetId="3" state="visible" r:id="rId5"/>
    <sheet name="Config" sheetId="4" state="visible" r:id="rId6"/>
  </sheets>
  <definedNames>
    <definedName function="false" hidden="true" localSheetId="1" name="_xlnm._FilterDatabase" vbProcedure="false">Catalog!$A$2:$T$703</definedName>
    <definedName function="false" hidden="true" localSheetId="2" name="_xlnm._FilterDatabase" vbProcedure="false">'Material Guide'!$A$2:$H$63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SKU / Part No.
Polymaker PolyLite PLA: confirmed manufacturer codes (PA02001–PA02029).
All other brands: internal reference codes.
See Config sheet → SKU Note for details.</t>
        </r>
      </text>
    </comment>
    <comment ref="E2" authorId="0">
      <text>
        <r>
          <rPr>
            <sz val="10"/>
            <rFont val="Arial"/>
            <family val="2"/>
          </rPr>
          <t xml:space="preserve"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>
      <text>
        <r>
          <rPr>
            <sz val="10"/>
            <rFont val="Arial"/>
            <family val="2"/>
          </rPr>
          <t xml:space="preserve"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>
      <text>
        <r>
          <rPr>
            <sz val="10"/>
            <rFont val="Arial"/>
            <family val="2"/>
          </rPr>
          <t xml:space="preserve"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>
      <text>
        <r>
          <rPr>
            <sz val="10"/>
            <rFont val="Arial"/>
            <family val="2"/>
          </rPr>
          <t xml:space="preserve">AMS Lite Compatibility
✓  Compatible with AMS Lite unit
✗  Not compatible (open-frame; no ABS/ASA/PA support)
⚠  Compatible with conditions
Printers: A1, A1 mini</t>
        </r>
      </text>
    </comment>
    <comment ref="P2" authorId="0">
      <text>
        <r>
          <rPr>
            <sz val="10"/>
            <rFont val="Arial"/>
            <family val="2"/>
          </rPr>
          <t xml:space="preserve">AMS 2 Pro Compatibility
✓  Compatible with AMS 2 Pro unit
✗  Not compatible
⚠  Compatible with conditions
Printers: H2D</t>
        </r>
      </text>
    </comment>
    <comment ref="Q2" authorId="0">
      <text>
        <r>
          <rPr>
            <sz val="10"/>
            <rFont val="Arial"/>
            <family val="2"/>
          </rPr>
          <t xml:space="preserve"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<sst xmlns="http://schemas.openxmlformats.org/spreadsheetml/2006/main" count="1013" uniqueCount="225">
  <si>
    <t xml:space="preserve">📦  MatterHackers  —  Filament Reference  |  v3</t>
  </si>
  <si>
    <t xml:space="preserve">  CATALOG SUMMARY</t>
  </si>
  <si>
    <t xml:space="preserve">Total Catalog Entries (active)</t>
  </si>
  <si>
    <t xml:space="preserve">Tier S — Premium</t>
  </si>
  <si>
    <t xml:space="preserve">Tier A — Excellent</t>
  </si>
  <si>
    <t xml:space="preserve">Tier B — Good</t>
  </si>
  <si>
    <t xml:space="preserve">Tier C — Specialty</t>
  </si>
  <si>
    <t xml:space="preserve">Require AMS Adapter Ring</t>
  </si>
  <si>
    <t xml:space="preserve">  TIER LEGEND</t>
  </si>
  <si>
    <t xml:space="preserve">  S</t>
  </si>
  <si>
    <t xml:space="preserve">Premium — first-party or best-in-class; optimized profiles, top AMS reliability</t>
  </si>
  <si>
    <t xml:space="preserve">  A</t>
  </si>
  <si>
    <t xml:space="preserve">Excellent — high quality, tested profiles, reliable AMS performance</t>
  </si>
  <si>
    <t xml:space="preserve">  B</t>
  </si>
  <si>
    <t xml:space="preserve">Good — solid performer with minor caveats (e.g. needs adapter ring, temp adjustment)</t>
  </si>
  <si>
    <t xml:space="preserve">  C</t>
  </si>
  <si>
    <t xml:space="preserve">Specialty — limited AMS use, requires special setup, or niche material</t>
  </si>
  <si>
    <t xml:space="preserve">  INVENTORY</t>
  </si>
  <si>
    <t xml:space="preserve">On-hand spool inventory is tracked separately in Filament_Inventory.xlsx, not in this workbook.</t>
  </si>
  <si>
    <t xml:space="preserve">File Generated</t>
  </si>
  <si>
    <t xml:space="preserve">  AMS ADAPTER RING STATUS</t>
  </si>
  <si>
    <t xml:space="preserve">  BY MATERIAL TYPE</t>
  </si>
  <si>
    <t xml:space="preserve">Material Type</t>
  </si>
  <si>
    <t xml:space="preserve">Catalog Entries</t>
  </si>
  <si>
    <t xml:space="preserve">ABS</t>
  </si>
  <si>
    <t xml:space="preserve">ASA</t>
  </si>
  <si>
    <t xml:space="preserve">PA</t>
  </si>
  <si>
    <t xml:space="preserve">PETG</t>
  </si>
  <si>
    <t xml:space="preserve">PLA (Build Series)</t>
  </si>
  <si>
    <t xml:space="preserve">PLA (PRO Series)</t>
  </si>
  <si>
    <t xml:space="preserve">PLA (Tough)</t>
  </si>
  <si>
    <t xml:space="preserve">TPU</t>
  </si>
  <si>
    <t xml:space="preserve">MatterHackers  —  Filament Catalog</t>
  </si>
  <si>
    <t xml:space="preserve">SKU / Part No.</t>
  </si>
  <si>
    <t xml:space="preserve">Product Name</t>
  </si>
  <si>
    <t xml:space="preserve">Color Name</t>
  </si>
  <si>
    <t xml:space="preserve">Color Swatch</t>
  </si>
  <si>
    <t xml:space="preserve">Hex Code</t>
  </si>
  <si>
    <t xml:space="preserve">Diameter</t>
  </si>
  <si>
    <t xml:space="preserve">Diameter Tolerance</t>
  </si>
  <si>
    <t xml:space="preserve">Spool Type</t>
  </si>
  <si>
    <t xml:space="preserve">AMS Adapter Required</t>
  </si>
  <si>
    <t xml:space="preserve">Print Temp Range</t>
  </si>
  <si>
    <t xml:space="preserve">Bed Temp Range</t>
  </si>
  <si>
    <t xml:space="preserve">Drying Temp / Time</t>
  </si>
  <si>
    <t xml:space="preserve">AMS X/P</t>
  </si>
  <si>
    <t xml:space="preserve">AMS Lite</t>
  </si>
  <si>
    <t xml:space="preserve">AMS 2 Pro</t>
  </si>
  <si>
    <t xml:space="preserve">AMS HT</t>
  </si>
  <si>
    <t xml:space="preserve">Tier</t>
  </si>
  <si>
    <t xml:space="preserve">Tier Rationale</t>
  </si>
  <si>
    <t xml:space="preserve">Notes</t>
  </si>
  <si>
    <t xml:space="preserve">MH-PRO-ABS-BK</t>
  </si>
  <si>
    <t xml:space="preserve">PRO Series ABS</t>
  </si>
  <si>
    <t xml:space="preserve">Black</t>
  </si>
  <si>
    <t xml:space="preserve">#111111</t>
  </si>
  <si>
    <t xml:space="preserve">1.75mm</t>
  </si>
  <si>
    <t xml:space="preserve">±0.03mm</t>
  </si>
  <si>
    <t xml:space="preserve">Plastic</t>
  </si>
  <si>
    <t xml:space="preserve">No</t>
  </si>
  <si>
    <t xml:space="preserve">235–265°C</t>
  </si>
  <si>
    <t xml:space="preserve">90–110°C</t>
  </si>
  <si>
    <t xml:space="preserve">65°C / 8h</t>
  </si>
  <si>
    <t xml:space="preserve">✓</t>
  </si>
  <si>
    <t xml:space="preserve">✗</t>
  </si>
  <si>
    <t xml:space="preserve">A</t>
  </si>
  <si>
    <t xml:space="preserve">PRO Series ABS; enclosure required; consistent quality</t>
  </si>
  <si>
    <t xml:space="preserve">Enclosure required; AMS Lite ✗</t>
  </si>
  <si>
    <t xml:space="preserve">MH-PRO-ABS-GY</t>
  </si>
  <si>
    <t xml:space="preserve">Gray</t>
  </si>
  <si>
    <t xml:space="preserve">#808080</t>
  </si>
  <si>
    <t xml:space="preserve">MH-PRO-ABS-RD</t>
  </si>
  <si>
    <t xml:space="preserve">Red</t>
  </si>
  <si>
    <t xml:space="preserve">#CC0000</t>
  </si>
  <si>
    <t xml:space="preserve">MH-PRO-ABS-WH</t>
  </si>
  <si>
    <t xml:space="preserve">White</t>
  </si>
  <si>
    <t xml:space="preserve">#F5F5F5</t>
  </si>
  <si>
    <t xml:space="preserve">MH-PRO-ASA-BK</t>
  </si>
  <si>
    <t xml:space="preserve">PRO Series ASA</t>
  </si>
  <si>
    <t xml:space="preserve">#999999</t>
  </si>
  <si>
    <t xml:space="preserve">240–260°C</t>
  </si>
  <si>
    <t xml:space="preserve">70°C / 4h</t>
  </si>
  <si>
    <t xml:space="preserve">C</t>
  </si>
  <si>
    <t xml:space="preserve">Color confirmed on matterhackers.com PRO Series ASA collection (2026-10-14; 1kg 1.75mm and 2.85mm, $52); hex not published; page states no print/bed temps, values estimated for ASA</t>
  </si>
  <si>
    <t xml:space="preserve">2026-10-14 brand sweep; NEW LINE. UV/weather-resistance claim only; enclosure required.</t>
  </si>
  <si>
    <t xml:space="preserve">MH-PRO-ASA-CR</t>
  </si>
  <si>
    <t xml:space="preserve">Crimson Red</t>
  </si>
  <si>
    <t xml:space="preserve">MH-PRO-ASA-GY</t>
  </si>
  <si>
    <t xml:space="preserve">MH-PRO-ASA-JG</t>
  </si>
  <si>
    <t xml:space="preserve">Jet Gray</t>
  </si>
  <si>
    <t xml:space="preserve">2026-10-14 brand sweep; NEW LINE. UV/weather-resistance claim only; enclosure required. Jet Gray also showed out of stock.</t>
  </si>
  <si>
    <t xml:space="preserve">MH-PRO-ASA-NT</t>
  </si>
  <si>
    <t xml:space="preserve">Natural</t>
  </si>
  <si>
    <t xml:space="preserve">MH-PRO-ASA-WH</t>
  </si>
  <si>
    <t xml:space="preserve">MH-PRO-ASA-YL</t>
  </si>
  <si>
    <t xml:space="preserve">Yellow</t>
  </si>
  <si>
    <t xml:space="preserve">2026-10-14 brand sweep; NEW LINE. UV/weather-resistance claim only; enclosure required. Yellow listed out of stock at check.</t>
  </si>
  <si>
    <t xml:space="preserve">MH-NYLON-01</t>
  </si>
  <si>
    <t xml:space="preserve">MatterHackers PRO Series Nylon</t>
  </si>
  <si>
    <t xml:space="preserve">#0D0D0D</t>
  </si>
  <si>
    <t xml:space="preserve">±0.02mm</t>
  </si>
  <si>
    <t xml:space="preserve">250–270°C</t>
  </si>
  <si>
    <t xml:space="preserve">70–90°C</t>
  </si>
  <si>
    <t xml:space="preserve">80°C / 12h</t>
  </si>
  <si>
    <t xml:space="preserve">Line existence confirmed (matterhackers.com/store/c/pro-series-filament); very moisture-sensitive, specs estimated | 2026-10-14: Black confirmed as one of 8 Nylon colors on matterhackers.com; hex still nominal</t>
  </si>
  <si>
    <t xml:space="preserve">Deep-dive follow-up 2026-07-19; NEW LINE — not previously in catalog</t>
  </si>
  <si>
    <t xml:space="preserve">MH-NYLON-BL</t>
  </si>
  <si>
    <t xml:space="preserve">Blue</t>
  </si>
  <si>
    <t xml:space="preserve">Color confirmed on matterhackers.com PRO Series Nylon collection (2026-10-14; 8 colors, 0.75kg, 1.75mm and 2.85mm, $62); hex not published; page states no temps, values estimated</t>
  </si>
  <si>
    <t xml:space="preserve">2026-10-14 brand sweep; NEW COLOR. Spool is 0.75kg, not 1kg.</t>
  </si>
  <si>
    <t xml:space="preserve">MH-NYLON-GY</t>
  </si>
  <si>
    <t xml:space="preserve">MH-NYLON-GR</t>
  </si>
  <si>
    <t xml:space="preserve">Green</t>
  </si>
  <si>
    <t xml:space="preserve">MH-NYLON-OR</t>
  </si>
  <si>
    <t xml:space="preserve">Orange</t>
  </si>
  <si>
    <t xml:space="preserve">MH-NYLON-RD</t>
  </si>
  <si>
    <t xml:space="preserve">MH-NYLON-WH</t>
  </si>
  <si>
    <t xml:space="preserve">MH-NYLON-YL</t>
  </si>
  <si>
    <t xml:space="preserve">MH-PRO-PETG-BK</t>
  </si>
  <si>
    <t xml:space="preserve">PRO Series PETG</t>
  </si>
  <si>
    <t xml:space="preserve">225–255°C</t>
  </si>
  <si>
    <t xml:space="preserve">70–85°C</t>
  </si>
  <si>
    <t xml:space="preserve">65°C / 6h</t>
  </si>
  <si>
    <t xml:space="preserve">PRO Series PETG; consistent quality; good moisture handling</t>
  </si>
  <si>
    <t xml:space="preserve">MH-PRO-PETG-BL</t>
  </si>
  <si>
    <t xml:space="preserve">#0057A8</t>
  </si>
  <si>
    <t xml:space="preserve">MH-PRO-PETG-GY</t>
  </si>
  <si>
    <t xml:space="preserve">MH-PRO-PETG-RD</t>
  </si>
  <si>
    <t xml:space="preserve">MH-PRO-PETG-TR</t>
  </si>
  <si>
    <t xml:space="preserve">Transparent</t>
  </si>
  <si>
    <t xml:space="preserve">#D8EEF8</t>
  </si>
  <si>
    <t xml:space="preserve">MH-PRO-PETG-WH</t>
  </si>
  <si>
    <t xml:space="preserve">MH-BLD-PLA-BK</t>
  </si>
  <si>
    <t xml:space="preserve">Build Series PLA</t>
  </si>
  <si>
    <t xml:space="preserve">190–220°C</t>
  </si>
  <si>
    <t xml:space="preserve">45–60°C</t>
  </si>
  <si>
    <t xml:space="preserve">45°C / 6h</t>
  </si>
  <si>
    <t xml:space="preserve">B</t>
  </si>
  <si>
    <t xml:space="preserve">Build Series — budget tier; wider tolerances than PRO; entry-level option</t>
  </si>
  <si>
    <t xml:space="preserve">Build Series has wider tolerances than PRO Series</t>
  </si>
  <si>
    <t xml:space="preserve">MH-BLD-PLA-BL</t>
  </si>
  <si>
    <t xml:space="preserve">#2060C8</t>
  </si>
  <si>
    <t xml:space="preserve">MH-BLD-PLA-GY</t>
  </si>
  <si>
    <t xml:space="preserve">MH-BLD-PLA-RD</t>
  </si>
  <si>
    <t xml:space="preserve">MH-BLD-PLA-WH</t>
  </si>
  <si>
    <t xml:space="preserve">MH-BLD-PLA-YL</t>
  </si>
  <si>
    <t xml:space="preserve">#F5C518</t>
  </si>
  <si>
    <t xml:space="preserve">MH-PRO-PLA-BK</t>
  </si>
  <si>
    <t xml:space="preserve">PRO Series PLA</t>
  </si>
  <si>
    <t xml:space="preserve">195–230°C</t>
  </si>
  <si>
    <t xml:space="preserve">PRO Series — tight QC; reliable diameter consistency; good AMS performance</t>
  </si>
  <si>
    <t xml:space="preserve">MH-PRO-PLA-BL</t>
  </si>
  <si>
    <t xml:space="preserve">MH-PRO-PLA-BR</t>
  </si>
  <si>
    <t xml:space="preserve">Brown</t>
  </si>
  <si>
    <t xml:space="preserve">#8B4513</t>
  </si>
  <si>
    <t xml:space="preserve">MH-PRO-PLA-GY</t>
  </si>
  <si>
    <t xml:space="preserve">MH-PRO-PLA-GN</t>
  </si>
  <si>
    <t xml:space="preserve">#2E8B57</t>
  </si>
  <si>
    <t xml:space="preserve">MH-PRO-PLA-NVY</t>
  </si>
  <si>
    <t xml:space="preserve">Navy</t>
  </si>
  <si>
    <t xml:space="preserve">#1A2A5A</t>
  </si>
  <si>
    <t xml:space="preserve">MH-PRO-PLA-OR</t>
  </si>
  <si>
    <t xml:space="preserve">#F5821F</t>
  </si>
  <si>
    <t xml:space="preserve">MH-PRO-PLA-PK</t>
  </si>
  <si>
    <t xml:space="preserve">Pink</t>
  </si>
  <si>
    <t xml:space="preserve">#FF69B4</t>
  </si>
  <si>
    <t xml:space="preserve">MH-PRO-PLA-PU</t>
  </si>
  <si>
    <t xml:space="preserve">Purple</t>
  </si>
  <si>
    <t xml:space="preserve">#6A0DAD</t>
  </si>
  <si>
    <t xml:space="preserve">MH-PRO-PLA-RD</t>
  </si>
  <si>
    <t xml:space="preserve">MH-PRO-PLA-SV</t>
  </si>
  <si>
    <t xml:space="preserve">Silver</t>
  </si>
  <si>
    <t xml:space="preserve">#C0C0C0</t>
  </si>
  <si>
    <t xml:space="preserve">MH-PRO-PLA-TEA</t>
  </si>
  <si>
    <t xml:space="preserve">Teal</t>
  </si>
  <si>
    <t xml:space="preserve">#008080</t>
  </si>
  <si>
    <t xml:space="preserve">MH-PRO-PLA-TR</t>
  </si>
  <si>
    <t xml:space="preserve">Translucent</t>
  </si>
  <si>
    <t xml:space="preserve">#E8F4FC</t>
  </si>
  <si>
    <t xml:space="preserve">MH-PRO-PLA-WH</t>
  </si>
  <si>
    <t xml:space="preserve">MH-PRO-PLA-YL</t>
  </si>
  <si>
    <t xml:space="preserve">MH-TOUGH-01</t>
  </si>
  <si>
    <t xml:space="preserve">MatterHackers PRO Series Tough PLA</t>
  </si>
  <si>
    <t xml:space="preserve">195–225°C</t>
  </si>
  <si>
    <t xml:space="preserve">45°C / 4h</t>
  </si>
  <si>
    <t xml:space="preserve">Line existence confirmed (matterhackers.com/store/c/pro-series-tough-pla); ABS-like strength, PLA-like ease of use; specs estimated from PRO Series PLA</t>
  </si>
  <si>
    <t xml:space="preserve">MH-FLEX-01</t>
  </si>
  <si>
    <t xml:space="preserve">MatterHackers PRO Series Flex</t>
  </si>
  <si>
    <t xml:space="preserve">220–240°C</t>
  </si>
  <si>
    <t xml:space="preserve">25–60°C</t>
  </si>
  <si>
    <t xml:space="preserve">50°C / 8h</t>
  </si>
  <si>
    <t xml:space="preserve">Line existence confirmed (matterhackers.com/store/c/pro-series-filament); external spool only on all Bambu AMS variants</t>
  </si>
  <si>
    <t xml:space="preserve">MatterHackers  —  Material Guide</t>
  </si>
  <si>
    <t xml:space="preserve">Material</t>
  </si>
  <si>
    <t xml:space="preserve">Enclosure Required</t>
  </si>
  <si>
    <t xml:space="preserve">AMS Compatible</t>
  </si>
  <si>
    <t xml:space="preserve">Drying Required</t>
  </si>
  <si>
    <t xml:space="preserve">Yes</t>
  </si>
  <si>
    <t xml:space="preserve">7 colors on matterhackers.com (2026-10-14); temps estimated, not stated on page; enclosure required</t>
  </si>
  <si>
    <t xml:space="preserve">PA (Nylon)</t>
  </si>
  <si>
    <t xml:space="preserve">8 colors, 0.75kg spools (2026-10-14); temps estimated</t>
  </si>
  <si>
    <t xml:space="preserve">PLA</t>
  </si>
  <si>
    <t xml:space="preserve">190–230°C</t>
  </si>
  <si>
    <t xml:space="preserve">Recommended</t>
  </si>
  <si>
    <t xml:space="preserve">PRO Series (Tier A, tighter QC) and Build Series (Tier B, budget) — both in catalog</t>
  </si>
  <si>
    <t xml:space="preserve">PRO Series ABS — enclosure required; AMS Lite ✗</t>
  </si>
  <si>
    <t xml:space="preserve">⚙  Configuration</t>
  </si>
  <si>
    <t xml:space="preserve">Setting</t>
  </si>
  <si>
    <t xml:space="preserve">Value</t>
  </si>
  <si>
    <t xml:space="preserve">Brand</t>
  </si>
  <si>
    <t xml:space="preserve">MatterHackers</t>
  </si>
  <si>
    <t xml:space="preserve">File Version</t>
  </si>
  <si>
    <t xml:space="preserve">v3</t>
  </si>
  <si>
    <t xml:space="preserve">Generated</t>
  </si>
  <si>
    <t xml:space="preserve">2026-10-14</t>
  </si>
  <si>
    <t xml:space="preserve">Date this file was last generated by generate_all.py</t>
  </si>
  <si>
    <t xml:space="preserve">SKU Note</t>
  </si>
  <si>
    <t xml:space="preserve">Reference codes (MH-xxx) — verify at matterhackers.com</t>
  </si>
  <si>
    <t xml:space="preserve">SKU column: confirmed mfr codes noted above; others are internal reference codes</t>
  </si>
  <si>
    <t xml:space="preserve">Hex Note</t>
  </si>
  <si>
    <t xml:space="preserve">Per-row confirmation status is tracked in each Catalog row's Notes column (manufacturer TDS-confirmed, official product-page confirmed, or unconfirmed placeholder). #999999 in the Hex Code column always means unconfirmed placeholder, not a real color.</t>
  </si>
  <si>
    <t xml:space="preserve">Approximate hex = visually representative; not manufacturer-confirmed</t>
  </si>
  <si>
    <t xml:space="preserve">Inventory Note</t>
  </si>
  <si>
    <t xml:space="preserve">This workbook covers catalog reference data only. On-hand spool inventory is tracked separately in Filament_Inventory.xlsx.</t>
  </si>
  <si>
    <t xml:space="preserve">Split from per-brand Inventory Tracker sheets, 2026-07-23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</si>
</sst>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sz val="10"/>
      <color rgb="FF7F6000"/>
      <name val="Arial"/>
      <family val="0"/>
      <charset val="1"/>
    </font>
  </fonts>
  <fills count="49">
    <fill>
      <patternFill patternType="none"/>
    </fill>
    <fill>
      <patternFill patternType="gray125"/>
    </fill>
    <fill>
      <patternFill patternType="solid">
        <fgColor rgb="FF1E3563"/>
        <bgColor rgb="FF2F5496"/>
      </patternFill>
    </fill>
    <fill>
      <patternFill patternType="solid">
        <fgColor rgb="FF2F5496"/>
        <bgColor rgb="FF065CBD"/>
      </patternFill>
    </fill>
    <fill>
      <patternFill patternType="solid">
        <fgColor rgb="FFF2F2F2"/>
        <bgColor rgb="FFEFEFEF"/>
      </patternFill>
    </fill>
    <fill>
      <patternFill patternType="solid">
        <fgColor rgb="FFFFFFFF"/>
        <bgColor rgb="FFFDFDFD"/>
      </patternFill>
    </fill>
    <fill>
      <patternFill patternType="solid">
        <fgColor rgb="FFFFD700"/>
        <bgColor rgb="FFF5C518"/>
      </patternFill>
    </fill>
    <fill>
      <patternFill patternType="solid">
        <fgColor rgb="FF92D050"/>
        <bgColor rgb="FFC0C0C0"/>
      </patternFill>
    </fill>
    <fill>
      <patternFill patternType="solid">
        <fgColor rgb="FFBDD7EE"/>
        <bgColor rgb="FFB8CCE4"/>
      </patternFill>
    </fill>
    <fill>
      <patternFill patternType="solid">
        <fgColor rgb="FFF4B8B8"/>
        <bgColor rgb="FFFFC7CE"/>
      </patternFill>
    </fill>
    <fill>
      <patternFill patternType="solid">
        <fgColor rgb="FFFFEB9C"/>
        <bgColor rgb="FFFFF2CC"/>
      </patternFill>
    </fill>
    <fill>
      <patternFill patternType="solid">
        <fgColor rgb="FF0E0E0E"/>
        <bgColor rgb="FF000000"/>
      </patternFill>
    </fill>
    <fill>
      <patternFill patternType="solid">
        <fgColor rgb="FFE2E2E2"/>
        <bgColor rgb="FFE1E1E1"/>
      </patternFill>
    </fill>
    <fill>
      <patternFill patternType="solid">
        <fgColor rgb="FFEEF3FB"/>
        <bgColor rgb="FFE8F4FC"/>
      </patternFill>
    </fill>
    <fill>
      <patternFill patternType="solid">
        <fgColor rgb="FF808080"/>
        <bgColor rgb="FF7F7F7F"/>
      </patternFill>
    </fill>
    <fill>
      <patternFill patternType="solid">
        <fgColor rgb="FFEFEFEF"/>
        <bgColor rgb="FFF2F2F2"/>
      </patternFill>
    </fill>
    <fill>
      <patternFill patternType="solid">
        <fgColor rgb="FFCC0000"/>
        <bgColor rgb="FF9C0006"/>
      </patternFill>
    </fill>
    <fill>
      <patternFill patternType="solid">
        <fgColor rgb="FFF8E0E0"/>
        <bgColor rgb="FFF1E8E2"/>
      </patternFill>
    </fill>
    <fill>
      <patternFill patternType="solid">
        <fgColor rgb="FFF5F5F5"/>
        <bgColor rgb="FFF7F7F7"/>
      </patternFill>
    </fill>
    <fill>
      <patternFill patternType="solid">
        <fgColor rgb="FFFDFDFD"/>
        <bgColor rgb="FFFCFDFE"/>
      </patternFill>
    </fill>
    <fill>
      <patternFill patternType="solid">
        <fgColor rgb="FF999999"/>
        <bgColor rgb="FF808080"/>
      </patternFill>
    </fill>
    <fill>
      <patternFill patternType="solid">
        <fgColor rgb="FFE1E1E1"/>
        <bgColor rgb="FFE2E2E2"/>
      </patternFill>
    </fill>
    <fill>
      <patternFill patternType="solid">
        <fgColor rgb="FF065CBD"/>
        <bgColor rgb="FF2F5496"/>
      </patternFill>
    </fill>
    <fill>
      <patternFill patternType="solid">
        <fgColor rgb="FFE0EAF4"/>
        <bgColor rgb="FFE4EBF8"/>
      </patternFill>
    </fill>
    <fill>
      <patternFill patternType="solid">
        <fgColor rgb="FFD8EEF8"/>
        <bgColor rgb="FFE0EFEF"/>
      </patternFill>
    </fill>
    <fill>
      <patternFill patternType="solid">
        <fgColor rgb="FFFAFCFE"/>
        <bgColor rgb="FFFCFDFE"/>
      </patternFill>
    </fill>
    <fill>
      <patternFill patternType="darkGray">
        <fgColor rgb="FF065CBD"/>
        <bgColor rgb="FF2F5496"/>
      </patternFill>
    </fill>
    <fill>
      <patternFill patternType="solid">
        <fgColor rgb="FFE4EBF8"/>
        <bgColor rgb="FFE0EAF4"/>
      </patternFill>
    </fill>
    <fill>
      <patternFill patternType="solid">
        <fgColor rgb="FFF5C518"/>
        <bgColor rgb="FFFFD700"/>
      </patternFill>
    </fill>
    <fill>
      <patternFill patternType="solid">
        <fgColor rgb="FFFDF8E3"/>
        <bgColor rgb="FFFDF0E4"/>
      </patternFill>
    </fill>
    <fill>
      <patternFill patternType="solid">
        <fgColor rgb="FF874806"/>
        <bgColor rgb="FF833C00"/>
      </patternFill>
    </fill>
    <fill>
      <patternFill patternType="solid">
        <fgColor rgb="FFF1E8E2"/>
        <bgColor rgb="FFEFEFEF"/>
      </patternFill>
    </fill>
    <fill>
      <patternFill patternType="darkGray">
        <fgColor rgb="FF09866C"/>
        <bgColor rgb="FF276221"/>
      </patternFill>
    </fill>
    <fill>
      <patternFill patternType="solid">
        <fgColor rgb="FFE5F1EA"/>
        <bgColor rgb="FFE0EFEF"/>
      </patternFill>
    </fill>
    <fill>
      <patternFill patternType="darkGray">
        <fgColor rgb="FF1E3563"/>
        <bgColor rgb="FF0E0E0E"/>
      </patternFill>
    </fill>
    <fill>
      <patternFill patternType="solid">
        <fgColor rgb="FFE3E5EB"/>
        <bgColor rgb="FFE2E2E2"/>
      </patternFill>
    </fill>
    <fill>
      <patternFill patternType="solid">
        <fgColor rgb="FFF5821F"/>
        <bgColor rgb="FFF5C518"/>
      </patternFill>
    </fill>
    <fill>
      <patternFill patternType="solid">
        <fgColor rgb="FFFDF0E4"/>
        <bgColor rgb="FFFDF8E3"/>
      </patternFill>
    </fill>
    <fill>
      <patternFill patternType="solid">
        <fgColor rgb="FFFF69B4"/>
        <bgColor rgb="FFF5821F"/>
      </patternFill>
    </fill>
    <fill>
      <patternFill patternType="solid">
        <fgColor rgb="FFFFEDF6"/>
        <bgColor rgb="FFFDF0E4"/>
      </patternFill>
    </fill>
    <fill>
      <patternFill patternType="solid">
        <fgColor rgb="FF6A0DAD"/>
        <bgColor rgb="FF1E3563"/>
      </patternFill>
    </fill>
    <fill>
      <patternFill patternType="solid">
        <fgColor rgb="FFEDE1F5"/>
        <bgColor rgb="FFE3E5EB"/>
      </patternFill>
    </fill>
    <fill>
      <patternFill patternType="solid">
        <fgColor rgb="FFC0C0C0"/>
        <bgColor rgb="FFB8CCE4"/>
      </patternFill>
    </fill>
    <fill>
      <patternFill patternType="solid">
        <fgColor rgb="FFF7F7F7"/>
        <bgColor rgb="FFF5F5F5"/>
      </patternFill>
    </fill>
    <fill>
      <patternFill patternType="darkGray">
        <fgColor rgb="FF09866C"/>
        <bgColor rgb="FF065CBD"/>
      </patternFill>
    </fill>
    <fill>
      <patternFill patternType="solid">
        <fgColor rgb="FFE0EFEF"/>
        <bgColor rgb="FFE5F1EA"/>
      </patternFill>
    </fill>
    <fill>
      <patternFill patternType="solid">
        <fgColor rgb="FFE8F4FC"/>
        <bgColor rgb="FFEEF3FB"/>
      </patternFill>
    </fill>
    <fill>
      <patternFill patternType="solid">
        <fgColor rgb="FFFCFDFE"/>
        <bgColor rgb="FFFDFDFD"/>
      </patternFill>
    </fill>
    <fill>
      <patternFill patternType="solid">
        <fgColor rgb="FFFFF2CC"/>
        <bgColor rgb="FFFDF0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3"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276221"/>
      </font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57A8"/>
          <bgColor rgb="FF000000"/>
        </patternFill>
      </fill>
    </dxf>
    <dxf>
      <fill>
        <patternFill patternType="solid">
          <fgColor rgb="FF008080"/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1A2A5A"/>
          <bgColor rgb="FF000000"/>
        </patternFill>
      </fill>
    </dxf>
    <dxf>
      <fill>
        <patternFill patternType="solid">
          <fgColor rgb="FF2060C8"/>
          <bgColor rgb="FF000000"/>
        </patternFill>
      </fill>
    </dxf>
    <dxf>
      <fill>
        <patternFill patternType="solid">
          <fgColor rgb="FF2E8B57"/>
          <bgColor rgb="FF000000"/>
        </patternFill>
      </fill>
    </dxf>
    <dxf>
      <fill>
        <patternFill patternType="solid">
          <fgColor rgb="FF6A0DAD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8B4513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C0C0C0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ill>
        <patternFill patternType="solid">
          <fgColor rgb="FFD8EEF8"/>
          <bgColor rgb="FF000000"/>
        </patternFill>
      </fill>
    </dxf>
    <dxf>
      <fill>
        <patternFill patternType="solid">
          <fgColor rgb="FFE8F4FC"/>
          <bgColor rgb="FF000000"/>
        </patternFill>
      </fill>
    </dxf>
    <dxf>
      <fill>
        <patternFill patternType="solid">
          <fgColor rgb="FFF5821F"/>
          <bgColor rgb="FF000000"/>
        </patternFill>
      </fill>
    </dxf>
    <dxf>
      <fill>
        <patternFill patternType="solid">
          <fgColor rgb="FFF5C518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69B4"/>
          <bgColor rgb="FF000000"/>
        </patternFill>
      </fill>
    </dxf>
    <dxf>
      <fill>
        <patternFill patternType="solid">
          <fgColor rgb="FFE0EAF4"/>
          <bgColor rgb="FF000000"/>
        </patternFill>
      </fill>
    </dxf>
    <dxf>
      <fill>
        <patternFill patternType="solid">
          <fgColor rgb="FFE0EFEF"/>
          <bgColor rgb="FF000000"/>
        </patternFill>
      </fill>
    </dxf>
    <dxf>
      <fill>
        <patternFill patternType="solid">
          <fgColor rgb="FFE1E1E1"/>
          <bgColor rgb="FF000000"/>
        </patternFill>
      </fill>
    </dxf>
    <dxf>
      <fill>
        <patternFill patternType="solid">
          <fgColor rgb="FFE2E2E2"/>
          <bgColor rgb="FF000000"/>
        </patternFill>
      </fill>
    </dxf>
    <dxf>
      <fill>
        <patternFill patternType="solid">
          <fgColor rgb="FFE3E5EB"/>
          <bgColor rgb="FF000000"/>
        </patternFill>
      </fill>
    </dxf>
    <dxf>
      <fill>
        <patternFill patternType="solid">
          <fgColor rgb="FFE4EBF8"/>
          <bgColor rgb="FF000000"/>
        </patternFill>
      </fill>
    </dxf>
    <dxf>
      <fill>
        <patternFill patternType="solid">
          <fgColor rgb="FFE5F1EA"/>
          <bgColor rgb="FF000000"/>
        </patternFill>
      </fill>
    </dxf>
    <dxf>
      <fill>
        <patternFill patternType="solid">
          <fgColor rgb="FFEDE1F5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1E8E2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fgColor rgb="FFF8E0E0"/>
          <bgColor rgb="FF000000"/>
        </patternFill>
      </fill>
    </dxf>
    <dxf>
      <fill>
        <patternFill patternType="solid">
          <fgColor rgb="FFFAFCFE"/>
          <bgColor rgb="FF000000"/>
        </patternFill>
      </fill>
    </dxf>
    <dxf>
      <fill>
        <patternFill patternType="solid">
          <fgColor rgb="FFFCFDFE"/>
          <bgColor rgb="FF000000"/>
        </patternFill>
      </fill>
    </dxf>
    <dxf>
      <fill>
        <patternFill patternType="solid">
          <fgColor rgb="FFFDF0E4"/>
          <bgColor rgb="FF000000"/>
        </patternFill>
      </fill>
    </dxf>
    <dxf>
      <fill>
        <patternFill patternType="solid">
          <fgColor rgb="FFFDF8E3"/>
          <bgColor rgb="FF000000"/>
        </patternFill>
      </fill>
    </dxf>
    <dxf>
      <fill>
        <patternFill patternType="solid">
          <fgColor rgb="FFFDFDFD"/>
          <bgColor rgb="FF000000"/>
        </patternFill>
      </fill>
    </dxf>
    <dxf>
      <fill>
        <patternFill patternType="solid">
          <fgColor rgb="FFFFEDF6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276221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4B8B8"/>
          <bgColor rgb="FF000000"/>
        </patternFill>
      </fill>
    </dxf>
    <dxf>
      <font>
        <name val="Arial"/>
        <charset val="1"/>
        <family val="0"/>
        <color rgb="FF7F6000"/>
      </font>
      <fill>
        <patternFill>
          <bgColor rgb="FFFFD700"/>
        </patternFill>
      </fill>
    </dxf>
    <dxf>
      <font>
        <name val="Arial"/>
        <charset val="1"/>
        <family val="0"/>
        <color rgb="FF276221"/>
      </font>
      <fill>
        <patternFill>
          <bgColor rgb="FF92D050"/>
        </patternFill>
      </fill>
    </dxf>
    <dxf>
      <font>
        <name val="Arial"/>
        <charset val="1"/>
        <family val="0"/>
        <color rgb="FF1F3864"/>
      </font>
      <fill>
        <patternFill>
          <bgColor rgb="FFBDD7EE"/>
        </patternFill>
      </fill>
    </dxf>
    <dxf>
      <font>
        <name val="Arial"/>
        <charset val="1"/>
        <family val="0"/>
        <color rgb="FF9C0006"/>
      </font>
      <fill>
        <patternFill>
          <bgColor rgb="FFF4B8B8"/>
        </patternFill>
      </fill>
    </dxf>
    <dxf>
      <font>
        <name val="Arial"/>
        <charset val="1"/>
        <family val="0"/>
        <color rgb="FF276221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7F4F00"/>
      </font>
      <fill>
        <patternFill>
          <bgColor rgb="FFFFCC66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CC0000"/>
      <rgbColor rgb="FFE8F4FC"/>
      <rgbColor rgb="FFF7F7F7"/>
      <rgbColor rgb="FFF5C518"/>
      <rgbColor rgb="FFFFEDF6"/>
      <rgbColor rgb="FFE0EAF4"/>
      <rgbColor rgb="FF9C0006"/>
      <rgbColor rgb="FF276221"/>
      <rgbColor rgb="FFFCFDFE"/>
      <rgbColor rgb="FF7F6000"/>
      <rgbColor rgb="FF6A0DAD"/>
      <rgbColor rgb="FF09866C"/>
      <rgbColor rgb="FFC0C0C0"/>
      <rgbColor rgb="FF808080"/>
      <rgbColor rgb="FFE1E1E1"/>
      <rgbColor rgb="FF874806"/>
      <rgbColor rgb="FFFDF8E3"/>
      <rgbColor rgb="FFD8EEF8"/>
      <rgbColor rgb="FFEEF3FB"/>
      <rgbColor rgb="FFFF69B4"/>
      <rgbColor rgb="FF065CBD"/>
      <rgbColor rgb="FFBDD7EE"/>
      <rgbColor rgb="FFFDFDFD"/>
      <rgbColor rgb="FFEFEFEF"/>
      <rgbColor rgb="FFFFF2CC"/>
      <rgbColor rgb="FFE4EBF8"/>
      <rgbColor rgb="FFFDF0E4"/>
      <rgbColor rgb="FFF5F5F5"/>
      <rgbColor rgb="FFF1E8E2"/>
      <rgbColor rgb="FFFAFCFE"/>
      <rgbColor rgb="FFE5F1EA"/>
      <rgbColor rgb="FFE0EFEF"/>
      <rgbColor rgb="FFC6EFCE"/>
      <rgbColor rgb="FFFFEB9C"/>
      <rgbColor rgb="FFB8CCE4"/>
      <rgbColor rgb="FFF4B8B8"/>
      <rgbColor rgb="FFFFC7CE"/>
      <rgbColor rgb="FFFFCC66"/>
      <rgbColor rgb="FFEDE1F5"/>
      <rgbColor rgb="FFE2E2E2"/>
      <rgbColor rgb="FF92D050"/>
      <rgbColor rgb="FFFFD700"/>
      <rgbColor rgb="FFF5821F"/>
      <rgbColor rgb="FFF8E0E0"/>
      <rgbColor rgb="FF7F7F7F"/>
      <rgbColor rgb="FF999999"/>
      <rgbColor rgb="FF1E3563"/>
      <rgbColor rgb="FFE3E5EB"/>
      <rgbColor rgb="FF0E0E0E"/>
      <rgbColor rgb="FFF2F2F2"/>
      <rgbColor rgb="FF833C00"/>
      <rgbColor rgb="FF9C5700"/>
      <rgbColor rgb="FF2F5496"/>
      <rgbColor rgb="FF3A50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H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8" min="3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>
      <c r="A4" s="3" t="s">
        <v>2</v>
      </c>
      <c r="B4" s="4" t="n">
        <f aca="false">COUNTA(Catalog!C3:C1000)-COUNTIF(Catalog!T3:T1000,"~[DISCONTINUED~]*")</f>
        <v>48</v>
      </c>
    </row>
    <row r="5" customFormat="false" ht="18" hidden="false" customHeight="true" outlineLevel="0" collapsed="false">
      <c r="A5" s="3" t="s">
        <v>3</v>
      </c>
      <c r="B5" s="5" t="n">
        <f aca="false">COUNTIF(Catalog!R3:R1000,"S")</f>
        <v>0</v>
      </c>
    </row>
    <row r="6" customFormat="false" ht="18" hidden="false" customHeight="true" outlineLevel="0" collapsed="false">
      <c r="A6" s="3" t="s">
        <v>4</v>
      </c>
      <c r="B6" s="6" t="n">
        <f aca="false">COUNTIF(Catalog!R3:R1000,"A")</f>
        <v>25</v>
      </c>
    </row>
    <row r="7" customFormat="false" ht="18" hidden="false" customHeight="true" outlineLevel="0" collapsed="false">
      <c r="A7" s="3" t="s">
        <v>5</v>
      </c>
      <c r="B7" s="7" t="n">
        <f aca="false">COUNTIF(Catalog!R3:R1000,"B")</f>
        <v>6</v>
      </c>
    </row>
    <row r="8" customFormat="false" ht="18" hidden="false" customHeight="true" outlineLevel="0" collapsed="false">
      <c r="A8" s="3" t="s">
        <v>6</v>
      </c>
      <c r="B8" s="8" t="n">
        <f aca="false">COUNTIF(Catalog!R3:R1000,"C")</f>
        <v>17</v>
      </c>
    </row>
    <row r="9" customFormat="false" ht="18" hidden="false" customHeight="true" outlineLevel="0" collapsed="false">
      <c r="A9" s="3" t="s">
        <v>7</v>
      </c>
      <c r="B9" s="9" t="n">
        <f aca="false">COUNTIF(Catalog!J3:J1000,"Yes")</f>
        <v>0</v>
      </c>
    </row>
    <row r="11" customFormat="false" ht="18" hidden="false" customHeight="true" outlineLevel="0" collapsed="false">
      <c r="A11" s="2" t="s">
        <v>8</v>
      </c>
      <c r="B11" s="2"/>
      <c r="C11" s="2"/>
      <c r="D11" s="2"/>
      <c r="E11" s="2"/>
      <c r="F11" s="2"/>
      <c r="G11" s="2"/>
      <c r="H11" s="2"/>
    </row>
    <row r="12" customFormat="false" ht="18" hidden="false" customHeight="true" outlineLevel="0" collapsed="false">
      <c r="A12" s="10" t="s">
        <v>9</v>
      </c>
      <c r="B12" s="11" t="s">
        <v>10</v>
      </c>
      <c r="C12" s="11"/>
      <c r="D12" s="11"/>
      <c r="E12" s="11"/>
      <c r="F12" s="11"/>
      <c r="G12" s="11"/>
      <c r="H12" s="11"/>
    </row>
    <row r="13" customFormat="false" ht="18" hidden="false" customHeight="true" outlineLevel="0" collapsed="false">
      <c r="A13" s="12" t="s">
        <v>11</v>
      </c>
      <c r="B13" s="11" t="s">
        <v>12</v>
      </c>
      <c r="C13" s="11"/>
      <c r="D13" s="11"/>
      <c r="E13" s="11"/>
      <c r="F13" s="11"/>
      <c r="G13" s="11"/>
      <c r="H13" s="11"/>
    </row>
    <row r="14" customFormat="false" ht="18" hidden="false" customHeight="true" outlineLevel="0" collapsed="false">
      <c r="A14" s="13" t="s">
        <v>13</v>
      </c>
      <c r="B14" s="11" t="s">
        <v>14</v>
      </c>
      <c r="C14" s="11"/>
      <c r="D14" s="11"/>
      <c r="E14" s="11"/>
      <c r="F14" s="11"/>
      <c r="G14" s="11"/>
      <c r="H14" s="11"/>
    </row>
    <row r="15" customFormat="false" ht="18" hidden="false" customHeight="true" outlineLevel="0" collapsed="false">
      <c r="A15" s="14" t="s">
        <v>15</v>
      </c>
      <c r="B15" s="11" t="s">
        <v>16</v>
      </c>
      <c r="C15" s="11"/>
      <c r="D15" s="11"/>
      <c r="E15" s="11"/>
      <c r="F15" s="11"/>
      <c r="G15" s="11"/>
      <c r="H15" s="11"/>
    </row>
    <row r="17" customFormat="false" ht="18" hidden="false" customHeight="true" outlineLevel="0" collapsed="false">
      <c r="A17" s="2" t="s">
        <v>17</v>
      </c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15" t="s">
        <v>18</v>
      </c>
      <c r="B18" s="15"/>
      <c r="C18" s="15"/>
      <c r="D18" s="15"/>
      <c r="E18" s="15"/>
      <c r="F18" s="15"/>
      <c r="G18" s="15"/>
      <c r="H18" s="15"/>
    </row>
    <row r="19" customFormat="false" ht="18" hidden="false" customHeight="true" outlineLevel="0" collapsed="false">
      <c r="A19" s="3" t="s">
        <v>19</v>
      </c>
      <c r="B19" s="16" t="str">
        <f aca="false">Config!$B$5</f>
        <v>2026-10-14</v>
      </c>
    </row>
    <row r="21" customFormat="false" ht="18" hidden="false" customHeight="true" outlineLevel="0" collapsed="false">
      <c r="A21" s="2" t="s">
        <v>20</v>
      </c>
      <c r="B21" s="2"/>
      <c r="C21" s="2"/>
      <c r="D21" s="2"/>
      <c r="E21" s="2"/>
      <c r="F21" s="2"/>
      <c r="G21" s="2"/>
      <c r="H21" s="2"/>
    </row>
    <row r="22" customFormat="false" ht="19.5" hidden="false" customHeight="true" outlineLevel="0" collapsed="false">
      <c r="A22" s="17" t="str">
        <f aca="false">IF(COUNTIF(Catalog!J3:J1000,"Yes")&gt;0,"⚠  One or more filaments require the AMS Adapter Ring — see Catalog column J","✓  No filaments in this catalog require the AMS Adapter Ring")</f>
        <v>✓  No filaments in this catalog require the AMS Adapter Ring</v>
      </c>
      <c r="B22" s="17"/>
      <c r="C22" s="17"/>
      <c r="D22" s="17"/>
      <c r="E22" s="17"/>
      <c r="F22" s="17"/>
      <c r="G22" s="17"/>
      <c r="H22" s="17"/>
    </row>
    <row r="24" customFormat="false" ht="18" hidden="false" customHeight="true" outlineLevel="0" collapsed="false">
      <c r="A24" s="2" t="s">
        <v>21</v>
      </c>
      <c r="B24" s="2"/>
      <c r="C24" s="2"/>
      <c r="D24" s="2"/>
      <c r="E24" s="2"/>
      <c r="F24" s="2"/>
      <c r="G24" s="2"/>
      <c r="H24" s="2"/>
    </row>
    <row r="25" customFormat="false" ht="21.75" hidden="false" customHeight="true" outlineLevel="0" collapsed="false">
      <c r="A25" s="18" t="s">
        <v>22</v>
      </c>
      <c r="B25" s="18" t="s">
        <v>23</v>
      </c>
    </row>
    <row r="26" customFormat="false" ht="18" hidden="false" customHeight="true" outlineLevel="0" collapsed="false">
      <c r="A26" s="19" t="s">
        <v>24</v>
      </c>
      <c r="B26" s="20" t="n">
        <f aca="false">COUNTIF(Catalog!A3:A700,"ABS")</f>
        <v>4</v>
      </c>
    </row>
    <row r="27" customFormat="false" ht="18" hidden="false" customHeight="true" outlineLevel="0" collapsed="false">
      <c r="A27" s="19" t="s">
        <v>25</v>
      </c>
      <c r="B27" s="20" t="n">
        <f aca="false">COUNTIF(Catalog!A3:A700,"ASA")</f>
        <v>7</v>
      </c>
    </row>
    <row r="28" customFormat="false" ht="18" hidden="false" customHeight="true" outlineLevel="0" collapsed="false">
      <c r="A28" s="19" t="s">
        <v>26</v>
      </c>
      <c r="B28" s="20" t="n">
        <f aca="false">COUNTIF(Catalog!A3:A700,"PA")</f>
        <v>8</v>
      </c>
    </row>
    <row r="29" customFormat="false" ht="18" hidden="false" customHeight="true" outlineLevel="0" collapsed="false">
      <c r="A29" s="19" t="s">
        <v>27</v>
      </c>
      <c r="B29" s="20" t="n">
        <f aca="false">COUNTIF(Catalog!A3:A700,"PETG")</f>
        <v>6</v>
      </c>
    </row>
    <row r="30" customFormat="false" ht="18" hidden="false" customHeight="true" outlineLevel="0" collapsed="false">
      <c r="A30" s="19" t="s">
        <v>28</v>
      </c>
      <c r="B30" s="20" t="n">
        <f aca="false">COUNTIF(Catalog!A3:A700,"PLA (Build Series)")</f>
        <v>6</v>
      </c>
    </row>
    <row r="31" customFormat="false" ht="18" hidden="false" customHeight="true" outlineLevel="0" collapsed="false">
      <c r="A31" s="19" t="s">
        <v>29</v>
      </c>
      <c r="B31" s="20" t="n">
        <f aca="false">COUNTIF(Catalog!A3:A700,"PLA (PRO Series)")</f>
        <v>15</v>
      </c>
    </row>
    <row r="32" customFormat="false" ht="18" hidden="false" customHeight="true" outlineLevel="0" collapsed="false">
      <c r="A32" s="19" t="s">
        <v>30</v>
      </c>
      <c r="B32" s="20" t="n">
        <f aca="false">COUNTIF(Catalog!A3:A700,"PLA (Tough)")</f>
        <v>1</v>
      </c>
    </row>
    <row r="33" customFormat="false" ht="18" hidden="false" customHeight="true" outlineLevel="0" collapsed="false">
      <c r="A33" s="19" t="s">
        <v>31</v>
      </c>
      <c r="B33" s="20" t="n">
        <f aca="false">COUNTIF(Catalog!A3:A700,"TPU")</f>
        <v>1</v>
      </c>
    </row>
  </sheetData>
  <mergeCells count="12">
    <mergeCell ref="A1:H1"/>
    <mergeCell ref="A3:H3"/>
    <mergeCell ref="A11:H11"/>
    <mergeCell ref="B12:H12"/>
    <mergeCell ref="B13:H13"/>
    <mergeCell ref="B14:H14"/>
    <mergeCell ref="B15:H15"/>
    <mergeCell ref="A17:H17"/>
    <mergeCell ref="A18:H18"/>
    <mergeCell ref="A21:H21"/>
    <mergeCell ref="A22:H22"/>
    <mergeCell ref="A24:H24"/>
  </mergeCells>
  <conditionalFormatting sqref="A22:H22">
    <cfRule type="expression" priority="2" aboveAverage="0" equalAverage="0" bottom="0" percent="0" rank="0" text="" dxfId="0">
      <formula>NOT(ISERROR(SEARCH("⚠",A22)))</formula>
    </cfRule>
    <cfRule type="expression" priority="3" aboveAverage="0" equalAverage="0" bottom="0" percent="0" rank="0" text="" dxfId="1">
      <formula>NOT(ISERROR(SEARCH("✓",A22)))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T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1" max="17" min="14" style="0" width="9"/>
    <col collapsed="false" customWidth="true" hidden="false" outlineLevel="0" max="18" min="18" style="0" width="9"/>
    <col collapsed="false" customWidth="true" hidden="false" outlineLevel="0" max="20" min="19" style="0" width="48"/>
  </cols>
  <sheetData>
    <row r="1" customFormat="false" ht="30" hidden="false" customHeight="true" outlineLevel="0" collapsed="false">
      <c r="A1" s="21" t="s">
        <v>32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customFormat="false" ht="33.75" hidden="false" customHeight="true" outlineLevel="0" collapsed="false">
      <c r="A2" s="22" t="s">
        <v>22</v>
      </c>
      <c r="B2" s="22" t="s">
        <v>33</v>
      </c>
      <c r="C2" s="22" t="s">
        <v>34</v>
      </c>
      <c r="D2" s="22" t="s">
        <v>35</v>
      </c>
      <c r="E2" s="22" t="s">
        <v>36</v>
      </c>
      <c r="F2" s="22" t="s">
        <v>37</v>
      </c>
      <c r="G2" s="22" t="s">
        <v>38</v>
      </c>
      <c r="H2" s="22" t="s">
        <v>39</v>
      </c>
      <c r="I2" s="22" t="s">
        <v>40</v>
      </c>
      <c r="J2" s="22" t="s">
        <v>41</v>
      </c>
      <c r="K2" s="22" t="s">
        <v>42</v>
      </c>
      <c r="L2" s="22" t="s">
        <v>43</v>
      </c>
      <c r="M2" s="22" t="s">
        <v>44</v>
      </c>
      <c r="N2" s="22" t="s">
        <v>45</v>
      </c>
      <c r="O2" s="22" t="s">
        <v>46</v>
      </c>
      <c r="P2" s="22" t="s">
        <v>47</v>
      </c>
      <c r="Q2" s="22" t="s">
        <v>48</v>
      </c>
      <c r="R2" s="22" t="s">
        <v>49</v>
      </c>
      <c r="S2" s="22" t="s">
        <v>50</v>
      </c>
      <c r="T2" s="22" t="s">
        <v>51</v>
      </c>
    </row>
    <row r="3" customFormat="false" ht="19.5" hidden="false" customHeight="true" outlineLevel="0" collapsed="false">
      <c r="A3" s="23" t="s">
        <v>24</v>
      </c>
      <c r="B3" s="23" t="s">
        <v>52</v>
      </c>
      <c r="C3" s="23" t="s">
        <v>53</v>
      </c>
      <c r="D3" s="23" t="s">
        <v>54</v>
      </c>
      <c r="E3" s="24"/>
      <c r="F3" s="25" t="s">
        <v>55</v>
      </c>
      <c r="G3" s="16" t="s">
        <v>56</v>
      </c>
      <c r="H3" s="16" t="s">
        <v>57</v>
      </c>
      <c r="I3" s="16" t="s">
        <v>58</v>
      </c>
      <c r="J3" s="16" t="s">
        <v>59</v>
      </c>
      <c r="K3" s="16" t="s">
        <v>60</v>
      </c>
      <c r="L3" s="16" t="s">
        <v>61</v>
      </c>
      <c r="M3" s="16" t="s">
        <v>62</v>
      </c>
      <c r="N3" s="16" t="s">
        <v>63</v>
      </c>
      <c r="O3" s="16" t="s">
        <v>64</v>
      </c>
      <c r="P3" s="16" t="s">
        <v>63</v>
      </c>
      <c r="Q3" s="16" t="s">
        <v>63</v>
      </c>
      <c r="R3" s="16" t="s">
        <v>65</v>
      </c>
      <c r="S3" s="23" t="s">
        <v>66</v>
      </c>
      <c r="T3" s="23" t="s">
        <v>67</v>
      </c>
    </row>
    <row r="4" customFormat="false" ht="19.5" hidden="false" customHeight="true" outlineLevel="0" collapsed="false">
      <c r="A4" s="26" t="s">
        <v>24</v>
      </c>
      <c r="B4" s="26" t="s">
        <v>68</v>
      </c>
      <c r="C4" s="26" t="s">
        <v>53</v>
      </c>
      <c r="D4" s="26" t="s">
        <v>69</v>
      </c>
      <c r="E4" s="27"/>
      <c r="F4" s="28" t="s">
        <v>70</v>
      </c>
      <c r="G4" s="29" t="s">
        <v>56</v>
      </c>
      <c r="H4" s="29" t="s">
        <v>57</v>
      </c>
      <c r="I4" s="29" t="s">
        <v>58</v>
      </c>
      <c r="J4" s="29" t="s">
        <v>59</v>
      </c>
      <c r="K4" s="29" t="s">
        <v>60</v>
      </c>
      <c r="L4" s="29" t="s">
        <v>61</v>
      </c>
      <c r="M4" s="29" t="s">
        <v>62</v>
      </c>
      <c r="N4" s="29" t="s">
        <v>63</v>
      </c>
      <c r="O4" s="29" t="s">
        <v>64</v>
      </c>
      <c r="P4" s="29" t="s">
        <v>63</v>
      </c>
      <c r="Q4" s="29" t="s">
        <v>63</v>
      </c>
      <c r="R4" s="29" t="s">
        <v>65</v>
      </c>
      <c r="S4" s="26" t="s">
        <v>66</v>
      </c>
      <c r="T4" s="26" t="s">
        <v>67</v>
      </c>
    </row>
    <row r="5" customFormat="false" ht="19.5" hidden="false" customHeight="true" outlineLevel="0" collapsed="false">
      <c r="A5" s="23" t="s">
        <v>24</v>
      </c>
      <c r="B5" s="23" t="s">
        <v>71</v>
      </c>
      <c r="C5" s="23" t="s">
        <v>53</v>
      </c>
      <c r="D5" s="23" t="s">
        <v>72</v>
      </c>
      <c r="E5" s="30"/>
      <c r="F5" s="31" t="s">
        <v>73</v>
      </c>
      <c r="G5" s="16" t="s">
        <v>56</v>
      </c>
      <c r="H5" s="16" t="s">
        <v>57</v>
      </c>
      <c r="I5" s="16" t="s">
        <v>58</v>
      </c>
      <c r="J5" s="16" t="s">
        <v>59</v>
      </c>
      <c r="K5" s="16" t="s">
        <v>60</v>
      </c>
      <c r="L5" s="16" t="s">
        <v>61</v>
      </c>
      <c r="M5" s="16" t="s">
        <v>62</v>
      </c>
      <c r="N5" s="16" t="s">
        <v>63</v>
      </c>
      <c r="O5" s="16" t="s">
        <v>64</v>
      </c>
      <c r="P5" s="16" t="s">
        <v>63</v>
      </c>
      <c r="Q5" s="16" t="s">
        <v>63</v>
      </c>
      <c r="R5" s="16" t="s">
        <v>65</v>
      </c>
      <c r="S5" s="23" t="s">
        <v>66</v>
      </c>
      <c r="T5" s="23" t="s">
        <v>67</v>
      </c>
    </row>
    <row r="6" customFormat="false" ht="19.5" hidden="false" customHeight="true" outlineLevel="0" collapsed="false">
      <c r="A6" s="26" t="s">
        <v>24</v>
      </c>
      <c r="B6" s="26" t="s">
        <v>74</v>
      </c>
      <c r="C6" s="26" t="s">
        <v>53</v>
      </c>
      <c r="D6" s="26" t="s">
        <v>75</v>
      </c>
      <c r="E6" s="32"/>
      <c r="F6" s="33" t="s">
        <v>76</v>
      </c>
      <c r="G6" s="29" t="s">
        <v>56</v>
      </c>
      <c r="H6" s="29" t="s">
        <v>57</v>
      </c>
      <c r="I6" s="29" t="s">
        <v>58</v>
      </c>
      <c r="J6" s="29" t="s">
        <v>59</v>
      </c>
      <c r="K6" s="29" t="s">
        <v>60</v>
      </c>
      <c r="L6" s="29" t="s">
        <v>61</v>
      </c>
      <c r="M6" s="29" t="s">
        <v>62</v>
      </c>
      <c r="N6" s="29" t="s">
        <v>63</v>
      </c>
      <c r="O6" s="29" t="s">
        <v>64</v>
      </c>
      <c r="P6" s="29" t="s">
        <v>63</v>
      </c>
      <c r="Q6" s="29" t="s">
        <v>63</v>
      </c>
      <c r="R6" s="29" t="s">
        <v>65</v>
      </c>
      <c r="S6" s="26" t="s">
        <v>66</v>
      </c>
      <c r="T6" s="26" t="s">
        <v>67</v>
      </c>
    </row>
    <row r="7" customFormat="false" ht="19.5" hidden="false" customHeight="true" outlineLevel="0" collapsed="false">
      <c r="A7" s="23" t="s">
        <v>25</v>
      </c>
      <c r="B7" s="23" t="s">
        <v>77</v>
      </c>
      <c r="C7" s="23" t="s">
        <v>78</v>
      </c>
      <c r="D7" s="23" t="s">
        <v>54</v>
      </c>
      <c r="E7" s="34"/>
      <c r="F7" s="35" t="s">
        <v>79</v>
      </c>
      <c r="G7" s="16" t="s">
        <v>56</v>
      </c>
      <c r="H7" s="16" t="s">
        <v>57</v>
      </c>
      <c r="I7" s="16" t="s">
        <v>58</v>
      </c>
      <c r="J7" s="16" t="s">
        <v>59</v>
      </c>
      <c r="K7" s="16" t="s">
        <v>80</v>
      </c>
      <c r="L7" s="16" t="s">
        <v>61</v>
      </c>
      <c r="M7" s="16" t="s">
        <v>81</v>
      </c>
      <c r="N7" s="16" t="s">
        <v>63</v>
      </c>
      <c r="O7" s="16" t="s">
        <v>64</v>
      </c>
      <c r="P7" s="16" t="s">
        <v>63</v>
      </c>
      <c r="Q7" s="16" t="s">
        <v>63</v>
      </c>
      <c r="R7" s="16" t="s">
        <v>82</v>
      </c>
      <c r="S7" s="23" t="s">
        <v>83</v>
      </c>
      <c r="T7" s="23" t="s">
        <v>84</v>
      </c>
    </row>
    <row r="8" customFormat="false" ht="19.5" hidden="false" customHeight="true" outlineLevel="0" collapsed="false">
      <c r="A8" s="26" t="s">
        <v>25</v>
      </c>
      <c r="B8" s="26" t="s">
        <v>85</v>
      </c>
      <c r="C8" s="26" t="s">
        <v>78</v>
      </c>
      <c r="D8" s="26" t="s">
        <v>86</v>
      </c>
      <c r="E8" s="34"/>
      <c r="F8" s="35" t="s">
        <v>79</v>
      </c>
      <c r="G8" s="29" t="s">
        <v>56</v>
      </c>
      <c r="H8" s="29" t="s">
        <v>57</v>
      </c>
      <c r="I8" s="29" t="s">
        <v>58</v>
      </c>
      <c r="J8" s="29" t="s">
        <v>59</v>
      </c>
      <c r="K8" s="29" t="s">
        <v>80</v>
      </c>
      <c r="L8" s="29" t="s">
        <v>61</v>
      </c>
      <c r="M8" s="29" t="s">
        <v>81</v>
      </c>
      <c r="N8" s="29" t="s">
        <v>63</v>
      </c>
      <c r="O8" s="29" t="s">
        <v>64</v>
      </c>
      <c r="P8" s="29" t="s">
        <v>63</v>
      </c>
      <c r="Q8" s="29" t="s">
        <v>63</v>
      </c>
      <c r="R8" s="29" t="s">
        <v>82</v>
      </c>
      <c r="S8" s="26" t="s">
        <v>83</v>
      </c>
      <c r="T8" s="26" t="s">
        <v>84</v>
      </c>
    </row>
    <row r="9" customFormat="false" ht="19.5" hidden="false" customHeight="true" outlineLevel="0" collapsed="false">
      <c r="A9" s="23" t="s">
        <v>25</v>
      </c>
      <c r="B9" s="23" t="s">
        <v>87</v>
      </c>
      <c r="C9" s="23" t="s">
        <v>78</v>
      </c>
      <c r="D9" s="23" t="s">
        <v>69</v>
      </c>
      <c r="E9" s="34"/>
      <c r="F9" s="35" t="s">
        <v>79</v>
      </c>
      <c r="G9" s="16" t="s">
        <v>56</v>
      </c>
      <c r="H9" s="16" t="s">
        <v>57</v>
      </c>
      <c r="I9" s="16" t="s">
        <v>58</v>
      </c>
      <c r="J9" s="16" t="s">
        <v>59</v>
      </c>
      <c r="K9" s="16" t="s">
        <v>80</v>
      </c>
      <c r="L9" s="16" t="s">
        <v>61</v>
      </c>
      <c r="M9" s="16" t="s">
        <v>81</v>
      </c>
      <c r="N9" s="16" t="s">
        <v>63</v>
      </c>
      <c r="O9" s="16" t="s">
        <v>64</v>
      </c>
      <c r="P9" s="16" t="s">
        <v>63</v>
      </c>
      <c r="Q9" s="16" t="s">
        <v>63</v>
      </c>
      <c r="R9" s="16" t="s">
        <v>82</v>
      </c>
      <c r="S9" s="23" t="s">
        <v>83</v>
      </c>
      <c r="T9" s="23" t="s">
        <v>84</v>
      </c>
    </row>
    <row r="10" customFormat="false" ht="19.5" hidden="false" customHeight="true" outlineLevel="0" collapsed="false">
      <c r="A10" s="26" t="s">
        <v>25</v>
      </c>
      <c r="B10" s="26" t="s">
        <v>88</v>
      </c>
      <c r="C10" s="26" t="s">
        <v>78</v>
      </c>
      <c r="D10" s="26" t="s">
        <v>89</v>
      </c>
      <c r="E10" s="34"/>
      <c r="F10" s="35" t="s">
        <v>79</v>
      </c>
      <c r="G10" s="29" t="s">
        <v>56</v>
      </c>
      <c r="H10" s="29" t="s">
        <v>57</v>
      </c>
      <c r="I10" s="29" t="s">
        <v>58</v>
      </c>
      <c r="J10" s="29" t="s">
        <v>59</v>
      </c>
      <c r="K10" s="29" t="s">
        <v>80</v>
      </c>
      <c r="L10" s="29" t="s">
        <v>61</v>
      </c>
      <c r="M10" s="29" t="s">
        <v>81</v>
      </c>
      <c r="N10" s="29" t="s">
        <v>63</v>
      </c>
      <c r="O10" s="29" t="s">
        <v>64</v>
      </c>
      <c r="P10" s="29" t="s">
        <v>63</v>
      </c>
      <c r="Q10" s="29" t="s">
        <v>63</v>
      </c>
      <c r="R10" s="29" t="s">
        <v>82</v>
      </c>
      <c r="S10" s="26" t="s">
        <v>83</v>
      </c>
      <c r="T10" s="26" t="s">
        <v>90</v>
      </c>
    </row>
    <row r="11" customFormat="false" ht="19.5" hidden="false" customHeight="true" outlineLevel="0" collapsed="false">
      <c r="A11" s="23" t="s">
        <v>25</v>
      </c>
      <c r="B11" s="23" t="s">
        <v>91</v>
      </c>
      <c r="C11" s="23" t="s">
        <v>78</v>
      </c>
      <c r="D11" s="23" t="s">
        <v>92</v>
      </c>
      <c r="E11" s="34"/>
      <c r="F11" s="35" t="s">
        <v>79</v>
      </c>
      <c r="G11" s="16" t="s">
        <v>56</v>
      </c>
      <c r="H11" s="16" t="s">
        <v>57</v>
      </c>
      <c r="I11" s="16" t="s">
        <v>58</v>
      </c>
      <c r="J11" s="16" t="s">
        <v>59</v>
      </c>
      <c r="K11" s="16" t="s">
        <v>80</v>
      </c>
      <c r="L11" s="16" t="s">
        <v>61</v>
      </c>
      <c r="M11" s="16" t="s">
        <v>81</v>
      </c>
      <c r="N11" s="16" t="s">
        <v>63</v>
      </c>
      <c r="O11" s="16" t="s">
        <v>64</v>
      </c>
      <c r="P11" s="16" t="s">
        <v>63</v>
      </c>
      <c r="Q11" s="16" t="s">
        <v>63</v>
      </c>
      <c r="R11" s="16" t="s">
        <v>82</v>
      </c>
      <c r="S11" s="23" t="s">
        <v>83</v>
      </c>
      <c r="T11" s="23" t="s">
        <v>84</v>
      </c>
    </row>
    <row r="12" customFormat="false" ht="19.5" hidden="false" customHeight="true" outlineLevel="0" collapsed="false">
      <c r="A12" s="26" t="s">
        <v>25</v>
      </c>
      <c r="B12" s="26" t="s">
        <v>93</v>
      </c>
      <c r="C12" s="26" t="s">
        <v>78</v>
      </c>
      <c r="D12" s="26" t="s">
        <v>75</v>
      </c>
      <c r="E12" s="34"/>
      <c r="F12" s="35" t="s">
        <v>79</v>
      </c>
      <c r="G12" s="29" t="s">
        <v>56</v>
      </c>
      <c r="H12" s="29" t="s">
        <v>57</v>
      </c>
      <c r="I12" s="29" t="s">
        <v>58</v>
      </c>
      <c r="J12" s="29" t="s">
        <v>59</v>
      </c>
      <c r="K12" s="29" t="s">
        <v>80</v>
      </c>
      <c r="L12" s="29" t="s">
        <v>61</v>
      </c>
      <c r="M12" s="29" t="s">
        <v>81</v>
      </c>
      <c r="N12" s="29" t="s">
        <v>63</v>
      </c>
      <c r="O12" s="29" t="s">
        <v>64</v>
      </c>
      <c r="P12" s="29" t="s">
        <v>63</v>
      </c>
      <c r="Q12" s="29" t="s">
        <v>63</v>
      </c>
      <c r="R12" s="29" t="s">
        <v>82</v>
      </c>
      <c r="S12" s="26" t="s">
        <v>83</v>
      </c>
      <c r="T12" s="26" t="s">
        <v>84</v>
      </c>
    </row>
    <row r="13" customFormat="false" ht="19.5" hidden="false" customHeight="true" outlineLevel="0" collapsed="false">
      <c r="A13" s="23" t="s">
        <v>25</v>
      </c>
      <c r="B13" s="23" t="s">
        <v>94</v>
      </c>
      <c r="C13" s="23" t="s">
        <v>78</v>
      </c>
      <c r="D13" s="23" t="s">
        <v>95</v>
      </c>
      <c r="E13" s="34"/>
      <c r="F13" s="35" t="s">
        <v>79</v>
      </c>
      <c r="G13" s="16" t="s">
        <v>56</v>
      </c>
      <c r="H13" s="16" t="s">
        <v>57</v>
      </c>
      <c r="I13" s="16" t="s">
        <v>58</v>
      </c>
      <c r="J13" s="16" t="s">
        <v>59</v>
      </c>
      <c r="K13" s="16" t="s">
        <v>80</v>
      </c>
      <c r="L13" s="16" t="s">
        <v>61</v>
      </c>
      <c r="M13" s="16" t="s">
        <v>81</v>
      </c>
      <c r="N13" s="16" t="s">
        <v>63</v>
      </c>
      <c r="O13" s="16" t="s">
        <v>64</v>
      </c>
      <c r="P13" s="16" t="s">
        <v>63</v>
      </c>
      <c r="Q13" s="16" t="s">
        <v>63</v>
      </c>
      <c r="R13" s="16" t="s">
        <v>82</v>
      </c>
      <c r="S13" s="23" t="s">
        <v>83</v>
      </c>
      <c r="T13" s="23" t="s">
        <v>96</v>
      </c>
    </row>
    <row r="14" customFormat="false" ht="19.5" hidden="false" customHeight="true" outlineLevel="0" collapsed="false">
      <c r="A14" s="26" t="s">
        <v>26</v>
      </c>
      <c r="B14" s="26" t="s">
        <v>97</v>
      </c>
      <c r="C14" s="26" t="s">
        <v>98</v>
      </c>
      <c r="D14" s="26" t="s">
        <v>54</v>
      </c>
      <c r="E14" s="24"/>
      <c r="F14" s="36" t="s">
        <v>99</v>
      </c>
      <c r="G14" s="29" t="s">
        <v>56</v>
      </c>
      <c r="H14" s="29" t="s">
        <v>100</v>
      </c>
      <c r="I14" s="29" t="s">
        <v>58</v>
      </c>
      <c r="J14" s="29" t="s">
        <v>59</v>
      </c>
      <c r="K14" s="29" t="s">
        <v>101</v>
      </c>
      <c r="L14" s="29" t="s">
        <v>102</v>
      </c>
      <c r="M14" s="29" t="s">
        <v>103</v>
      </c>
      <c r="N14" s="29" t="s">
        <v>63</v>
      </c>
      <c r="O14" s="29" t="s">
        <v>64</v>
      </c>
      <c r="P14" s="29" t="s">
        <v>63</v>
      </c>
      <c r="Q14" s="29" t="s">
        <v>63</v>
      </c>
      <c r="R14" s="29" t="s">
        <v>82</v>
      </c>
      <c r="S14" s="26" t="s">
        <v>104</v>
      </c>
      <c r="T14" s="26" t="s">
        <v>105</v>
      </c>
    </row>
    <row r="15" customFormat="false" ht="19.5" hidden="false" customHeight="true" outlineLevel="0" collapsed="false">
      <c r="A15" s="23" t="s">
        <v>26</v>
      </c>
      <c r="B15" s="23" t="s">
        <v>106</v>
      </c>
      <c r="C15" s="23" t="s">
        <v>98</v>
      </c>
      <c r="D15" s="23" t="s">
        <v>107</v>
      </c>
      <c r="E15" s="34"/>
      <c r="F15" s="35" t="s">
        <v>79</v>
      </c>
      <c r="G15" s="16" t="s">
        <v>56</v>
      </c>
      <c r="H15" s="16" t="s">
        <v>100</v>
      </c>
      <c r="I15" s="16" t="s">
        <v>58</v>
      </c>
      <c r="J15" s="16" t="s">
        <v>59</v>
      </c>
      <c r="K15" s="16" t="s">
        <v>101</v>
      </c>
      <c r="L15" s="16" t="s">
        <v>102</v>
      </c>
      <c r="M15" s="16" t="s">
        <v>103</v>
      </c>
      <c r="N15" s="16" t="s">
        <v>63</v>
      </c>
      <c r="O15" s="16" t="s">
        <v>64</v>
      </c>
      <c r="P15" s="16" t="s">
        <v>63</v>
      </c>
      <c r="Q15" s="16" t="s">
        <v>63</v>
      </c>
      <c r="R15" s="16" t="s">
        <v>82</v>
      </c>
      <c r="S15" s="23" t="s">
        <v>108</v>
      </c>
      <c r="T15" s="23" t="s">
        <v>109</v>
      </c>
    </row>
    <row r="16" customFormat="false" ht="19.5" hidden="false" customHeight="true" outlineLevel="0" collapsed="false">
      <c r="A16" s="26" t="s">
        <v>26</v>
      </c>
      <c r="B16" s="26" t="s">
        <v>110</v>
      </c>
      <c r="C16" s="26" t="s">
        <v>98</v>
      </c>
      <c r="D16" s="26" t="s">
        <v>69</v>
      </c>
      <c r="E16" s="34"/>
      <c r="F16" s="35" t="s">
        <v>79</v>
      </c>
      <c r="G16" s="29" t="s">
        <v>56</v>
      </c>
      <c r="H16" s="29" t="s">
        <v>100</v>
      </c>
      <c r="I16" s="29" t="s">
        <v>58</v>
      </c>
      <c r="J16" s="29" t="s">
        <v>59</v>
      </c>
      <c r="K16" s="29" t="s">
        <v>101</v>
      </c>
      <c r="L16" s="29" t="s">
        <v>102</v>
      </c>
      <c r="M16" s="29" t="s">
        <v>103</v>
      </c>
      <c r="N16" s="29" t="s">
        <v>63</v>
      </c>
      <c r="O16" s="29" t="s">
        <v>64</v>
      </c>
      <c r="P16" s="29" t="s">
        <v>63</v>
      </c>
      <c r="Q16" s="29" t="s">
        <v>63</v>
      </c>
      <c r="R16" s="29" t="s">
        <v>82</v>
      </c>
      <c r="S16" s="26" t="s">
        <v>108</v>
      </c>
      <c r="T16" s="26" t="s">
        <v>109</v>
      </c>
    </row>
    <row r="17" customFormat="false" ht="19.5" hidden="false" customHeight="true" outlineLevel="0" collapsed="false">
      <c r="A17" s="23" t="s">
        <v>26</v>
      </c>
      <c r="B17" s="23" t="s">
        <v>111</v>
      </c>
      <c r="C17" s="23" t="s">
        <v>98</v>
      </c>
      <c r="D17" s="23" t="s">
        <v>112</v>
      </c>
      <c r="E17" s="34"/>
      <c r="F17" s="35" t="s">
        <v>79</v>
      </c>
      <c r="G17" s="16" t="s">
        <v>56</v>
      </c>
      <c r="H17" s="16" t="s">
        <v>100</v>
      </c>
      <c r="I17" s="16" t="s">
        <v>58</v>
      </c>
      <c r="J17" s="16" t="s">
        <v>59</v>
      </c>
      <c r="K17" s="16" t="s">
        <v>101</v>
      </c>
      <c r="L17" s="16" t="s">
        <v>102</v>
      </c>
      <c r="M17" s="16" t="s">
        <v>103</v>
      </c>
      <c r="N17" s="16" t="s">
        <v>63</v>
      </c>
      <c r="O17" s="16" t="s">
        <v>64</v>
      </c>
      <c r="P17" s="16" t="s">
        <v>63</v>
      </c>
      <c r="Q17" s="16" t="s">
        <v>63</v>
      </c>
      <c r="R17" s="16" t="s">
        <v>82</v>
      </c>
      <c r="S17" s="23" t="s">
        <v>108</v>
      </c>
      <c r="T17" s="23" t="s">
        <v>109</v>
      </c>
    </row>
    <row r="18" customFormat="false" ht="19.5" hidden="false" customHeight="true" outlineLevel="0" collapsed="false">
      <c r="A18" s="26" t="s">
        <v>26</v>
      </c>
      <c r="B18" s="26" t="s">
        <v>113</v>
      </c>
      <c r="C18" s="26" t="s">
        <v>98</v>
      </c>
      <c r="D18" s="26" t="s">
        <v>114</v>
      </c>
      <c r="E18" s="34"/>
      <c r="F18" s="35" t="s">
        <v>79</v>
      </c>
      <c r="G18" s="29" t="s">
        <v>56</v>
      </c>
      <c r="H18" s="29" t="s">
        <v>100</v>
      </c>
      <c r="I18" s="29" t="s">
        <v>58</v>
      </c>
      <c r="J18" s="29" t="s">
        <v>59</v>
      </c>
      <c r="K18" s="29" t="s">
        <v>101</v>
      </c>
      <c r="L18" s="29" t="s">
        <v>102</v>
      </c>
      <c r="M18" s="29" t="s">
        <v>103</v>
      </c>
      <c r="N18" s="29" t="s">
        <v>63</v>
      </c>
      <c r="O18" s="29" t="s">
        <v>64</v>
      </c>
      <c r="P18" s="29" t="s">
        <v>63</v>
      </c>
      <c r="Q18" s="29" t="s">
        <v>63</v>
      </c>
      <c r="R18" s="29" t="s">
        <v>82</v>
      </c>
      <c r="S18" s="26" t="s">
        <v>108</v>
      </c>
      <c r="T18" s="26" t="s">
        <v>109</v>
      </c>
    </row>
    <row r="19" customFormat="false" ht="19.5" hidden="false" customHeight="true" outlineLevel="0" collapsed="false">
      <c r="A19" s="23" t="s">
        <v>26</v>
      </c>
      <c r="B19" s="23" t="s">
        <v>115</v>
      </c>
      <c r="C19" s="23" t="s">
        <v>98</v>
      </c>
      <c r="D19" s="23" t="s">
        <v>72</v>
      </c>
      <c r="E19" s="34"/>
      <c r="F19" s="35" t="s">
        <v>79</v>
      </c>
      <c r="G19" s="16" t="s">
        <v>56</v>
      </c>
      <c r="H19" s="16" t="s">
        <v>100</v>
      </c>
      <c r="I19" s="16" t="s">
        <v>58</v>
      </c>
      <c r="J19" s="16" t="s">
        <v>59</v>
      </c>
      <c r="K19" s="16" t="s">
        <v>101</v>
      </c>
      <c r="L19" s="16" t="s">
        <v>102</v>
      </c>
      <c r="M19" s="16" t="s">
        <v>103</v>
      </c>
      <c r="N19" s="16" t="s">
        <v>63</v>
      </c>
      <c r="O19" s="16" t="s">
        <v>64</v>
      </c>
      <c r="P19" s="16" t="s">
        <v>63</v>
      </c>
      <c r="Q19" s="16" t="s">
        <v>63</v>
      </c>
      <c r="R19" s="16" t="s">
        <v>82</v>
      </c>
      <c r="S19" s="23" t="s">
        <v>108</v>
      </c>
      <c r="T19" s="23" t="s">
        <v>109</v>
      </c>
    </row>
    <row r="20" customFormat="false" ht="19.5" hidden="false" customHeight="true" outlineLevel="0" collapsed="false">
      <c r="A20" s="26" t="s">
        <v>26</v>
      </c>
      <c r="B20" s="26" t="s">
        <v>116</v>
      </c>
      <c r="C20" s="26" t="s">
        <v>98</v>
      </c>
      <c r="D20" s="26" t="s">
        <v>75</v>
      </c>
      <c r="E20" s="34"/>
      <c r="F20" s="35" t="s">
        <v>79</v>
      </c>
      <c r="G20" s="29" t="s">
        <v>56</v>
      </c>
      <c r="H20" s="29" t="s">
        <v>100</v>
      </c>
      <c r="I20" s="29" t="s">
        <v>58</v>
      </c>
      <c r="J20" s="29" t="s">
        <v>59</v>
      </c>
      <c r="K20" s="29" t="s">
        <v>101</v>
      </c>
      <c r="L20" s="29" t="s">
        <v>102</v>
      </c>
      <c r="M20" s="29" t="s">
        <v>103</v>
      </c>
      <c r="N20" s="29" t="s">
        <v>63</v>
      </c>
      <c r="O20" s="29" t="s">
        <v>64</v>
      </c>
      <c r="P20" s="29" t="s">
        <v>63</v>
      </c>
      <c r="Q20" s="29" t="s">
        <v>63</v>
      </c>
      <c r="R20" s="29" t="s">
        <v>82</v>
      </c>
      <c r="S20" s="26" t="s">
        <v>108</v>
      </c>
      <c r="T20" s="26" t="s">
        <v>109</v>
      </c>
    </row>
    <row r="21" customFormat="false" ht="19.5" hidden="false" customHeight="true" outlineLevel="0" collapsed="false">
      <c r="A21" s="23" t="s">
        <v>26</v>
      </c>
      <c r="B21" s="23" t="s">
        <v>117</v>
      </c>
      <c r="C21" s="23" t="s">
        <v>98</v>
      </c>
      <c r="D21" s="23" t="s">
        <v>95</v>
      </c>
      <c r="E21" s="34"/>
      <c r="F21" s="35" t="s">
        <v>79</v>
      </c>
      <c r="G21" s="16" t="s">
        <v>56</v>
      </c>
      <c r="H21" s="16" t="s">
        <v>100</v>
      </c>
      <c r="I21" s="16" t="s">
        <v>58</v>
      </c>
      <c r="J21" s="16" t="s">
        <v>59</v>
      </c>
      <c r="K21" s="16" t="s">
        <v>101</v>
      </c>
      <c r="L21" s="16" t="s">
        <v>102</v>
      </c>
      <c r="M21" s="16" t="s">
        <v>103</v>
      </c>
      <c r="N21" s="16" t="s">
        <v>63</v>
      </c>
      <c r="O21" s="16" t="s">
        <v>64</v>
      </c>
      <c r="P21" s="16" t="s">
        <v>63</v>
      </c>
      <c r="Q21" s="16" t="s">
        <v>63</v>
      </c>
      <c r="R21" s="16" t="s">
        <v>82</v>
      </c>
      <c r="S21" s="23" t="s">
        <v>108</v>
      </c>
      <c r="T21" s="23" t="s">
        <v>109</v>
      </c>
    </row>
    <row r="22" customFormat="false" ht="19.5" hidden="false" customHeight="true" outlineLevel="0" collapsed="false">
      <c r="A22" s="26" t="s">
        <v>27</v>
      </c>
      <c r="B22" s="26" t="s">
        <v>118</v>
      </c>
      <c r="C22" s="26" t="s">
        <v>119</v>
      </c>
      <c r="D22" s="26" t="s">
        <v>54</v>
      </c>
      <c r="E22" s="24"/>
      <c r="F22" s="25" t="s">
        <v>55</v>
      </c>
      <c r="G22" s="29" t="s">
        <v>56</v>
      </c>
      <c r="H22" s="29" t="s">
        <v>57</v>
      </c>
      <c r="I22" s="29" t="s">
        <v>58</v>
      </c>
      <c r="J22" s="29" t="s">
        <v>59</v>
      </c>
      <c r="K22" s="29" t="s">
        <v>120</v>
      </c>
      <c r="L22" s="29" t="s">
        <v>121</v>
      </c>
      <c r="M22" s="29" t="s">
        <v>122</v>
      </c>
      <c r="N22" s="29" t="s">
        <v>63</v>
      </c>
      <c r="O22" s="29" t="s">
        <v>63</v>
      </c>
      <c r="P22" s="29" t="s">
        <v>63</v>
      </c>
      <c r="Q22" s="29" t="s">
        <v>63</v>
      </c>
      <c r="R22" s="29" t="s">
        <v>65</v>
      </c>
      <c r="S22" s="26" t="s">
        <v>123</v>
      </c>
      <c r="T22" s="26"/>
    </row>
    <row r="23" customFormat="false" ht="19.5" hidden="false" customHeight="true" outlineLevel="0" collapsed="false">
      <c r="A23" s="23" t="s">
        <v>27</v>
      </c>
      <c r="B23" s="23" t="s">
        <v>124</v>
      </c>
      <c r="C23" s="23" t="s">
        <v>119</v>
      </c>
      <c r="D23" s="23" t="s">
        <v>107</v>
      </c>
      <c r="E23" s="37"/>
      <c r="F23" s="38" t="s">
        <v>125</v>
      </c>
      <c r="G23" s="16" t="s">
        <v>56</v>
      </c>
      <c r="H23" s="16" t="s">
        <v>57</v>
      </c>
      <c r="I23" s="16" t="s">
        <v>58</v>
      </c>
      <c r="J23" s="16" t="s">
        <v>59</v>
      </c>
      <c r="K23" s="16" t="s">
        <v>120</v>
      </c>
      <c r="L23" s="16" t="s">
        <v>121</v>
      </c>
      <c r="M23" s="16" t="s">
        <v>122</v>
      </c>
      <c r="N23" s="16" t="s">
        <v>63</v>
      </c>
      <c r="O23" s="16" t="s">
        <v>63</v>
      </c>
      <c r="P23" s="16" t="s">
        <v>63</v>
      </c>
      <c r="Q23" s="16" t="s">
        <v>63</v>
      </c>
      <c r="R23" s="16" t="s">
        <v>65</v>
      </c>
      <c r="S23" s="23" t="s">
        <v>123</v>
      </c>
      <c r="T23" s="23"/>
    </row>
    <row r="24" customFormat="false" ht="19.5" hidden="false" customHeight="true" outlineLevel="0" collapsed="false">
      <c r="A24" s="26" t="s">
        <v>27</v>
      </c>
      <c r="B24" s="26" t="s">
        <v>126</v>
      </c>
      <c r="C24" s="26" t="s">
        <v>119</v>
      </c>
      <c r="D24" s="26" t="s">
        <v>69</v>
      </c>
      <c r="E24" s="27"/>
      <c r="F24" s="28" t="s">
        <v>70</v>
      </c>
      <c r="G24" s="29" t="s">
        <v>56</v>
      </c>
      <c r="H24" s="29" t="s">
        <v>57</v>
      </c>
      <c r="I24" s="29" t="s">
        <v>58</v>
      </c>
      <c r="J24" s="29" t="s">
        <v>59</v>
      </c>
      <c r="K24" s="29" t="s">
        <v>120</v>
      </c>
      <c r="L24" s="29" t="s">
        <v>121</v>
      </c>
      <c r="M24" s="29" t="s">
        <v>122</v>
      </c>
      <c r="N24" s="29" t="s">
        <v>63</v>
      </c>
      <c r="O24" s="29" t="s">
        <v>63</v>
      </c>
      <c r="P24" s="29" t="s">
        <v>63</v>
      </c>
      <c r="Q24" s="29" t="s">
        <v>63</v>
      </c>
      <c r="R24" s="29" t="s">
        <v>65</v>
      </c>
      <c r="S24" s="26" t="s">
        <v>123</v>
      </c>
      <c r="T24" s="26"/>
    </row>
    <row r="25" customFormat="false" ht="19.5" hidden="false" customHeight="true" outlineLevel="0" collapsed="false">
      <c r="A25" s="23" t="s">
        <v>27</v>
      </c>
      <c r="B25" s="23" t="s">
        <v>127</v>
      </c>
      <c r="C25" s="23" t="s">
        <v>119</v>
      </c>
      <c r="D25" s="23" t="s">
        <v>72</v>
      </c>
      <c r="E25" s="30"/>
      <c r="F25" s="31" t="s">
        <v>73</v>
      </c>
      <c r="G25" s="16" t="s">
        <v>56</v>
      </c>
      <c r="H25" s="16" t="s">
        <v>57</v>
      </c>
      <c r="I25" s="16" t="s">
        <v>58</v>
      </c>
      <c r="J25" s="16" t="s">
        <v>59</v>
      </c>
      <c r="K25" s="16" t="s">
        <v>120</v>
      </c>
      <c r="L25" s="16" t="s">
        <v>121</v>
      </c>
      <c r="M25" s="16" t="s">
        <v>122</v>
      </c>
      <c r="N25" s="16" t="s">
        <v>63</v>
      </c>
      <c r="O25" s="16" t="s">
        <v>63</v>
      </c>
      <c r="P25" s="16" t="s">
        <v>63</v>
      </c>
      <c r="Q25" s="16" t="s">
        <v>63</v>
      </c>
      <c r="R25" s="16" t="s">
        <v>65</v>
      </c>
      <c r="S25" s="23" t="s">
        <v>123</v>
      </c>
      <c r="T25" s="23"/>
    </row>
    <row r="26" customFormat="false" ht="19.5" hidden="false" customHeight="true" outlineLevel="0" collapsed="false">
      <c r="A26" s="26" t="s">
        <v>27</v>
      </c>
      <c r="B26" s="26" t="s">
        <v>128</v>
      </c>
      <c r="C26" s="26" t="s">
        <v>119</v>
      </c>
      <c r="D26" s="26" t="s">
        <v>129</v>
      </c>
      <c r="E26" s="39"/>
      <c r="F26" s="40" t="s">
        <v>130</v>
      </c>
      <c r="G26" s="29" t="s">
        <v>56</v>
      </c>
      <c r="H26" s="29" t="s">
        <v>57</v>
      </c>
      <c r="I26" s="29" t="s">
        <v>58</v>
      </c>
      <c r="J26" s="29" t="s">
        <v>59</v>
      </c>
      <c r="K26" s="29" t="s">
        <v>120</v>
      </c>
      <c r="L26" s="29" t="s">
        <v>121</v>
      </c>
      <c r="M26" s="29" t="s">
        <v>122</v>
      </c>
      <c r="N26" s="29" t="s">
        <v>63</v>
      </c>
      <c r="O26" s="29" t="s">
        <v>63</v>
      </c>
      <c r="P26" s="29" t="s">
        <v>63</v>
      </c>
      <c r="Q26" s="29" t="s">
        <v>63</v>
      </c>
      <c r="R26" s="29" t="s">
        <v>65</v>
      </c>
      <c r="S26" s="26" t="s">
        <v>123</v>
      </c>
      <c r="T26" s="26"/>
    </row>
    <row r="27" customFormat="false" ht="19.5" hidden="false" customHeight="true" outlineLevel="0" collapsed="false">
      <c r="A27" s="23" t="s">
        <v>27</v>
      </c>
      <c r="B27" s="23" t="s">
        <v>131</v>
      </c>
      <c r="C27" s="23" t="s">
        <v>119</v>
      </c>
      <c r="D27" s="23" t="s">
        <v>75</v>
      </c>
      <c r="E27" s="32"/>
      <c r="F27" s="33" t="s">
        <v>76</v>
      </c>
      <c r="G27" s="16" t="s">
        <v>56</v>
      </c>
      <c r="H27" s="16" t="s">
        <v>57</v>
      </c>
      <c r="I27" s="16" t="s">
        <v>58</v>
      </c>
      <c r="J27" s="16" t="s">
        <v>59</v>
      </c>
      <c r="K27" s="16" t="s">
        <v>120</v>
      </c>
      <c r="L27" s="16" t="s">
        <v>121</v>
      </c>
      <c r="M27" s="16" t="s">
        <v>122</v>
      </c>
      <c r="N27" s="16" t="s">
        <v>63</v>
      </c>
      <c r="O27" s="16" t="s">
        <v>63</v>
      </c>
      <c r="P27" s="16" t="s">
        <v>63</v>
      </c>
      <c r="Q27" s="16" t="s">
        <v>63</v>
      </c>
      <c r="R27" s="16" t="s">
        <v>65</v>
      </c>
      <c r="S27" s="23" t="s">
        <v>123</v>
      </c>
      <c r="T27" s="23"/>
    </row>
    <row r="28" customFormat="false" ht="19.5" hidden="false" customHeight="true" outlineLevel="0" collapsed="false">
      <c r="A28" s="26" t="s">
        <v>28</v>
      </c>
      <c r="B28" s="26" t="s">
        <v>132</v>
      </c>
      <c r="C28" s="26" t="s">
        <v>133</v>
      </c>
      <c r="D28" s="26" t="s">
        <v>54</v>
      </c>
      <c r="E28" s="24"/>
      <c r="F28" s="25" t="s">
        <v>55</v>
      </c>
      <c r="G28" s="29" t="s">
        <v>56</v>
      </c>
      <c r="H28" s="29" t="s">
        <v>57</v>
      </c>
      <c r="I28" s="29" t="s">
        <v>58</v>
      </c>
      <c r="J28" s="29" t="s">
        <v>59</v>
      </c>
      <c r="K28" s="29" t="s">
        <v>134</v>
      </c>
      <c r="L28" s="29" t="s">
        <v>135</v>
      </c>
      <c r="M28" s="29" t="s">
        <v>136</v>
      </c>
      <c r="N28" s="29" t="s">
        <v>63</v>
      </c>
      <c r="O28" s="29" t="s">
        <v>63</v>
      </c>
      <c r="P28" s="29" t="s">
        <v>63</v>
      </c>
      <c r="Q28" s="29" t="s">
        <v>63</v>
      </c>
      <c r="R28" s="29" t="s">
        <v>137</v>
      </c>
      <c r="S28" s="26" t="s">
        <v>138</v>
      </c>
      <c r="T28" s="26" t="s">
        <v>139</v>
      </c>
    </row>
    <row r="29" customFormat="false" ht="19.5" hidden="false" customHeight="true" outlineLevel="0" collapsed="false">
      <c r="A29" s="23" t="s">
        <v>28</v>
      </c>
      <c r="B29" s="23" t="s">
        <v>140</v>
      </c>
      <c r="C29" s="23" t="s">
        <v>133</v>
      </c>
      <c r="D29" s="23" t="s">
        <v>107</v>
      </c>
      <c r="E29" s="41"/>
      <c r="F29" s="42" t="s">
        <v>141</v>
      </c>
      <c r="G29" s="16" t="s">
        <v>56</v>
      </c>
      <c r="H29" s="16" t="s">
        <v>57</v>
      </c>
      <c r="I29" s="16" t="s">
        <v>58</v>
      </c>
      <c r="J29" s="16" t="s">
        <v>59</v>
      </c>
      <c r="K29" s="16" t="s">
        <v>134</v>
      </c>
      <c r="L29" s="16" t="s">
        <v>135</v>
      </c>
      <c r="M29" s="16" t="s">
        <v>136</v>
      </c>
      <c r="N29" s="16" t="s">
        <v>63</v>
      </c>
      <c r="O29" s="16" t="s">
        <v>63</v>
      </c>
      <c r="P29" s="16" t="s">
        <v>63</v>
      </c>
      <c r="Q29" s="16" t="s">
        <v>63</v>
      </c>
      <c r="R29" s="16" t="s">
        <v>137</v>
      </c>
      <c r="S29" s="23" t="s">
        <v>138</v>
      </c>
      <c r="T29" s="23" t="s">
        <v>139</v>
      </c>
    </row>
    <row r="30" customFormat="false" ht="19.5" hidden="false" customHeight="true" outlineLevel="0" collapsed="false">
      <c r="A30" s="26" t="s">
        <v>28</v>
      </c>
      <c r="B30" s="26" t="s">
        <v>142</v>
      </c>
      <c r="C30" s="26" t="s">
        <v>133</v>
      </c>
      <c r="D30" s="26" t="s">
        <v>69</v>
      </c>
      <c r="E30" s="27"/>
      <c r="F30" s="28" t="s">
        <v>70</v>
      </c>
      <c r="G30" s="29" t="s">
        <v>56</v>
      </c>
      <c r="H30" s="29" t="s">
        <v>57</v>
      </c>
      <c r="I30" s="29" t="s">
        <v>58</v>
      </c>
      <c r="J30" s="29" t="s">
        <v>59</v>
      </c>
      <c r="K30" s="29" t="s">
        <v>134</v>
      </c>
      <c r="L30" s="29" t="s">
        <v>135</v>
      </c>
      <c r="M30" s="29" t="s">
        <v>136</v>
      </c>
      <c r="N30" s="29" t="s">
        <v>63</v>
      </c>
      <c r="O30" s="29" t="s">
        <v>63</v>
      </c>
      <c r="P30" s="29" t="s">
        <v>63</v>
      </c>
      <c r="Q30" s="29" t="s">
        <v>63</v>
      </c>
      <c r="R30" s="29" t="s">
        <v>137</v>
      </c>
      <c r="S30" s="26" t="s">
        <v>138</v>
      </c>
      <c r="T30" s="26" t="s">
        <v>139</v>
      </c>
    </row>
    <row r="31" customFormat="false" ht="19.5" hidden="false" customHeight="true" outlineLevel="0" collapsed="false">
      <c r="A31" s="23" t="s">
        <v>28</v>
      </c>
      <c r="B31" s="23" t="s">
        <v>143</v>
      </c>
      <c r="C31" s="23" t="s">
        <v>133</v>
      </c>
      <c r="D31" s="23" t="s">
        <v>72</v>
      </c>
      <c r="E31" s="30"/>
      <c r="F31" s="31" t="s">
        <v>73</v>
      </c>
      <c r="G31" s="16" t="s">
        <v>56</v>
      </c>
      <c r="H31" s="16" t="s">
        <v>57</v>
      </c>
      <c r="I31" s="16" t="s">
        <v>58</v>
      </c>
      <c r="J31" s="16" t="s">
        <v>59</v>
      </c>
      <c r="K31" s="16" t="s">
        <v>134</v>
      </c>
      <c r="L31" s="16" t="s">
        <v>135</v>
      </c>
      <c r="M31" s="16" t="s">
        <v>136</v>
      </c>
      <c r="N31" s="16" t="s">
        <v>63</v>
      </c>
      <c r="O31" s="16" t="s">
        <v>63</v>
      </c>
      <c r="P31" s="16" t="s">
        <v>63</v>
      </c>
      <c r="Q31" s="16" t="s">
        <v>63</v>
      </c>
      <c r="R31" s="16" t="s">
        <v>137</v>
      </c>
      <c r="S31" s="23" t="s">
        <v>138</v>
      </c>
      <c r="T31" s="23" t="s">
        <v>139</v>
      </c>
    </row>
    <row r="32" customFormat="false" ht="19.5" hidden="false" customHeight="true" outlineLevel="0" collapsed="false">
      <c r="A32" s="26" t="s">
        <v>28</v>
      </c>
      <c r="B32" s="26" t="s">
        <v>144</v>
      </c>
      <c r="C32" s="26" t="s">
        <v>133</v>
      </c>
      <c r="D32" s="26" t="s">
        <v>75</v>
      </c>
      <c r="E32" s="32"/>
      <c r="F32" s="33" t="s">
        <v>76</v>
      </c>
      <c r="G32" s="29" t="s">
        <v>56</v>
      </c>
      <c r="H32" s="29" t="s">
        <v>57</v>
      </c>
      <c r="I32" s="29" t="s">
        <v>58</v>
      </c>
      <c r="J32" s="29" t="s">
        <v>59</v>
      </c>
      <c r="K32" s="29" t="s">
        <v>134</v>
      </c>
      <c r="L32" s="29" t="s">
        <v>135</v>
      </c>
      <c r="M32" s="29" t="s">
        <v>136</v>
      </c>
      <c r="N32" s="29" t="s">
        <v>63</v>
      </c>
      <c r="O32" s="29" t="s">
        <v>63</v>
      </c>
      <c r="P32" s="29" t="s">
        <v>63</v>
      </c>
      <c r="Q32" s="29" t="s">
        <v>63</v>
      </c>
      <c r="R32" s="29" t="s">
        <v>137</v>
      </c>
      <c r="S32" s="26" t="s">
        <v>138</v>
      </c>
      <c r="T32" s="26" t="s">
        <v>139</v>
      </c>
    </row>
    <row r="33" customFormat="false" ht="19.5" hidden="false" customHeight="true" outlineLevel="0" collapsed="false">
      <c r="A33" s="23" t="s">
        <v>28</v>
      </c>
      <c r="B33" s="23" t="s">
        <v>145</v>
      </c>
      <c r="C33" s="23" t="s">
        <v>133</v>
      </c>
      <c r="D33" s="23" t="s">
        <v>95</v>
      </c>
      <c r="E33" s="43"/>
      <c r="F33" s="44" t="s">
        <v>146</v>
      </c>
      <c r="G33" s="16" t="s">
        <v>56</v>
      </c>
      <c r="H33" s="16" t="s">
        <v>57</v>
      </c>
      <c r="I33" s="16" t="s">
        <v>58</v>
      </c>
      <c r="J33" s="16" t="s">
        <v>59</v>
      </c>
      <c r="K33" s="16" t="s">
        <v>134</v>
      </c>
      <c r="L33" s="16" t="s">
        <v>135</v>
      </c>
      <c r="M33" s="16" t="s">
        <v>136</v>
      </c>
      <c r="N33" s="16" t="s">
        <v>63</v>
      </c>
      <c r="O33" s="16" t="s">
        <v>63</v>
      </c>
      <c r="P33" s="16" t="s">
        <v>63</v>
      </c>
      <c r="Q33" s="16" t="s">
        <v>63</v>
      </c>
      <c r="R33" s="16" t="s">
        <v>137</v>
      </c>
      <c r="S33" s="23" t="s">
        <v>138</v>
      </c>
      <c r="T33" s="23" t="s">
        <v>139</v>
      </c>
    </row>
    <row r="34" customFormat="false" ht="19.5" hidden="false" customHeight="true" outlineLevel="0" collapsed="false">
      <c r="A34" s="26" t="s">
        <v>29</v>
      </c>
      <c r="B34" s="26" t="s">
        <v>147</v>
      </c>
      <c r="C34" s="26" t="s">
        <v>148</v>
      </c>
      <c r="D34" s="26" t="s">
        <v>54</v>
      </c>
      <c r="E34" s="24"/>
      <c r="F34" s="25" t="s">
        <v>55</v>
      </c>
      <c r="G34" s="29" t="s">
        <v>56</v>
      </c>
      <c r="H34" s="29" t="s">
        <v>57</v>
      </c>
      <c r="I34" s="29" t="s">
        <v>58</v>
      </c>
      <c r="J34" s="29" t="s">
        <v>59</v>
      </c>
      <c r="K34" s="29" t="s">
        <v>149</v>
      </c>
      <c r="L34" s="29" t="s">
        <v>135</v>
      </c>
      <c r="M34" s="29" t="s">
        <v>136</v>
      </c>
      <c r="N34" s="29" t="s">
        <v>63</v>
      </c>
      <c r="O34" s="29" t="s">
        <v>63</v>
      </c>
      <c r="P34" s="29" t="s">
        <v>63</v>
      </c>
      <c r="Q34" s="29" t="s">
        <v>63</v>
      </c>
      <c r="R34" s="29" t="s">
        <v>65</v>
      </c>
      <c r="S34" s="26" t="s">
        <v>150</v>
      </c>
      <c r="T34" s="26"/>
    </row>
    <row r="35" customFormat="false" ht="19.5" hidden="false" customHeight="true" outlineLevel="0" collapsed="false">
      <c r="A35" s="23" t="s">
        <v>29</v>
      </c>
      <c r="B35" s="23" t="s">
        <v>151</v>
      </c>
      <c r="C35" s="23" t="s">
        <v>148</v>
      </c>
      <c r="D35" s="23" t="s">
        <v>107</v>
      </c>
      <c r="E35" s="37"/>
      <c r="F35" s="38" t="s">
        <v>125</v>
      </c>
      <c r="G35" s="16" t="s">
        <v>56</v>
      </c>
      <c r="H35" s="16" t="s">
        <v>57</v>
      </c>
      <c r="I35" s="16" t="s">
        <v>58</v>
      </c>
      <c r="J35" s="16" t="s">
        <v>59</v>
      </c>
      <c r="K35" s="16" t="s">
        <v>149</v>
      </c>
      <c r="L35" s="16" t="s">
        <v>135</v>
      </c>
      <c r="M35" s="16" t="s">
        <v>136</v>
      </c>
      <c r="N35" s="16" t="s">
        <v>63</v>
      </c>
      <c r="O35" s="16" t="s">
        <v>63</v>
      </c>
      <c r="P35" s="16" t="s">
        <v>63</v>
      </c>
      <c r="Q35" s="16" t="s">
        <v>63</v>
      </c>
      <c r="R35" s="16" t="s">
        <v>65</v>
      </c>
      <c r="S35" s="23" t="s">
        <v>150</v>
      </c>
      <c r="T35" s="23"/>
    </row>
    <row r="36" customFormat="false" ht="19.5" hidden="false" customHeight="true" outlineLevel="0" collapsed="false">
      <c r="A36" s="26" t="s">
        <v>29</v>
      </c>
      <c r="B36" s="26" t="s">
        <v>152</v>
      </c>
      <c r="C36" s="26" t="s">
        <v>148</v>
      </c>
      <c r="D36" s="26" t="s">
        <v>153</v>
      </c>
      <c r="E36" s="45"/>
      <c r="F36" s="46" t="s">
        <v>154</v>
      </c>
      <c r="G36" s="29" t="s">
        <v>56</v>
      </c>
      <c r="H36" s="29" t="s">
        <v>57</v>
      </c>
      <c r="I36" s="29" t="s">
        <v>58</v>
      </c>
      <c r="J36" s="29" t="s">
        <v>59</v>
      </c>
      <c r="K36" s="29" t="s">
        <v>149</v>
      </c>
      <c r="L36" s="29" t="s">
        <v>135</v>
      </c>
      <c r="M36" s="29" t="s">
        <v>136</v>
      </c>
      <c r="N36" s="29" t="s">
        <v>63</v>
      </c>
      <c r="O36" s="29" t="s">
        <v>63</v>
      </c>
      <c r="P36" s="29" t="s">
        <v>63</v>
      </c>
      <c r="Q36" s="29" t="s">
        <v>63</v>
      </c>
      <c r="R36" s="29" t="s">
        <v>65</v>
      </c>
      <c r="S36" s="26" t="s">
        <v>150</v>
      </c>
      <c r="T36" s="26"/>
    </row>
    <row r="37" customFormat="false" ht="19.5" hidden="false" customHeight="true" outlineLevel="0" collapsed="false">
      <c r="A37" s="23" t="s">
        <v>29</v>
      </c>
      <c r="B37" s="23" t="s">
        <v>155</v>
      </c>
      <c r="C37" s="23" t="s">
        <v>148</v>
      </c>
      <c r="D37" s="23" t="s">
        <v>69</v>
      </c>
      <c r="E37" s="27"/>
      <c r="F37" s="28" t="s">
        <v>70</v>
      </c>
      <c r="G37" s="16" t="s">
        <v>56</v>
      </c>
      <c r="H37" s="16" t="s">
        <v>57</v>
      </c>
      <c r="I37" s="16" t="s">
        <v>58</v>
      </c>
      <c r="J37" s="16" t="s">
        <v>59</v>
      </c>
      <c r="K37" s="16" t="s">
        <v>149</v>
      </c>
      <c r="L37" s="16" t="s">
        <v>135</v>
      </c>
      <c r="M37" s="16" t="s">
        <v>136</v>
      </c>
      <c r="N37" s="16" t="s">
        <v>63</v>
      </c>
      <c r="O37" s="16" t="s">
        <v>63</v>
      </c>
      <c r="P37" s="16" t="s">
        <v>63</v>
      </c>
      <c r="Q37" s="16" t="s">
        <v>63</v>
      </c>
      <c r="R37" s="16" t="s">
        <v>65</v>
      </c>
      <c r="S37" s="23" t="s">
        <v>150</v>
      </c>
      <c r="T37" s="23"/>
    </row>
    <row r="38" customFormat="false" ht="19.5" hidden="false" customHeight="true" outlineLevel="0" collapsed="false">
      <c r="A38" s="26" t="s">
        <v>29</v>
      </c>
      <c r="B38" s="26" t="s">
        <v>156</v>
      </c>
      <c r="C38" s="26" t="s">
        <v>148</v>
      </c>
      <c r="D38" s="26" t="s">
        <v>112</v>
      </c>
      <c r="E38" s="47"/>
      <c r="F38" s="48" t="s">
        <v>157</v>
      </c>
      <c r="G38" s="29" t="s">
        <v>56</v>
      </c>
      <c r="H38" s="29" t="s">
        <v>57</v>
      </c>
      <c r="I38" s="29" t="s">
        <v>58</v>
      </c>
      <c r="J38" s="29" t="s">
        <v>59</v>
      </c>
      <c r="K38" s="29" t="s">
        <v>149</v>
      </c>
      <c r="L38" s="29" t="s">
        <v>135</v>
      </c>
      <c r="M38" s="29" t="s">
        <v>136</v>
      </c>
      <c r="N38" s="29" t="s">
        <v>63</v>
      </c>
      <c r="O38" s="29" t="s">
        <v>63</v>
      </c>
      <c r="P38" s="29" t="s">
        <v>63</v>
      </c>
      <c r="Q38" s="29" t="s">
        <v>63</v>
      </c>
      <c r="R38" s="29" t="s">
        <v>65</v>
      </c>
      <c r="S38" s="26" t="s">
        <v>150</v>
      </c>
      <c r="T38" s="26"/>
    </row>
    <row r="39" customFormat="false" ht="19.5" hidden="false" customHeight="true" outlineLevel="0" collapsed="false">
      <c r="A39" s="23" t="s">
        <v>29</v>
      </c>
      <c r="B39" s="23" t="s">
        <v>158</v>
      </c>
      <c r="C39" s="23" t="s">
        <v>148</v>
      </c>
      <c r="D39" s="23" t="s">
        <v>159</v>
      </c>
      <c r="E39" s="49"/>
      <c r="F39" s="50" t="s">
        <v>160</v>
      </c>
      <c r="G39" s="16" t="s">
        <v>56</v>
      </c>
      <c r="H39" s="16" t="s">
        <v>57</v>
      </c>
      <c r="I39" s="16" t="s">
        <v>58</v>
      </c>
      <c r="J39" s="16" t="s">
        <v>59</v>
      </c>
      <c r="K39" s="16" t="s">
        <v>149</v>
      </c>
      <c r="L39" s="16" t="s">
        <v>135</v>
      </c>
      <c r="M39" s="16" t="s">
        <v>136</v>
      </c>
      <c r="N39" s="16" t="s">
        <v>63</v>
      </c>
      <c r="O39" s="16" t="s">
        <v>63</v>
      </c>
      <c r="P39" s="16" t="s">
        <v>63</v>
      </c>
      <c r="Q39" s="16" t="s">
        <v>63</v>
      </c>
      <c r="R39" s="16" t="s">
        <v>65</v>
      </c>
      <c r="S39" s="23" t="s">
        <v>150</v>
      </c>
      <c r="T39" s="23"/>
    </row>
    <row r="40" customFormat="false" ht="19.5" hidden="false" customHeight="true" outlineLevel="0" collapsed="false">
      <c r="A40" s="26" t="s">
        <v>29</v>
      </c>
      <c r="B40" s="26" t="s">
        <v>161</v>
      </c>
      <c r="C40" s="26" t="s">
        <v>148</v>
      </c>
      <c r="D40" s="26" t="s">
        <v>114</v>
      </c>
      <c r="E40" s="51"/>
      <c r="F40" s="52" t="s">
        <v>162</v>
      </c>
      <c r="G40" s="29" t="s">
        <v>56</v>
      </c>
      <c r="H40" s="29" t="s">
        <v>57</v>
      </c>
      <c r="I40" s="29" t="s">
        <v>58</v>
      </c>
      <c r="J40" s="29" t="s">
        <v>59</v>
      </c>
      <c r="K40" s="29" t="s">
        <v>149</v>
      </c>
      <c r="L40" s="29" t="s">
        <v>135</v>
      </c>
      <c r="M40" s="29" t="s">
        <v>136</v>
      </c>
      <c r="N40" s="29" t="s">
        <v>63</v>
      </c>
      <c r="O40" s="29" t="s">
        <v>63</v>
      </c>
      <c r="P40" s="29" t="s">
        <v>63</v>
      </c>
      <c r="Q40" s="29" t="s">
        <v>63</v>
      </c>
      <c r="R40" s="29" t="s">
        <v>65</v>
      </c>
      <c r="S40" s="26" t="s">
        <v>150</v>
      </c>
      <c r="T40" s="26"/>
    </row>
    <row r="41" customFormat="false" ht="19.5" hidden="false" customHeight="true" outlineLevel="0" collapsed="false">
      <c r="A41" s="23" t="s">
        <v>29</v>
      </c>
      <c r="B41" s="23" t="s">
        <v>163</v>
      </c>
      <c r="C41" s="23" t="s">
        <v>148</v>
      </c>
      <c r="D41" s="23" t="s">
        <v>164</v>
      </c>
      <c r="E41" s="53"/>
      <c r="F41" s="54" t="s">
        <v>165</v>
      </c>
      <c r="G41" s="16" t="s">
        <v>56</v>
      </c>
      <c r="H41" s="16" t="s">
        <v>57</v>
      </c>
      <c r="I41" s="16" t="s">
        <v>58</v>
      </c>
      <c r="J41" s="16" t="s">
        <v>59</v>
      </c>
      <c r="K41" s="16" t="s">
        <v>149</v>
      </c>
      <c r="L41" s="16" t="s">
        <v>135</v>
      </c>
      <c r="M41" s="16" t="s">
        <v>136</v>
      </c>
      <c r="N41" s="16" t="s">
        <v>63</v>
      </c>
      <c r="O41" s="16" t="s">
        <v>63</v>
      </c>
      <c r="P41" s="16" t="s">
        <v>63</v>
      </c>
      <c r="Q41" s="16" t="s">
        <v>63</v>
      </c>
      <c r="R41" s="16" t="s">
        <v>65</v>
      </c>
      <c r="S41" s="23" t="s">
        <v>150</v>
      </c>
      <c r="T41" s="23"/>
    </row>
    <row r="42" customFormat="false" ht="19.5" hidden="false" customHeight="true" outlineLevel="0" collapsed="false">
      <c r="A42" s="26" t="s">
        <v>29</v>
      </c>
      <c r="B42" s="26" t="s">
        <v>166</v>
      </c>
      <c r="C42" s="26" t="s">
        <v>148</v>
      </c>
      <c r="D42" s="26" t="s">
        <v>167</v>
      </c>
      <c r="E42" s="55"/>
      <c r="F42" s="56" t="s">
        <v>168</v>
      </c>
      <c r="G42" s="29" t="s">
        <v>56</v>
      </c>
      <c r="H42" s="29" t="s">
        <v>57</v>
      </c>
      <c r="I42" s="29" t="s">
        <v>58</v>
      </c>
      <c r="J42" s="29" t="s">
        <v>59</v>
      </c>
      <c r="K42" s="29" t="s">
        <v>149</v>
      </c>
      <c r="L42" s="29" t="s">
        <v>135</v>
      </c>
      <c r="M42" s="29" t="s">
        <v>136</v>
      </c>
      <c r="N42" s="29" t="s">
        <v>63</v>
      </c>
      <c r="O42" s="29" t="s">
        <v>63</v>
      </c>
      <c r="P42" s="29" t="s">
        <v>63</v>
      </c>
      <c r="Q42" s="29" t="s">
        <v>63</v>
      </c>
      <c r="R42" s="29" t="s">
        <v>65</v>
      </c>
      <c r="S42" s="26" t="s">
        <v>150</v>
      </c>
      <c r="T42" s="26"/>
    </row>
    <row r="43" customFormat="false" ht="19.5" hidden="false" customHeight="true" outlineLevel="0" collapsed="false">
      <c r="A43" s="23" t="s">
        <v>29</v>
      </c>
      <c r="B43" s="23" t="s">
        <v>169</v>
      </c>
      <c r="C43" s="23" t="s">
        <v>148</v>
      </c>
      <c r="D43" s="23" t="s">
        <v>72</v>
      </c>
      <c r="E43" s="30"/>
      <c r="F43" s="31" t="s">
        <v>73</v>
      </c>
      <c r="G43" s="16" t="s">
        <v>56</v>
      </c>
      <c r="H43" s="16" t="s">
        <v>57</v>
      </c>
      <c r="I43" s="16" t="s">
        <v>58</v>
      </c>
      <c r="J43" s="16" t="s">
        <v>59</v>
      </c>
      <c r="K43" s="16" t="s">
        <v>149</v>
      </c>
      <c r="L43" s="16" t="s">
        <v>135</v>
      </c>
      <c r="M43" s="16" t="s">
        <v>136</v>
      </c>
      <c r="N43" s="16" t="s">
        <v>63</v>
      </c>
      <c r="O43" s="16" t="s">
        <v>63</v>
      </c>
      <c r="P43" s="16" t="s">
        <v>63</v>
      </c>
      <c r="Q43" s="16" t="s">
        <v>63</v>
      </c>
      <c r="R43" s="16" t="s">
        <v>65</v>
      </c>
      <c r="S43" s="23" t="s">
        <v>150</v>
      </c>
      <c r="T43" s="23"/>
    </row>
    <row r="44" customFormat="false" ht="19.5" hidden="false" customHeight="true" outlineLevel="0" collapsed="false">
      <c r="A44" s="26" t="s">
        <v>29</v>
      </c>
      <c r="B44" s="26" t="s">
        <v>170</v>
      </c>
      <c r="C44" s="26" t="s">
        <v>148</v>
      </c>
      <c r="D44" s="26" t="s">
        <v>171</v>
      </c>
      <c r="E44" s="57"/>
      <c r="F44" s="58" t="s">
        <v>172</v>
      </c>
      <c r="G44" s="29" t="s">
        <v>56</v>
      </c>
      <c r="H44" s="29" t="s">
        <v>57</v>
      </c>
      <c r="I44" s="29" t="s">
        <v>58</v>
      </c>
      <c r="J44" s="29" t="s">
        <v>59</v>
      </c>
      <c r="K44" s="29" t="s">
        <v>149</v>
      </c>
      <c r="L44" s="29" t="s">
        <v>135</v>
      </c>
      <c r="M44" s="29" t="s">
        <v>136</v>
      </c>
      <c r="N44" s="29" t="s">
        <v>63</v>
      </c>
      <c r="O44" s="29" t="s">
        <v>63</v>
      </c>
      <c r="P44" s="29" t="s">
        <v>63</v>
      </c>
      <c r="Q44" s="29" t="s">
        <v>63</v>
      </c>
      <c r="R44" s="29" t="s">
        <v>65</v>
      </c>
      <c r="S44" s="26" t="s">
        <v>150</v>
      </c>
      <c r="T44" s="26"/>
    </row>
    <row r="45" customFormat="false" ht="19.5" hidden="false" customHeight="true" outlineLevel="0" collapsed="false">
      <c r="A45" s="23" t="s">
        <v>29</v>
      </c>
      <c r="B45" s="23" t="s">
        <v>173</v>
      </c>
      <c r="C45" s="23" t="s">
        <v>148</v>
      </c>
      <c r="D45" s="23" t="s">
        <v>174</v>
      </c>
      <c r="E45" s="59"/>
      <c r="F45" s="60" t="s">
        <v>175</v>
      </c>
      <c r="G45" s="16" t="s">
        <v>56</v>
      </c>
      <c r="H45" s="16" t="s">
        <v>57</v>
      </c>
      <c r="I45" s="16" t="s">
        <v>58</v>
      </c>
      <c r="J45" s="16" t="s">
        <v>59</v>
      </c>
      <c r="K45" s="16" t="s">
        <v>149</v>
      </c>
      <c r="L45" s="16" t="s">
        <v>135</v>
      </c>
      <c r="M45" s="16" t="s">
        <v>136</v>
      </c>
      <c r="N45" s="16" t="s">
        <v>63</v>
      </c>
      <c r="O45" s="16" t="s">
        <v>63</v>
      </c>
      <c r="P45" s="16" t="s">
        <v>63</v>
      </c>
      <c r="Q45" s="16" t="s">
        <v>63</v>
      </c>
      <c r="R45" s="16" t="s">
        <v>65</v>
      </c>
      <c r="S45" s="23" t="s">
        <v>150</v>
      </c>
      <c r="T45" s="23"/>
    </row>
    <row r="46" customFormat="false" ht="19.5" hidden="false" customHeight="true" outlineLevel="0" collapsed="false">
      <c r="A46" s="26" t="s">
        <v>29</v>
      </c>
      <c r="B46" s="26" t="s">
        <v>176</v>
      </c>
      <c r="C46" s="26" t="s">
        <v>148</v>
      </c>
      <c r="D46" s="26" t="s">
        <v>177</v>
      </c>
      <c r="E46" s="61"/>
      <c r="F46" s="62" t="s">
        <v>178</v>
      </c>
      <c r="G46" s="29" t="s">
        <v>56</v>
      </c>
      <c r="H46" s="29" t="s">
        <v>57</v>
      </c>
      <c r="I46" s="29" t="s">
        <v>58</v>
      </c>
      <c r="J46" s="29" t="s">
        <v>59</v>
      </c>
      <c r="K46" s="29" t="s">
        <v>149</v>
      </c>
      <c r="L46" s="29" t="s">
        <v>135</v>
      </c>
      <c r="M46" s="29" t="s">
        <v>136</v>
      </c>
      <c r="N46" s="29" t="s">
        <v>63</v>
      </c>
      <c r="O46" s="29" t="s">
        <v>63</v>
      </c>
      <c r="P46" s="29" t="s">
        <v>63</v>
      </c>
      <c r="Q46" s="29" t="s">
        <v>63</v>
      </c>
      <c r="R46" s="29" t="s">
        <v>65</v>
      </c>
      <c r="S46" s="26" t="s">
        <v>150</v>
      </c>
      <c r="T46" s="26"/>
    </row>
    <row r="47" customFormat="false" ht="19.5" hidden="false" customHeight="true" outlineLevel="0" collapsed="false">
      <c r="A47" s="23" t="s">
        <v>29</v>
      </c>
      <c r="B47" s="23" t="s">
        <v>179</v>
      </c>
      <c r="C47" s="23" t="s">
        <v>148</v>
      </c>
      <c r="D47" s="23" t="s">
        <v>75</v>
      </c>
      <c r="E47" s="32"/>
      <c r="F47" s="33" t="s">
        <v>76</v>
      </c>
      <c r="G47" s="16" t="s">
        <v>56</v>
      </c>
      <c r="H47" s="16" t="s">
        <v>57</v>
      </c>
      <c r="I47" s="16" t="s">
        <v>58</v>
      </c>
      <c r="J47" s="16" t="s">
        <v>59</v>
      </c>
      <c r="K47" s="16" t="s">
        <v>149</v>
      </c>
      <c r="L47" s="16" t="s">
        <v>135</v>
      </c>
      <c r="M47" s="16" t="s">
        <v>136</v>
      </c>
      <c r="N47" s="16" t="s">
        <v>63</v>
      </c>
      <c r="O47" s="16" t="s">
        <v>63</v>
      </c>
      <c r="P47" s="16" t="s">
        <v>63</v>
      </c>
      <c r="Q47" s="16" t="s">
        <v>63</v>
      </c>
      <c r="R47" s="16" t="s">
        <v>65</v>
      </c>
      <c r="S47" s="23" t="s">
        <v>150</v>
      </c>
      <c r="T47" s="23"/>
    </row>
    <row r="48" customFormat="false" ht="19.5" hidden="false" customHeight="true" outlineLevel="0" collapsed="false">
      <c r="A48" s="26" t="s">
        <v>29</v>
      </c>
      <c r="B48" s="26" t="s">
        <v>180</v>
      </c>
      <c r="C48" s="26" t="s">
        <v>148</v>
      </c>
      <c r="D48" s="26" t="s">
        <v>95</v>
      </c>
      <c r="E48" s="43"/>
      <c r="F48" s="44" t="s">
        <v>146</v>
      </c>
      <c r="G48" s="29" t="s">
        <v>56</v>
      </c>
      <c r="H48" s="29" t="s">
        <v>57</v>
      </c>
      <c r="I48" s="29" t="s">
        <v>58</v>
      </c>
      <c r="J48" s="29" t="s">
        <v>59</v>
      </c>
      <c r="K48" s="29" t="s">
        <v>149</v>
      </c>
      <c r="L48" s="29" t="s">
        <v>135</v>
      </c>
      <c r="M48" s="29" t="s">
        <v>136</v>
      </c>
      <c r="N48" s="29" t="s">
        <v>63</v>
      </c>
      <c r="O48" s="29" t="s">
        <v>63</v>
      </c>
      <c r="P48" s="29" t="s">
        <v>63</v>
      </c>
      <c r="Q48" s="29" t="s">
        <v>63</v>
      </c>
      <c r="R48" s="29" t="s">
        <v>65</v>
      </c>
      <c r="S48" s="26" t="s">
        <v>150</v>
      </c>
      <c r="T48" s="26"/>
    </row>
    <row r="49" customFormat="false" ht="19.5" hidden="false" customHeight="true" outlineLevel="0" collapsed="false">
      <c r="A49" s="23" t="s">
        <v>30</v>
      </c>
      <c r="B49" s="23" t="s">
        <v>181</v>
      </c>
      <c r="C49" s="23" t="s">
        <v>182</v>
      </c>
      <c r="D49" s="23" t="s">
        <v>54</v>
      </c>
      <c r="E49" s="24"/>
      <c r="F49" s="36" t="s">
        <v>99</v>
      </c>
      <c r="G49" s="16" t="s">
        <v>56</v>
      </c>
      <c r="H49" s="16" t="s">
        <v>100</v>
      </c>
      <c r="I49" s="16" t="s">
        <v>58</v>
      </c>
      <c r="J49" s="16" t="s">
        <v>59</v>
      </c>
      <c r="K49" s="16" t="s">
        <v>183</v>
      </c>
      <c r="L49" s="16" t="s">
        <v>135</v>
      </c>
      <c r="M49" s="16" t="s">
        <v>184</v>
      </c>
      <c r="N49" s="16" t="s">
        <v>63</v>
      </c>
      <c r="O49" s="16" t="s">
        <v>63</v>
      </c>
      <c r="P49" s="16" t="s">
        <v>63</v>
      </c>
      <c r="Q49" s="16" t="s">
        <v>63</v>
      </c>
      <c r="R49" s="16" t="s">
        <v>82</v>
      </c>
      <c r="S49" s="23" t="s">
        <v>185</v>
      </c>
      <c r="T49" s="23" t="s">
        <v>105</v>
      </c>
    </row>
    <row r="50" customFormat="false" ht="19.5" hidden="false" customHeight="true" outlineLevel="0" collapsed="false">
      <c r="A50" s="26" t="s">
        <v>31</v>
      </c>
      <c r="B50" s="26" t="s">
        <v>186</v>
      </c>
      <c r="C50" s="26" t="s">
        <v>187</v>
      </c>
      <c r="D50" s="26" t="s">
        <v>54</v>
      </c>
      <c r="E50" s="24"/>
      <c r="F50" s="36" t="s">
        <v>99</v>
      </c>
      <c r="G50" s="29" t="s">
        <v>56</v>
      </c>
      <c r="H50" s="29" t="s">
        <v>100</v>
      </c>
      <c r="I50" s="29" t="s">
        <v>58</v>
      </c>
      <c r="J50" s="29" t="s">
        <v>59</v>
      </c>
      <c r="K50" s="29" t="s">
        <v>188</v>
      </c>
      <c r="L50" s="29" t="s">
        <v>189</v>
      </c>
      <c r="M50" s="29" t="s">
        <v>190</v>
      </c>
      <c r="N50" s="29" t="s">
        <v>64</v>
      </c>
      <c r="O50" s="29" t="s">
        <v>64</v>
      </c>
      <c r="P50" s="29" t="s">
        <v>64</v>
      </c>
      <c r="Q50" s="29" t="s">
        <v>64</v>
      </c>
      <c r="R50" s="29" t="s">
        <v>82</v>
      </c>
      <c r="S50" s="26" t="s">
        <v>191</v>
      </c>
      <c r="T50" s="26" t="s">
        <v>105</v>
      </c>
    </row>
  </sheetData>
  <autoFilter ref="A2:T703"/>
  <mergeCells count="1">
    <mergeCell ref="A1:T1"/>
  </mergeCells>
  <conditionalFormatting sqref="R3:R703">
    <cfRule type="expression" priority="2" aboveAverage="0" equalAverage="0" bottom="0" percent="0" rank="0" text="" dxfId="53">
      <formula>$R3="S"</formula>
    </cfRule>
    <cfRule type="expression" priority="3" aboveAverage="0" equalAverage="0" bottom="0" percent="0" rank="0" text="" dxfId="54">
      <formula>$R3="A"</formula>
    </cfRule>
    <cfRule type="expression" priority="4" aboveAverage="0" equalAverage="0" bottom="0" percent="0" rank="0" text="" dxfId="55">
      <formula>$R3="B"</formula>
    </cfRule>
    <cfRule type="expression" priority="5" aboveAverage="0" equalAverage="0" bottom="0" percent="0" rank="0" text="" dxfId="56">
      <formula>$R3="C"</formula>
    </cfRule>
  </conditionalFormatting>
  <conditionalFormatting sqref="N3:N703">
    <cfRule type="expression" priority="6" aboveAverage="0" equalAverage="0" bottom="0" percent="0" rank="0" text="" dxfId="57">
      <formula>NOT(ISERROR(SEARCH("✓",$N3)))</formula>
    </cfRule>
    <cfRule type="expression" priority="7" aboveAverage="0" equalAverage="0" bottom="0" percent="0" rank="0" text="" dxfId="58">
      <formula>NOT(ISERROR(SEARCH("✗",$N3)))</formula>
    </cfRule>
    <cfRule type="expression" priority="8" aboveAverage="0" equalAverage="0" bottom="0" percent="0" rank="0" text="" dxfId="59">
      <formula>NOT(ISERROR(SEARCH("⚠",$N3)))</formula>
    </cfRule>
  </conditionalFormatting>
  <conditionalFormatting sqref="O3:O703">
    <cfRule type="expression" priority="9" aboveAverage="0" equalAverage="0" bottom="0" percent="0" rank="0" text="" dxfId="57">
      <formula>NOT(ISERROR(SEARCH("✓",$O3)))</formula>
    </cfRule>
    <cfRule type="expression" priority="10" aboveAverage="0" equalAverage="0" bottom="0" percent="0" rank="0" text="" dxfId="58">
      <formula>NOT(ISERROR(SEARCH("✗",$O3)))</formula>
    </cfRule>
    <cfRule type="expression" priority="11" aboveAverage="0" equalAverage="0" bottom="0" percent="0" rank="0" text="" dxfId="59">
      <formula>NOT(ISERROR(SEARCH("⚠",$O3)))</formula>
    </cfRule>
  </conditionalFormatting>
  <conditionalFormatting sqref="P3:P703">
    <cfRule type="expression" priority="12" aboveAverage="0" equalAverage="0" bottom="0" percent="0" rank="0" text="" dxfId="57">
      <formula>NOT(ISERROR(SEARCH("✓",$P3)))</formula>
    </cfRule>
    <cfRule type="expression" priority="13" aboveAverage="0" equalAverage="0" bottom="0" percent="0" rank="0" text="" dxfId="58">
      <formula>NOT(ISERROR(SEARCH("✗",$P3)))</formula>
    </cfRule>
    <cfRule type="expression" priority="14" aboveAverage="0" equalAverage="0" bottom="0" percent="0" rank="0" text="" dxfId="59">
      <formula>NOT(ISERROR(SEARCH("⚠",$P3)))</formula>
    </cfRule>
  </conditionalFormatting>
  <conditionalFormatting sqref="Q3:Q703">
    <cfRule type="expression" priority="15" aboveAverage="0" equalAverage="0" bottom="0" percent="0" rank="0" text="" dxfId="57">
      <formula>NOT(ISERROR(SEARCH("✓",$Q3)))</formula>
    </cfRule>
    <cfRule type="expression" priority="16" aboveAverage="0" equalAverage="0" bottom="0" percent="0" rank="0" text="" dxfId="58">
      <formula>NOT(ISERROR(SEARCH("✗",$Q3)))</formula>
    </cfRule>
    <cfRule type="expression" priority="17" aboveAverage="0" equalAverage="0" bottom="0" percent="0" rank="0" text="" dxfId="59">
      <formula>NOT(ISERROR(SEARCH("⚠",$Q3)))</formula>
    </cfRule>
  </conditionalFormatting>
  <conditionalFormatting sqref="J3:J703">
    <cfRule type="expression" priority="18" aboveAverage="0" equalAverage="0" bottom="0" percent="0" rank="0" text="" dxfId="59">
      <formula>$J3="Yes"</formula>
    </cfRule>
  </conditionalFormatting>
  <conditionalFormatting sqref="T3:T703">
    <cfRule type="expression" priority="19" aboveAverage="0" equalAverage="0" bottom="0" percent="0" rank="0" text="" dxfId="60">
      <formula>NOT(ISERROR(SEARCH("hardened nozzle",$T3)))</formula>
    </cfRule>
  </conditionalFormatting>
  <dataValidations count="8">
    <dataValidation allowBlank="true" errorStyle="stop" operator="between" showDropDown="false" showErrorMessage="false" showInputMessage="false" sqref="R3:R151" type="list">
      <formula1>"S,A,B,C"</formula1>
      <formula2>0</formula2>
    </dataValidation>
    <dataValidation allowBlank="true" errorStyle="stop" operator="between" showDropDown="false" showErrorMessage="false" showInputMessage="false" sqref="I3:I151" type="list">
      <formula1>"Cardboard,Plastic"</formula1>
      <formula2>0</formula2>
    </dataValidation>
    <dataValidation allowBlank="true" errorStyle="stop" operator="between" showDropDown="false" showErrorMessage="false" showInputMessage="false" sqref="J3:J151" type="list">
      <formula1>"Yes,No"</formula1>
      <formula2>0</formula2>
    </dataValidation>
    <dataValidation allowBlank="true" errorStyle="stop" operator="between" showDropDown="false" showErrorMessage="false" showInputMessage="false" sqref="G3:G151" type="list">
      <formula1>"1.75mm,2.85mm"</formula1>
      <formula2>0</formula2>
    </dataValidation>
    <dataValidation allowBlank="true" errorStyle="stop" operator="between" showDropDown="false" showErrorMessage="false" showInputMessage="false" sqref="N3:N151" type="list">
      <formula1>"✓,✗,⚠"</formula1>
      <formula2>0</formula2>
    </dataValidation>
    <dataValidation allowBlank="true" errorStyle="stop" operator="between" showDropDown="false" showErrorMessage="false" showInputMessage="false" sqref="O3:O151" type="list">
      <formula1>"✓,✗,⚠"</formula1>
      <formula2>0</formula2>
    </dataValidation>
    <dataValidation allowBlank="true" errorStyle="stop" operator="between" showDropDown="false" showErrorMessage="false" showInputMessage="false" sqref="P3:P151" type="list">
      <formula1>"✓,✗,⚠"</formula1>
      <formula2>0</formula2>
    </dataValidation>
    <dataValidation allowBlank="true" errorStyle="stop" operator="between" showDropDown="false" showErrorMessage="false" showInputMessage="false" sqref="Q3:Q151" type="list">
      <formula1>"✓,✗,⚠"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58"/>
  </cols>
  <sheetData>
    <row r="1" customFormat="false" ht="30" hidden="false" customHeight="true" outlineLevel="0" collapsed="false">
      <c r="A1" s="21" t="s">
        <v>192</v>
      </c>
      <c r="B1" s="21"/>
      <c r="C1" s="21"/>
      <c r="D1" s="21"/>
      <c r="E1" s="21"/>
      <c r="F1" s="21"/>
      <c r="G1" s="21"/>
      <c r="H1" s="21"/>
    </row>
    <row r="2" customFormat="false" ht="33.75" hidden="false" customHeight="true" outlineLevel="0" collapsed="false">
      <c r="A2" s="22" t="s">
        <v>193</v>
      </c>
      <c r="B2" s="22" t="s">
        <v>42</v>
      </c>
      <c r="C2" s="22" t="s">
        <v>43</v>
      </c>
      <c r="D2" s="22" t="s">
        <v>194</v>
      </c>
      <c r="E2" s="22" t="s">
        <v>195</v>
      </c>
      <c r="F2" s="22" t="s">
        <v>196</v>
      </c>
      <c r="G2" s="22" t="s">
        <v>44</v>
      </c>
      <c r="H2" s="22" t="s">
        <v>51</v>
      </c>
    </row>
    <row r="3" customFormat="false" ht="19.5" hidden="false" customHeight="true" outlineLevel="0" collapsed="false">
      <c r="A3" s="23" t="s">
        <v>25</v>
      </c>
      <c r="B3" s="16" t="s">
        <v>80</v>
      </c>
      <c r="C3" s="16" t="s">
        <v>61</v>
      </c>
      <c r="D3" s="16" t="s">
        <v>197</v>
      </c>
      <c r="E3" s="16" t="s">
        <v>197</v>
      </c>
      <c r="F3" s="16" t="s">
        <v>197</v>
      </c>
      <c r="G3" s="16" t="s">
        <v>81</v>
      </c>
      <c r="H3" s="23" t="s">
        <v>198</v>
      </c>
    </row>
    <row r="4" customFormat="false" ht="19.5" hidden="false" customHeight="true" outlineLevel="0" collapsed="false">
      <c r="A4" s="26" t="s">
        <v>199</v>
      </c>
      <c r="B4" s="29" t="s">
        <v>101</v>
      </c>
      <c r="C4" s="29" t="s">
        <v>102</v>
      </c>
      <c r="D4" s="29" t="s">
        <v>197</v>
      </c>
      <c r="E4" s="29" t="s">
        <v>197</v>
      </c>
      <c r="F4" s="29" t="s">
        <v>197</v>
      </c>
      <c r="G4" s="29" t="s">
        <v>103</v>
      </c>
      <c r="H4" s="26" t="s">
        <v>200</v>
      </c>
    </row>
    <row r="5" customFormat="false" ht="19.5" hidden="false" customHeight="true" outlineLevel="0" collapsed="false">
      <c r="A5" s="23" t="s">
        <v>201</v>
      </c>
      <c r="B5" s="16" t="s">
        <v>202</v>
      </c>
      <c r="C5" s="16" t="s">
        <v>135</v>
      </c>
      <c r="D5" s="16" t="s">
        <v>59</v>
      </c>
      <c r="E5" s="16" t="s">
        <v>197</v>
      </c>
      <c r="F5" s="16" t="s">
        <v>203</v>
      </c>
      <c r="G5" s="16" t="s">
        <v>136</v>
      </c>
      <c r="H5" s="23" t="s">
        <v>204</v>
      </c>
    </row>
    <row r="6" customFormat="false" ht="19.5" hidden="false" customHeight="true" outlineLevel="0" collapsed="false">
      <c r="A6" s="26" t="s">
        <v>27</v>
      </c>
      <c r="B6" s="29" t="s">
        <v>120</v>
      </c>
      <c r="C6" s="29" t="s">
        <v>121</v>
      </c>
      <c r="D6" s="29" t="s">
        <v>59</v>
      </c>
      <c r="E6" s="29" t="s">
        <v>197</v>
      </c>
      <c r="F6" s="29" t="s">
        <v>197</v>
      </c>
      <c r="G6" s="29" t="s">
        <v>122</v>
      </c>
      <c r="H6" s="26" t="s">
        <v>119</v>
      </c>
    </row>
    <row r="7" customFormat="false" ht="19.5" hidden="false" customHeight="true" outlineLevel="0" collapsed="false">
      <c r="A7" s="23" t="s">
        <v>24</v>
      </c>
      <c r="B7" s="16" t="s">
        <v>60</v>
      </c>
      <c r="C7" s="16" t="s">
        <v>61</v>
      </c>
      <c r="D7" s="16" t="s">
        <v>197</v>
      </c>
      <c r="E7" s="16" t="s">
        <v>197</v>
      </c>
      <c r="F7" s="16" t="s">
        <v>197</v>
      </c>
      <c r="G7" s="16" t="s">
        <v>62</v>
      </c>
      <c r="H7" s="23" t="s">
        <v>205</v>
      </c>
    </row>
  </sheetData>
  <autoFilter ref="A2:H63"/>
  <mergeCells count="1">
    <mergeCell ref="A1:H1"/>
  </mergeCells>
  <conditionalFormatting sqref="D3:D18">
    <cfRule type="expression" priority="2" aboveAverage="0" equalAverage="0" bottom="0" percent="0" rank="0" text="" dxfId="59">
      <formula>$D3="Yes"</formula>
    </cfRule>
  </conditionalFormatting>
  <conditionalFormatting sqref="E3:E18">
    <cfRule type="expression" priority="3" aboveAverage="0" equalAverage="0" bottom="0" percent="0" rank="0" text="" dxfId="58">
      <formula>$E3="No"</formula>
    </cfRule>
    <cfRule type="expression" priority="4" aboveAverage="0" equalAverage="0" bottom="0" percent="0" rank="0" text="" dxfId="59">
      <formula>NOT(ISERROR(SEARCH("⚠",$E3)))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6"/>
    <col collapsed="false" customWidth="true" hidden="false" outlineLevel="0" max="3" min="3" style="0" width="70"/>
  </cols>
  <sheetData>
    <row r="1" customFormat="false" ht="25.5" hidden="false" customHeight="true" outlineLevel="0" collapsed="false">
      <c r="A1" s="63" t="s">
        <v>206</v>
      </c>
      <c r="B1" s="63"/>
      <c r="C1" s="63"/>
    </row>
    <row r="2" customFormat="false" ht="21.75" hidden="false" customHeight="true" outlineLevel="0" collapsed="false">
      <c r="A2" s="18" t="s">
        <v>207</v>
      </c>
      <c r="B2" s="18" t="s">
        <v>208</v>
      </c>
      <c r="C2" s="18" t="s">
        <v>51</v>
      </c>
    </row>
    <row r="3" customFormat="false" ht="18" hidden="false" customHeight="true" outlineLevel="0" collapsed="false">
      <c r="A3" s="64" t="s">
        <v>209</v>
      </c>
      <c r="B3" s="65" t="s">
        <v>210</v>
      </c>
      <c r="C3" s="66"/>
    </row>
    <row r="4" customFormat="false" ht="18" hidden="false" customHeight="true" outlineLevel="0" collapsed="false">
      <c r="A4" s="64" t="s">
        <v>211</v>
      </c>
      <c r="B4" s="67" t="s">
        <v>212</v>
      </c>
      <c r="C4" s="66"/>
    </row>
    <row r="5" customFormat="false" ht="18" hidden="false" customHeight="true" outlineLevel="0" collapsed="false">
      <c r="A5" s="64" t="s">
        <v>213</v>
      </c>
      <c r="B5" s="67" t="s">
        <v>214</v>
      </c>
      <c r="C5" s="66" t="s">
        <v>215</v>
      </c>
    </row>
    <row r="6" customFormat="false" ht="18" hidden="false" customHeight="true" outlineLevel="0" collapsed="false">
      <c r="A6" s="64" t="s">
        <v>216</v>
      </c>
      <c r="B6" s="67" t="s">
        <v>217</v>
      </c>
      <c r="C6" s="66" t="s">
        <v>218</v>
      </c>
    </row>
    <row r="7" customFormat="false" ht="18" hidden="false" customHeight="true" outlineLevel="0" collapsed="false">
      <c r="A7" s="64" t="s">
        <v>219</v>
      </c>
      <c r="B7" s="67" t="s">
        <v>220</v>
      </c>
      <c r="C7" s="66" t="s">
        <v>221</v>
      </c>
    </row>
    <row r="8" customFormat="false" ht="18" hidden="false" customHeight="true" outlineLevel="0" collapsed="false">
      <c r="A8" s="64" t="s">
        <v>222</v>
      </c>
      <c r="B8" s="67" t="s">
        <v>223</v>
      </c>
      <c r="C8" s="66" t="s">
        <v>224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2026-10-15T04:21:36Z</dcterms:created>
  <dc:creator>openpyxl</dc:creator>
  <dc:description/>
  <dc:language>en-US</dc:language>
  <cp:lastModifiedBy/>
  <dcterms:modified xsi:type="dcterms:W3CDTF">2026-10-15T04:21:37Z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