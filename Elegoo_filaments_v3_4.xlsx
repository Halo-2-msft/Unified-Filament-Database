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varn\Downloads\"/>
    </mc:Choice>
  </mc:AlternateContent>
  <xr:revisionPtr revIDLastSave="0" documentId="13_ncr:1_{4B9A1DE9-95CE-4B2D-A674-81648A9D9613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Dashboard" sheetId="1" r:id="rId1"/>
    <sheet name="Catalog" sheetId="2" r:id="rId2"/>
    <sheet name="Material Guide" sheetId="3" r:id="rId3"/>
    <sheet name="Config" sheetId="4" r:id="rId4"/>
  </sheets>
  <definedNames>
    <definedName name="_xlnm._FilterDatabase" localSheetId="1" hidden="1">Catalog!$A$2:$T$703</definedName>
    <definedName name="_xlnm._FilterDatabase" localSheetId="2" hidden="1">'Material Guide'!$A$2:$H$63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2" i="1" l="1"/>
  <c r="B31" i="1"/>
  <c r="B30" i="1"/>
  <c r="B29" i="1"/>
  <c r="B28" i="1"/>
  <c r="B27" i="1"/>
  <c r="B26" i="1"/>
  <c r="A22" i="1"/>
  <c r="B19" i="1"/>
  <c r="B9" i="1"/>
  <c r="B8" i="1"/>
  <c r="B7" i="1"/>
  <c r="B6" i="1"/>
  <c r="B5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" authorId="0" shapeId="0" xr:uid="{00000000-0006-0000-0100-000001000000}">
      <text>
        <r>
          <rPr>
            <sz val="10"/>
            <rFont val="Arial"/>
            <family val="2"/>
          </rPr>
          <t>SKU / Part No.
Polymaker PolyLite PLA: confirmed manufacturer codes (PA02001–PA02029).
All other brands: internal reference codes.
See Config sheet → SKU Note for details.</t>
        </r>
      </text>
    </comment>
    <comment ref="E2" authorId="0" shapeId="0" xr:uid="{00000000-0006-0000-0100-000002000000}">
      <text>
        <r>
          <rPr>
            <sz val="10"/>
            <rFont val="Arial"/>
            <family val="2"/>
          </rPr>
  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 shapeId="0" xr:uid="{00000000-0006-0000-0100-000003000000}">
      <text>
        <r>
          <rPr>
            <sz val="10"/>
            <rFont val="Arial"/>
            <family val="2"/>
          </rPr>
          <t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 shapeId="0" xr:uid="{00000000-0006-0000-0100-000004000000}">
      <text>
        <r>
          <rPr>
            <sz val="10"/>
            <rFont val="Arial"/>
            <family val="2"/>
          </rPr>
          <t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 shapeId="0" xr:uid="{00000000-0006-0000-0100-000005000000}">
      <text>
        <r>
          <rPr>
            <sz val="10"/>
            <rFont val="Arial"/>
            <family val="2"/>
          </rPr>
          <t>AMS Lite Compatibility
✓  Compatible with AMS Lite unit
✗  Not compatible (open-frame; no ABS/ASA/PA support)
⚠  Compatible with conditions
Printers: A1, A1 mini</t>
        </r>
      </text>
    </comment>
    <comment ref="P2" authorId="0" shapeId="0" xr:uid="{00000000-0006-0000-0100-000006000000}">
      <text>
        <r>
          <rPr>
            <sz val="10"/>
            <rFont val="Arial"/>
            <family val="2"/>
          </rPr>
          <t>AMS 2 Pro Compatibility
✓  Compatible with AMS 2 Pro unit
✗  Not compatible
⚠  Compatible with conditions
Printers: H2D</t>
        </r>
      </text>
    </comment>
    <comment ref="Q2" authorId="0" shapeId="0" xr:uid="{00000000-0006-0000-0100-000007000000}">
      <text>
        <r>
          <rPr>
            <sz val="10"/>
            <rFont val="Arial"/>
            <family val="2"/>
          </rPr>
          <t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<sst xmlns="http://schemas.openxmlformats.org/spreadsheetml/2006/main" count="1904" uniqueCount="301">
  <si>
    <t>📦  Elegoo  —  Filament Reference  |  v3</t>
  </si>
  <si>
    <t xml:space="preserve">  CATALOG SUMMARY</t>
  </si>
  <si>
    <t>Total Catalog Entries (active)</t>
  </si>
  <si>
    <t>Tier S — Premium</t>
  </si>
  <si>
    <t>Tier A — Excellent</t>
  </si>
  <si>
    <t>Tier B — Good</t>
  </si>
  <si>
    <t>Tier C — Specialty</t>
  </si>
  <si>
    <t>Require AMS Adapter Ring</t>
  </si>
  <si>
    <t xml:space="preserve">  TIER LEGEND</t>
  </si>
  <si>
    <t xml:space="preserve">  S</t>
  </si>
  <si>
    <t>Premium — first-party or best-in-class; optimized profiles, top AMS reliability</t>
  </si>
  <si>
    <t xml:space="preserve">  A</t>
  </si>
  <si>
    <t>Excellent — high quality, tested profiles, reliable AMS performance</t>
  </si>
  <si>
    <t xml:space="preserve">  B</t>
  </si>
  <si>
    <t>Good — solid performer with minor caveats (e.g. needs adapter ring, temp adjustment)</t>
  </si>
  <si>
    <t xml:space="preserve">  C</t>
  </si>
  <si>
    <t>Specialty — limited AMS use, requires special setup, or niche material</t>
  </si>
  <si>
    <t xml:space="preserve">  INVENTORY</t>
  </si>
  <si>
    <t>On-hand spool inventory is tracked separately in Filament_Inventory.xlsx, not in this workbook.</t>
  </si>
  <si>
    <t>File Generated</t>
  </si>
  <si>
    <t xml:space="preserve">  AMS ADAPTER RING STATUS</t>
  </si>
  <si>
    <t xml:space="preserve">  BY MATERIAL TYPE</t>
  </si>
  <si>
    <t>Material Type</t>
  </si>
  <si>
    <t>Catalog Entries</t>
  </si>
  <si>
    <t>ASA</t>
  </si>
  <si>
    <t>PETG (Rapid)</t>
  </si>
  <si>
    <t>PLA</t>
  </si>
  <si>
    <t>PLA Basic</t>
  </si>
  <si>
    <t>PLA Plus</t>
  </si>
  <si>
    <t>PLA Pro</t>
  </si>
  <si>
    <t>TPU 95A</t>
  </si>
  <si>
    <t>Elegoo  —  Filament Catalog</t>
  </si>
  <si>
    <t>SKU / Part No.</t>
  </si>
  <si>
    <t>Product Name</t>
  </si>
  <si>
    <t>Color Name</t>
  </si>
  <si>
    <t>Color Swatch</t>
  </si>
  <si>
    <t>Hex Code</t>
  </si>
  <si>
    <t>Diameter</t>
  </si>
  <si>
    <t>Diameter Tolerance</t>
  </si>
  <si>
    <t>Spool Type</t>
  </si>
  <si>
    <t>AMS Adapter Required</t>
  </si>
  <si>
    <t>Print Temp Range</t>
  </si>
  <si>
    <t>Bed Temp Range</t>
  </si>
  <si>
    <t>Drying Temp / Time</t>
  </si>
  <si>
    <t>AMS X/P</t>
  </si>
  <si>
    <t>AMS Lite</t>
  </si>
  <si>
    <t>AMS 2 Pro</t>
  </si>
  <si>
    <t>AMS HT</t>
  </si>
  <si>
    <t>Tier</t>
  </si>
  <si>
    <t>Tier Rationale</t>
  </si>
  <si>
    <t>Notes</t>
  </si>
  <si>
    <t>EL-ASA-GN</t>
  </si>
  <si>
    <t>Elegoo ASA</t>
  </si>
  <si>
    <t>ASA Green</t>
  </si>
  <si>
    <t>#00CC33</t>
  </si>
  <si>
    <t>1.75mm</t>
  </si>
  <si>
    <t>±0.03mm</t>
  </si>
  <si>
    <t>Cardboard</t>
  </si>
  <si>
    <t>Yes</t>
  </si>
  <si>
    <t>240–260°C</t>
  </si>
  <si>
    <t>75–95°C</t>
  </si>
  <si>
    <t>70°C / 8h</t>
  </si>
  <si>
    <t>⚠</t>
  </si>
  <si>
    <t>✗</t>
  </si>
  <si>
    <t>A</t>
  </si>
  <si>
    <t>Color and official 6-color line count confirmed (us.elegoo.com official product page — this catalog originally assumed a 12-color line; corrected to the real 6-color line this pass: Deep Black, White, Blue, ASA Green, Grey, Red); hex via 3dfilamentprofiles.com</t>
  </si>
  <si>
    <t>Cardboard spool — AMS Adapter Ring required for all AMS variants; enclosure recommended (ASA); AMS Lite ✗ (open-frame, no ASA support) | Hex: manufacturer-listed value (3dfilamentprofiles.com)</t>
  </si>
  <si>
    <t>EL-ASA-BL</t>
  </si>
  <si>
    <t>Blue</t>
  </si>
  <si>
    <t>#0C2388</t>
  </si>
  <si>
    <t>EL-ASA-BK</t>
  </si>
  <si>
    <t>Deep Black</t>
  </si>
  <si>
    <t>#101A25</t>
  </si>
  <si>
    <t>Manufacturer lists this as "Deep Black"; colorimeter-measured RGB (#101A25, a dark navy-black) differs meaningfully from the nominal listed #000000 | Cardboard spool — AMS Adapter Ring required for all AMS variants; enclosure recommended (ASA); AMS Lite ✗ (open-frame, no ASA support) | Hex: colorimeter-MEASURED value used (#101A25), which differs from the nominal/listed #000000 — measured value preferred as higher confidence (3dfilamentprofiles.com)</t>
  </si>
  <si>
    <t>EL-ASA-GY</t>
  </si>
  <si>
    <t>Grey</t>
  </si>
  <si>
    <t>#999999</t>
  </si>
  <si>
    <t>C</t>
  </si>
  <si>
    <t>PLACEHOLDER — color and official 6-color line count confirmed (us.elegoo.com) but hex not found on 3dfilamentprofiles.com or any other source checked this pass</t>
  </si>
  <si>
    <t>Cardboard spool — AMS Adapter Ring required for all AMS variants; enclosure recommended (ASA); AMS Lite ✗ (open-frame, no ASA support) | Hex: unconfirmed placeholder</t>
  </si>
  <si>
    <t>EL-ASA-RD</t>
  </si>
  <si>
    <t>Red</t>
  </si>
  <si>
    <t>#D61212</t>
  </si>
  <si>
    <t>EL-ASA-WH</t>
  </si>
  <si>
    <t>White</t>
  </si>
  <si>
    <t>#FFFFFF</t>
  </si>
  <si>
    <t>EL-RPETG-BEI</t>
  </si>
  <si>
    <t>Elegoo Rapid PETG</t>
  </si>
  <si>
    <t>Beige</t>
  </si>
  <si>
    <t>±0.02mm</t>
  </si>
  <si>
    <t>240–270°C</t>
  </si>
  <si>
    <t>65–75°C</t>
  </si>
  <si>
    <t>65°C / 8h</t>
  </si>
  <si>
    <t>PLACEHOLDER — color and official 12-color line count confirmed (us.elegoo.com) but hex not found on 3dfilamentprofiles.com or any other source checked this pass</t>
  </si>
  <si>
    <t>Cardboard spool — AMS Adapter Ring required for all AMS variants | Hex: unconfirmed placeholder</t>
  </si>
  <si>
    <t>EL-RPETG-BK</t>
  </si>
  <si>
    <t>Black</t>
  </si>
  <si>
    <t>#000000</t>
  </si>
  <si>
    <t>Color and official 12-color line count confirmed (us.elegoo.com official product page); hex and temps via 3dfilamentprofiles.com per-color detail pages</t>
  </si>
  <si>
    <t>Cardboard spool — AMS Adapter Ring required for all AMS variants | Hex: manufacturer-listed value (3dfilamentprofiles.com)</t>
  </si>
  <si>
    <t>EL-RPETG-BL</t>
  </si>
  <si>
    <t>#0000FF</t>
  </si>
  <si>
    <t>EL-RPETG-BR</t>
  </si>
  <si>
    <t>Brown</t>
  </si>
  <si>
    <t>EL-RPETG-GN</t>
  </si>
  <si>
    <t>Green</t>
  </si>
  <si>
    <t>EL-RPETG-GY</t>
  </si>
  <si>
    <t>EL-RPETG-OR</t>
  </si>
  <si>
    <t>Orange</t>
  </si>
  <si>
    <t>#FFA500</t>
  </si>
  <si>
    <t>EL-RPETG-RD</t>
  </si>
  <si>
    <t>#EA140E</t>
  </si>
  <si>
    <t>EL-RPETG-SPG</t>
  </si>
  <si>
    <t>Space Grey</t>
  </si>
  <si>
    <t>#616161</t>
  </si>
  <si>
    <t>EL-RPETG-TR</t>
  </si>
  <si>
    <t>Transparent</t>
  </si>
  <si>
    <t>#F7F7F8</t>
  </si>
  <si>
    <t>EL-RPETG-WH</t>
  </si>
  <si>
    <t>EL-RPETG-YL</t>
  </si>
  <si>
    <t>Yellow</t>
  </si>
  <si>
    <t>AMBIGUOUS — two different 3dfilamentprofiles.com detail pages give conflicting confirmed hex for this exact color (#FFEF47 vs #FFFF00); not resolved without a tiebreaker (e.g. checking a physical spool), left as placeholder rather than guessing between them | Cardboard spool — AMS Adapter Ring required for all AMS variants | Hex: unconfirmed placeholder</t>
  </si>
  <si>
    <t>EL-PLA-BEI</t>
  </si>
  <si>
    <t>Elegoo PLA</t>
  </si>
  <si>
    <t>#FEE7BF</t>
  </si>
  <si>
    <t>190–220°C</t>
  </si>
  <si>
    <t>45–60°C</t>
  </si>
  <si>
    <t>45°C / 4h</t>
  </si>
  <si>
    <t>B</t>
  </si>
  <si>
    <t>Color confirmed (us.elegoo.com official product page, 18-color line); hex via MakerWorld community swatch set "The Complete Elegoo Colour Swatch ID Set" — community-sourced, not manufacturer-published, treat as approximate</t>
  </si>
  <si>
    <t>Cardboard spool — AMS Adapter Ring required for all AMS variants | Hex: community-sourced (MakerWorld), not manufacturer-confirmed</t>
  </si>
  <si>
    <t>EL-PLA-BK</t>
  </si>
  <si>
    <t>EL-PLA-BR</t>
  </si>
  <si>
    <t>#9E6A4B</t>
  </si>
  <si>
    <t>EL-PLA-CUF</t>
  </si>
  <si>
    <t>Copper Filled</t>
  </si>
  <si>
    <t>PLACEHOLDER — color confirmed real (us.elegoo.com official product page, 18-color line) but not in the community swatch set checked this pass</t>
  </si>
  <si>
    <t>MakerWorld swatch set has a "Bronze Filled" (#895837) entry but not "Copper Filled" specifically — different name, not assumed identical per no-cross-inference rule | Cardboard spool — AMS Adapter Ring required for all AMS variants | Hex: unconfirmed placeholder</t>
  </si>
  <si>
    <t>EL-PLA-DBL</t>
  </si>
  <si>
    <t>Dark Blue</t>
  </si>
  <si>
    <t>#2240AF</t>
  </si>
  <si>
    <t>EL-PLA-GY</t>
  </si>
  <si>
    <t>#8F949B</t>
  </si>
  <si>
    <t>EL-PLA-NGN</t>
  </si>
  <si>
    <t>Neon Green</t>
  </si>
  <si>
    <t>#08E327</t>
  </si>
  <si>
    <t>EL-PLA-OR</t>
  </si>
  <si>
    <t>#FD7C18</t>
  </si>
  <si>
    <t>EL-PLA-PK</t>
  </si>
  <si>
    <t>Pink</t>
  </si>
  <si>
    <t>#F9B0BD</t>
  </si>
  <si>
    <t>EL-PLA-PU</t>
  </si>
  <si>
    <t>Purple</t>
  </si>
  <si>
    <t>#603BA0</t>
  </si>
  <si>
    <t>EL-PLA-RD</t>
  </si>
  <si>
    <t>EL-PLA-SGN</t>
  </si>
  <si>
    <t>Sea Green</t>
  </si>
  <si>
    <t>#1ABC83</t>
  </si>
  <si>
    <t>EL-PLA-SKB</t>
  </si>
  <si>
    <t>Sky Blue</t>
  </si>
  <si>
    <t>#27B2D0</t>
  </si>
  <si>
    <t>EL-PLA-SPG</t>
  </si>
  <si>
    <t>#5D5D5D</t>
  </si>
  <si>
    <t>EL-PLA-TR</t>
  </si>
  <si>
    <t>Translucent</t>
  </si>
  <si>
    <t>#E9E9E7</t>
  </si>
  <si>
    <t>Mapped from MakerWorld swatch's "Clear" — likely the same product under a different name, not confirmed identical | Cardboard spool — AMS Adapter Ring required for all AMS variants | Hex: community-sourced (MakerWorld), not manufacturer-confirmed</t>
  </si>
  <si>
    <t>EL-PLA-WH</t>
  </si>
  <si>
    <t>EL-PLA-WDC</t>
  </si>
  <si>
    <t>Wood Color</t>
  </si>
  <si>
    <t>#B19870</t>
  </si>
  <si>
    <t>EL-PLA-YL</t>
  </si>
  <si>
    <t>#F6D701</t>
  </si>
  <si>
    <t>EL-PLAB-APG</t>
  </si>
  <si>
    <t>Elegoo PLA Basic</t>
  </si>
  <si>
    <t>Apple Green</t>
  </si>
  <si>
    <t>190–230°C</t>
  </si>
  <si>
    <t>35–65°C</t>
  </si>
  <si>
    <t>55°C / 6h</t>
  </si>
  <si>
    <t>PLACEHOLDER — color confirmed real (us.elegoo.com official product page, 19-color US-market line — note some regional Elegoo storefronts show up to 24-25 colors for this same line, not reconciled this pass) but hex not found on 3dfilamentprofiles.com or any other source checked this pass</t>
  </si>
  <si>
    <t>EL-PLAB-BEI</t>
  </si>
  <si>
    <t>#F4E0B8</t>
  </si>
  <si>
    <t>RESOLVED via 3dfilamentprofiles.com's ELEGOO PLA Basic listing, direct name match</t>
  </si>
  <si>
    <t>EL-PLAB-BK</t>
  </si>
  <si>
    <t>EL-PLAB-COBL</t>
  </si>
  <si>
    <t>Cobalt Blue</t>
  </si>
  <si>
    <t>EL-PLAB-COB</t>
  </si>
  <si>
    <t>Cocoa Brown</t>
  </si>
  <si>
    <t>RESOLVED via 3dfilamentprofiles.com's ELEGOO PLA Basic listing, mapped from their listing name "Brown" — naming variance from Elegoo's own official color name, treated as the same color</t>
  </si>
  <si>
    <t>EL-PLAB-CY</t>
  </si>
  <si>
    <t>Cyan</t>
  </si>
  <si>
    <t>EL-PLAB-GN</t>
  </si>
  <si>
    <t>EL-PLAB-GY</t>
  </si>
  <si>
    <t>EL-PLAB-HPK</t>
  </si>
  <si>
    <t>Hot Pink</t>
  </si>
  <si>
    <t>#FA7291</t>
  </si>
  <si>
    <t>180–210°C</t>
  </si>
  <si>
    <t>EL-PLAB-MSB</t>
  </si>
  <si>
    <t>Misty Blue</t>
  </si>
  <si>
    <t>EL-PLAB-OR</t>
  </si>
  <si>
    <t>EL-PLAB-PK</t>
  </si>
  <si>
    <t>EL-PLAB-PU</t>
  </si>
  <si>
    <t>EL-PLAB-RD</t>
  </si>
  <si>
    <t>EL-PLAB-SFY</t>
  </si>
  <si>
    <t>Sunflower Yellow</t>
  </si>
  <si>
    <t>EL-PLAB-TR</t>
  </si>
  <si>
    <t>#BEBBC0</t>
  </si>
  <si>
    <t>RESOLVED via 3dfilamentprofiles.com's ELEGOO PLA Basic listing, mapped from their listing name "Clear" — naming variance from Elegoo's own official color name, treated as the same color</t>
  </si>
  <si>
    <t>EL-PLAB-TQG</t>
  </si>
  <si>
    <t>Turquoise Green</t>
  </si>
  <si>
    <t>EL-PLAB-WH</t>
  </si>
  <si>
    <t>EL-PLAB-YL</t>
  </si>
  <si>
    <t>EL-PLAP-BEI</t>
  </si>
  <si>
    <t>Elegoo PLA Plus</t>
  </si>
  <si>
    <t>Color confirmed (us.elegoo.com official product page, 17-color line, exact same names as this catalog's PLA line minus Copper Filled); hex via MakerWorld community swatch set, which explicitly states coverage for "PLA, PLA+, Rapid PETG, TPU 95A" per color — applied here on that basis, not a cross-line guess</t>
  </si>
  <si>
    <t>EL-PLAP-BK</t>
  </si>
  <si>
    <t>EL-PLAP-BR</t>
  </si>
  <si>
    <t>EL-PLAP-DBL</t>
  </si>
  <si>
    <t>EL-PLAP-GY</t>
  </si>
  <si>
    <t>EL-PLAP-NGN</t>
  </si>
  <si>
    <t>EL-PLAP-OR</t>
  </si>
  <si>
    <t>EL-PLAP-PK</t>
  </si>
  <si>
    <t>EL-PLAP-PU</t>
  </si>
  <si>
    <t>EL-PLAP-RD</t>
  </si>
  <si>
    <t>EL-PLAP-SGN</t>
  </si>
  <si>
    <t>EL-PLAP-SKB</t>
  </si>
  <si>
    <t>EL-PLAP-SPG</t>
  </si>
  <si>
    <t>EL-PLAP-TR</t>
  </si>
  <si>
    <t>EL-PLAP-WH</t>
  </si>
  <si>
    <t>EL-PLAP-WDC</t>
  </si>
  <si>
    <t>EL-PLAP-YL</t>
  </si>
  <si>
    <t>EL-PLAPRO-BEI</t>
  </si>
  <si>
    <t>Elegoo PLA Pro</t>
  </si>
  <si>
    <t>PLACEHOLDER — color and official 14-color line count confirmed (us.elegoo.com) but hex not found this pass; this line proved genuinely hard to find per-color data for, unlike most other Elegoo lines this session — multiple searches mostly surfaced other 3dfilamentprofiles.com sub-tiers (Basic/HF/High Speed) for this same material family, not the "Pro" sub-tier that matches this product</t>
  </si>
  <si>
    <t>EL-PLAPRO-BK</t>
  </si>
  <si>
    <t>EL-PLAPRO-BL</t>
  </si>
  <si>
    <t>EL-PLAPRO-BGR</t>
  </si>
  <si>
    <t>Burgundy Red</t>
  </si>
  <si>
    <t>#990000</t>
  </si>
  <si>
    <t>Color and official 14-color line count confirmed (us.elegoo.com official product page); print/bed temps confirmed via SpoolScout TDS (190-230°C / 35-65°C); hex via 3dfilamentprofiles.com's "PLA+/Pro Pro" sub-tier listing, which is their categorization specifically for this Elegoo product line (distinct from their "Basic", "HF", and "High Speed" sub-tiers, which are different products not used here)</t>
  </si>
  <si>
    <t>EL-PLAPRO-GN</t>
  </si>
  <si>
    <t>EL-PLAPRO-GY</t>
  </si>
  <si>
    <t>EL-PLAPRO-HPK</t>
  </si>
  <si>
    <t>EL-PLAPRO-LBL</t>
  </si>
  <si>
    <t>Light Blue</t>
  </si>
  <si>
    <t>EL-PLAPRO-NGN</t>
  </si>
  <si>
    <t>EL-PLAPRO-PU</t>
  </si>
  <si>
    <t>EL-PLAPRO-SV</t>
  </si>
  <si>
    <t>Silver</t>
  </si>
  <si>
    <t>EL-PLAPRO-TRD</t>
  </si>
  <si>
    <t>True Red</t>
  </si>
  <si>
    <t>EL-PLAPRO-WH</t>
  </si>
  <si>
    <t>EL-PLAPRO-YL</t>
  </si>
  <si>
    <t>EL-TPU-BK</t>
  </si>
  <si>
    <t>Elegoo TPU 95A</t>
  </si>
  <si>
    <t>210–240°C</t>
  </si>
  <si>
    <t>35–60°C</t>
  </si>
  <si>
    <t>50°C / 8h</t>
  </si>
  <si>
    <t>Color and temps manufacturer-confirmed (us.elegoo.com product page, 7-color line; temps cross-checked via 3djake.com per-color listings); hex via MakerWorld community swatch set, exact name match</t>
  </si>
  <si>
    <t>Cardboard spool — AMS Adapter Ring required for all AMS variants; TPU is external-spool-only on Bambu AMS regardless of adapter ring | Hex: community-sourced (MakerWorld), not manufacturer-confirmed</t>
  </si>
  <si>
    <t>EL-TPU-BL</t>
  </si>
  <si>
    <t>PLACEHOLDER — color and temps manufacturer-confirmed (us.elegoo.com product page, 7-color line) but this exact color name is not in the MakerWorld swatch set (which covers "Dark Blue"/"Neon Green" for other lines, not plain "Blue"/"Green" as TPU 95A names them) — not assumed identical, per no-cross-inference rule</t>
  </si>
  <si>
    <t>Cardboard spool — AMS Adapter Ring required for all AMS variants; TPU is external-spool-only on Bambu AMS regardless of adapter ring | Hex: unconfirmed placeholder</t>
  </si>
  <si>
    <t>EL-TPU-GN</t>
  </si>
  <si>
    <t>EL-TPU-GY</t>
  </si>
  <si>
    <t>EL-TPU-RD</t>
  </si>
  <si>
    <t>EL-TPU-TR</t>
  </si>
  <si>
    <t>EL-TPU-WH</t>
  </si>
  <si>
    <t>Elegoo  —  Material Guide</t>
  </si>
  <si>
    <t>Material</t>
  </si>
  <si>
    <t>Enclosure Required</t>
  </si>
  <si>
    <t>AMS Compatible</t>
  </si>
  <si>
    <t>Drying Required</t>
  </si>
  <si>
    <t>No</t>
  </si>
  <si>
    <t>Recommended</t>
  </si>
  <si>
    <t>Cardboard spool, ~199-200mm OD — AMS Adapter Ring required for all AMS variants. Hex codes are community-sourced (MakerWorld), not manufacturer-published.</t>
  </si>
  <si>
    <t>Cardboard spool — AMS Adapter Ring required. Distinct product line from plain "PLA" with different colors and (where checked) different hex for same-named colors — not cross-referenced. Color count varies by region: 19 (US) up to 24-25 (AU/other storefronts) — not reconciled this pass.</t>
  </si>
  <si>
    <t>Cardboard spool — AMS Adapter Ring required. Same 17 color names as the plain PLA line; hex from the same community swatch set, which explicitly covers PLA+.</t>
  </si>
  <si>
    <t>Cardboard spool. External-spool-only on Bambu AMS regardless of adapter ring, same as every other brand's TPU in this catalog. 7-color line, only 4/7 hex confirmed this pass (Black/White/Grey/Red) — Blue/Green/Translucent use different color names than the source swatch's PLA-line entries, not assumed identical.</t>
  </si>
  <si>
    <t>Cardboard spool — AMS Adapter Ring required; AMS Lite incompatible (open-frame). Real 6-color line (Deep Black, White, Blue, ASA Green, Grey, Red) — this catalog originally assumed 12 colors in error, corrected 2026-09-23. Deep Black uses a colorimeter-measured hex, not the flat nominal value most retailers list.</t>
  </si>
  <si>
    <t>Cardboard spool — AMS Adapter Ring required. 12-color line, 8/12 hex confirmed. Yellow deliberately left unresolved — two different manufacturer-sourced listings gave conflicting hex for this exact color, not resolved without a physical-spool tiebreaker.</t>
  </si>
  <si>
    <t>Cardboard spool — AMS Adapter Ring required. 14-color line, only 1/14 hex confirmed this pass (Burgundy Red) — this line proved unusually hard to source per-color data for; worth a dedicated follow-up pass.</t>
  </si>
  <si>
    <t>⚙  Configuration</t>
  </si>
  <si>
    <t>Setting</t>
  </si>
  <si>
    <t>Value</t>
  </si>
  <si>
    <t>Brand</t>
  </si>
  <si>
    <t>Elegoo</t>
  </si>
  <si>
    <t>File Version</t>
  </si>
  <si>
    <t>v3</t>
  </si>
  <si>
    <t>Generated</t>
  </si>
  <si>
    <t>2026-09-27</t>
  </si>
  <si>
    <t>Date this file was last generated by generate_all.py</t>
  </si>
  <si>
    <t>SKU Note</t>
  </si>
  <si>
    <t>Reference codes — verify at manufacturer site</t>
  </si>
  <si>
    <t>SKU column: confirmed mfr codes noted above; others are internal reference codes</t>
  </si>
  <si>
    <t>Hex Note</t>
  </si>
  <si>
    <t>Per-row confirmation status is tracked in each Catalog row's Notes column (manufacturer TDS-confirmed, official product-page confirmed, or unconfirmed placeholder). #999999 in the Hex Code column always means unconfirmed placeholder, not a real color.</t>
  </si>
  <si>
    <t>Approximate hex = visually representative; not manufacturer-confirmed</t>
  </si>
  <si>
    <t>Inventory Note</t>
  </si>
  <si>
    <t>This workbook covers catalog reference data only. On-hand spool inventory is tracked separately in Filament_Inventory.xlsx.</t>
  </si>
  <si>
    <t>Split from per-brand Inventory Tracker sheets, 2026-07-23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</si>
</sst>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7F6000"/>
      <name val="Arial"/>
      <charset val="1"/>
    </font>
    <font>
      <sz val="10"/>
      <color rgb="FF000000"/>
      <name val="Arial"/>
      <charset val="1"/>
    </font>
    <font>
      <b/>
      <sz val="10"/>
      <color rgb="FF276221"/>
      <name val="Arial"/>
      <charset val="1"/>
    </font>
    <font>
      <b/>
      <sz val="10"/>
      <color rgb="FF1F3864"/>
      <name val="Arial"/>
      <charset val="1"/>
    </font>
    <font>
      <b/>
      <sz val="10"/>
      <color rgb="FF9C0006"/>
      <name val="Arial"/>
      <charset val="1"/>
    </font>
    <font>
      <i/>
      <sz val="10"/>
      <color rgb="FF000000"/>
      <name val="Arial"/>
      <charset val="1"/>
    </font>
    <font>
      <b/>
      <sz val="13"/>
      <color rgb="FFFFFFFF"/>
      <name val="Arial"/>
      <charset val="1"/>
    </font>
    <font>
      <sz val="9"/>
      <color rgb="FF444444"/>
      <name val="Arial"/>
      <charset val="1"/>
    </font>
    <font>
      <sz val="10"/>
      <name val="Arial"/>
      <family val="2"/>
    </font>
    <font>
      <b/>
      <sz val="12"/>
      <color rgb="FFFFFFFF"/>
      <name val="Arial"/>
      <charset val="1"/>
    </font>
    <font>
      <sz val="10"/>
      <color rgb="FF7F6000"/>
      <name val="Arial"/>
      <charset val="1"/>
    </font>
  </fonts>
  <fills count="66">
    <fill>
      <patternFill patternType="none"/>
    </fill>
    <fill>
      <patternFill patternType="gray125"/>
    </fill>
    <fill>
      <patternFill patternType="darkGray">
        <fgColor rgb="FF183269"/>
        <bgColor rgb="FF2F469F"/>
      </patternFill>
    </fill>
    <fill>
      <patternFill patternType="solid">
        <fgColor rgb="FF2F469F"/>
        <bgColor rgb="FF183269"/>
      </patternFill>
    </fill>
    <fill>
      <patternFill patternType="solid">
        <fgColor rgb="FFF2F2F3"/>
        <bgColor rgb="FFF5F2ED"/>
      </patternFill>
    </fill>
    <fill>
      <patternFill patternType="solid">
        <fgColor rgb="FFFFFFFF"/>
        <bgColor rgb="FFFEFEFE"/>
      </patternFill>
    </fill>
    <fill>
      <patternFill patternType="solid">
        <fgColor rgb="FFFFD700"/>
        <bgColor rgb="FFF6D701"/>
      </patternFill>
    </fill>
    <fill>
      <patternFill patternType="solid">
        <fgColor rgb="FF92D050"/>
        <bgColor rgb="FF969189"/>
      </patternFill>
    </fill>
    <fill>
      <patternFill patternType="solid">
        <fgColor rgb="FFBDD7EE"/>
        <bgColor rgb="FFB8CCE4"/>
      </patternFill>
    </fill>
    <fill>
      <patternFill patternType="solid">
        <fgColor rgb="FFF4B8B8"/>
        <bgColor rgb="FFF9B0BD"/>
      </patternFill>
    </fill>
    <fill>
      <patternFill patternType="solid">
        <fgColor rgb="FFFFEB9C"/>
        <bgColor rgb="FFFEE7BF"/>
      </patternFill>
    </fill>
    <fill>
      <patternFill patternType="darkGray">
        <fgColor rgb="FF02DD2B"/>
        <bgColor rgb="FF1DB7B6"/>
      </patternFill>
    </fill>
    <fill>
      <patternFill patternType="solid">
        <fgColor rgb="FFE1FAE6"/>
        <bgColor rgb="FFE5F6F7"/>
      </patternFill>
    </fill>
    <fill>
      <patternFill patternType="solid">
        <fgColor rgb="FFEEF3FB"/>
        <bgColor rgb="FFF2F2F3"/>
      </patternFill>
    </fill>
    <fill>
      <patternFill patternType="solid">
        <fgColor rgb="FF183269"/>
        <bgColor rgb="FF2F469F"/>
      </patternFill>
    </fill>
    <fill>
      <patternFill patternType="mediumGray">
        <fgColor rgb="FFE1E3FC"/>
        <bgColor rgb="FFE2E2E3"/>
      </patternFill>
    </fill>
    <fill>
      <patternFill patternType="mediumGray">
        <fgColor rgb="FF000000"/>
        <bgColor rgb="FF183269"/>
      </patternFill>
    </fill>
    <fill>
      <patternFill patternType="solid">
        <fgColor rgb="FFE2E2E3"/>
        <bgColor rgb="FFE9E8F5"/>
      </patternFill>
    </fill>
    <fill>
      <patternFill patternType="solid">
        <fgColor rgb="FF969189"/>
        <bgColor rgb="FF92D050"/>
      </patternFill>
    </fill>
    <fill>
      <patternFill patternType="darkGray">
        <fgColor rgb="FFE5130F"/>
        <bgColor rgb="FF9B0003"/>
      </patternFill>
    </fill>
    <fill>
      <patternFill patternType="solid">
        <fgColor rgb="FFFAE2E2"/>
        <bgColor rgb="FFFCE2E2"/>
      </patternFill>
    </fill>
    <fill>
      <patternFill patternType="solid">
        <fgColor rgb="FF000000"/>
        <bgColor rgb="FF183269"/>
      </patternFill>
    </fill>
    <fill>
      <patternFill patternType="solid">
        <fgColor rgb="FFE2E2E3"/>
        <bgColor rgb="FFE1E3FC"/>
      </patternFill>
    </fill>
    <fill>
      <patternFill patternType="solid">
        <fgColor rgb="FF0000FF"/>
        <bgColor rgb="FF183269"/>
      </patternFill>
    </fill>
    <fill>
      <patternFill patternType="solid">
        <fgColor rgb="FFE1E3FC"/>
        <bgColor rgb="FFE9E8F5"/>
      </patternFill>
    </fill>
    <fill>
      <patternFill patternType="solid">
        <fgColor rgb="FFFFA500"/>
        <bgColor rgb="FFFD7C18"/>
      </patternFill>
    </fill>
    <fill>
      <patternFill patternType="solid">
        <fgColor rgb="FFFFF4E0"/>
        <bgColor rgb="FFFEEFE3"/>
      </patternFill>
    </fill>
    <fill>
      <patternFill patternType="solid">
        <fgColor rgb="FFE5130F"/>
        <bgColor rgb="FF9B0003"/>
      </patternFill>
    </fill>
    <fill>
      <patternFill patternType="solid">
        <fgColor rgb="FFFCE2E2"/>
        <bgColor rgb="FFFAE2E2"/>
      </patternFill>
    </fill>
    <fill>
      <patternFill patternType="solid">
        <fgColor rgb="FF5F5F5F"/>
        <bgColor rgb="FF3A5028"/>
      </patternFill>
    </fill>
    <fill>
      <patternFill patternType="solid">
        <fgColor rgb="FFECECEB"/>
        <bgColor rgb="FFF3EDE9"/>
      </patternFill>
    </fill>
    <fill>
      <patternFill patternType="solid">
        <fgColor rgb="FFF7F7F8"/>
        <bgColor rgb="FFF7F6F7"/>
      </patternFill>
    </fill>
    <fill>
      <patternFill patternType="solid">
        <fgColor rgb="FFFEFEFE"/>
        <bgColor rgb="FFFFFFFF"/>
      </patternFill>
    </fill>
    <fill>
      <patternFill patternType="solid">
        <fgColor rgb="FFFEE7BF"/>
        <bgColor rgb="FFF4E0B8"/>
      </patternFill>
    </fill>
    <fill>
      <patternFill patternType="solid">
        <fgColor rgb="FFFEFCF7"/>
        <bgColor rgb="FFFDFBF6"/>
      </patternFill>
    </fill>
    <fill>
      <patternFill patternType="darkGray">
        <fgColor rgb="FF9C5B04"/>
        <bgColor rgb="FF5F5F5F"/>
      </patternFill>
    </fill>
    <fill>
      <patternFill patternType="solid">
        <fgColor rgb="FFF3EDE9"/>
        <bgColor rgb="FFECECEB"/>
      </patternFill>
    </fill>
    <fill>
      <patternFill patternType="solid">
        <fgColor rgb="FF2F469F"/>
        <bgColor rgb="FF183269"/>
      </patternFill>
    </fill>
    <fill>
      <patternFill patternType="darkGray">
        <fgColor rgb="FFE9E8F5"/>
        <bgColor rgb="FFE1E3FC"/>
      </patternFill>
    </fill>
    <fill>
      <patternFill patternType="solid">
        <fgColor rgb="FF02DD2B"/>
        <bgColor rgb="FF1DB7B6"/>
      </patternFill>
    </fill>
    <fill>
      <patternFill patternType="solid">
        <fgColor rgb="FFFD7C18"/>
        <bgColor rgb="FFFFA500"/>
      </patternFill>
    </fill>
    <fill>
      <patternFill patternType="solid">
        <fgColor rgb="FFFEEFE3"/>
        <bgColor rgb="FFFFF4E0"/>
      </patternFill>
    </fill>
    <fill>
      <patternFill patternType="solid">
        <fgColor rgb="FFF9B0BD"/>
        <bgColor rgb="FFF4B8B8"/>
      </patternFill>
    </fill>
    <fill>
      <patternFill patternType="solid">
        <fgColor rgb="FFFEF5F7"/>
        <bgColor rgb="FFF7F6F7"/>
      </patternFill>
    </fill>
    <fill>
      <patternFill patternType="darkGray">
        <fgColor rgb="FF2F469F"/>
        <bgColor rgb="FF5F5F5F"/>
      </patternFill>
    </fill>
    <fill>
      <patternFill patternType="solid">
        <fgColor rgb="FFE9E8F5"/>
        <bgColor rgb="FFECECEB"/>
      </patternFill>
    </fill>
    <fill>
      <patternFill patternType="darkGray">
        <fgColor rgb="FF1DB7B6"/>
        <bgColor rgb="FF02DD2B"/>
      </patternFill>
    </fill>
    <fill>
      <patternFill patternType="darkGray">
        <fgColor rgb="FFE5F6F7"/>
        <bgColor rgb="FFE1FAE6"/>
      </patternFill>
    </fill>
    <fill>
      <patternFill patternType="solid">
        <fgColor rgb="FF1DB7B6"/>
        <bgColor rgb="FF02DD2B"/>
      </patternFill>
    </fill>
    <fill>
      <patternFill patternType="solid">
        <fgColor rgb="FFE5F6F7"/>
        <bgColor rgb="FFEEF3FB"/>
      </patternFill>
    </fill>
    <fill>
      <patternFill patternType="darkGray">
        <fgColor rgb="FFECECEB"/>
        <bgColor rgb="FFE9E8F5"/>
      </patternFill>
    </fill>
    <fill>
      <patternFill patternType="darkGray">
        <fgColor rgb="FFECECEB"/>
        <bgColor rgb="FFE9E8F5"/>
      </patternFill>
    </fill>
    <fill>
      <patternFill patternType="solid">
        <fgColor rgb="FFFCFCFC"/>
        <bgColor rgb="FFFEFCF7"/>
      </patternFill>
    </fill>
    <fill>
      <patternFill patternType="darkGray">
        <fgColor rgb="FF969189"/>
        <bgColor rgb="FF92D050"/>
      </patternFill>
    </fill>
    <fill>
      <patternFill patternType="solid">
        <fgColor rgb="FFF5F2ED"/>
        <bgColor rgb="FFF2F2F3"/>
      </patternFill>
    </fill>
    <fill>
      <patternFill patternType="solid">
        <fgColor rgb="FFF6D701"/>
        <bgColor rgb="FFFFD700"/>
      </patternFill>
    </fill>
    <fill>
      <patternFill patternType="solid">
        <fgColor rgb="FFFDFAE0"/>
        <bgColor rgb="FFFFF4E0"/>
      </patternFill>
    </fill>
    <fill>
      <patternFill patternType="solid">
        <fgColor rgb="FFF4E0B8"/>
        <bgColor rgb="FFFEE7BF"/>
      </patternFill>
    </fill>
    <fill>
      <patternFill patternType="solid">
        <fgColor rgb="FFFDFBF6"/>
        <bgColor rgb="FFFEFCF7"/>
      </patternFill>
    </fill>
    <fill>
      <patternFill patternType="solid">
        <fgColor rgb="FFFA7291"/>
        <bgColor rgb="FFFD7C18"/>
      </patternFill>
    </fill>
    <fill>
      <patternFill patternType="solid">
        <fgColor rgb="FFFEEEF1"/>
        <bgColor rgb="FFFEEFE3"/>
      </patternFill>
    </fill>
    <fill>
      <patternFill patternType="solid">
        <fgColor rgb="FFB8CCE4"/>
        <bgColor rgb="FFBDD7EE"/>
      </patternFill>
    </fill>
    <fill>
      <patternFill patternType="solid">
        <fgColor rgb="FFF7F6F7"/>
        <bgColor rgb="FFF7F7F8"/>
      </patternFill>
    </fill>
    <fill>
      <patternFill patternType="solid">
        <fgColor rgb="FF9B0003"/>
        <bgColor rgb="FFE5130F"/>
      </patternFill>
    </fill>
    <fill>
      <patternFill patternType="solid">
        <fgColor rgb="FFF2E0E0"/>
        <bgColor rgb="FFFAE2E2"/>
      </patternFill>
    </fill>
    <fill>
      <patternFill patternType="solid">
        <fgColor rgb="FFFFF2CC"/>
        <bgColor rgb="FFFFF4E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0" fontId="11" fillId="28" borderId="1" xfId="0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center" vertical="center" wrapText="1"/>
    </xf>
    <xf numFmtId="0" fontId="11" fillId="30" borderId="1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11" fillId="32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center" vertical="center" wrapText="1"/>
    </xf>
    <xf numFmtId="0" fontId="11" fillId="34" borderId="1" xfId="0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horizontal="center" vertical="center" wrapText="1"/>
    </xf>
    <xf numFmtId="0" fontId="11" fillId="36" borderId="1" xfId="0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center" vertical="center" wrapText="1"/>
    </xf>
    <xf numFmtId="0" fontId="11" fillId="38" borderId="1" xfId="0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center" vertical="center" wrapText="1"/>
    </xf>
    <xf numFmtId="0" fontId="5" fillId="40" borderId="1" xfId="0" applyFont="1" applyFill="1" applyBorder="1" applyAlignment="1">
      <alignment horizontal="center" vertical="center" wrapText="1"/>
    </xf>
    <xf numFmtId="0" fontId="11" fillId="41" borderId="1" xfId="0" applyFont="1" applyFill="1" applyBorder="1" applyAlignment="1">
      <alignment horizontal="center" vertical="center" wrapText="1"/>
    </xf>
    <xf numFmtId="0" fontId="5" fillId="42" borderId="1" xfId="0" applyFont="1" applyFill="1" applyBorder="1" applyAlignment="1">
      <alignment horizontal="center" vertical="center" wrapText="1"/>
    </xf>
    <xf numFmtId="0" fontId="11" fillId="43" borderId="1" xfId="0" applyFont="1" applyFill="1" applyBorder="1" applyAlignment="1">
      <alignment horizontal="center" vertical="center" wrapText="1"/>
    </xf>
    <xf numFmtId="0" fontId="5" fillId="44" borderId="1" xfId="0" applyFont="1" applyFill="1" applyBorder="1" applyAlignment="1">
      <alignment horizontal="center" vertical="center" wrapText="1"/>
    </xf>
    <xf numFmtId="0" fontId="11" fillId="45" borderId="1" xfId="0" applyFont="1" applyFill="1" applyBorder="1" applyAlignment="1">
      <alignment horizontal="center" vertical="center" wrapText="1"/>
    </xf>
    <xf numFmtId="0" fontId="5" fillId="46" borderId="1" xfId="0" applyFont="1" applyFill="1" applyBorder="1" applyAlignment="1">
      <alignment horizontal="center" vertical="center" wrapText="1"/>
    </xf>
    <xf numFmtId="0" fontId="11" fillId="47" borderId="1" xfId="0" applyFont="1" applyFill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 wrapText="1"/>
    </xf>
    <xf numFmtId="0" fontId="11" fillId="49" borderId="1" xfId="0" applyFont="1" applyFill="1" applyBorder="1" applyAlignment="1">
      <alignment horizontal="center" vertical="center" wrapText="1"/>
    </xf>
    <xf numFmtId="0" fontId="11" fillId="50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11" fillId="52" borderId="1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11" fillId="54" borderId="1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11" fillId="56" borderId="1" xfId="0" applyFont="1" applyFill="1" applyBorder="1" applyAlignment="1">
      <alignment horizontal="center" vertical="center" wrapText="1"/>
    </xf>
    <xf numFmtId="0" fontId="5" fillId="57" borderId="1" xfId="0" applyFont="1" applyFill="1" applyBorder="1" applyAlignment="1">
      <alignment horizontal="center" vertical="center" wrapText="1"/>
    </xf>
    <xf numFmtId="0" fontId="11" fillId="58" borderId="1" xfId="0" applyFont="1" applyFill="1" applyBorder="1" applyAlignment="1">
      <alignment horizontal="center" vertical="center" wrapText="1"/>
    </xf>
    <xf numFmtId="0" fontId="5" fillId="59" borderId="1" xfId="0" applyFont="1" applyFill="1" applyBorder="1" applyAlignment="1">
      <alignment horizontal="center" vertical="center" wrapText="1"/>
    </xf>
    <xf numFmtId="0" fontId="11" fillId="60" borderId="1" xfId="0" applyFont="1" applyFill="1" applyBorder="1" applyAlignment="1">
      <alignment horizontal="center" vertical="center" wrapText="1"/>
    </xf>
    <xf numFmtId="0" fontId="5" fillId="61" borderId="1" xfId="0" applyFont="1" applyFill="1" applyBorder="1" applyAlignment="1">
      <alignment horizontal="center" vertical="center" wrapText="1"/>
    </xf>
    <xf numFmtId="0" fontId="11" fillId="62" borderId="1" xfId="0" applyFont="1" applyFill="1" applyBorder="1" applyAlignment="1">
      <alignment horizontal="center" vertical="center" wrapText="1"/>
    </xf>
    <xf numFmtId="0" fontId="5" fillId="63" borderId="1" xfId="0" applyFont="1" applyFill="1" applyBorder="1" applyAlignment="1">
      <alignment horizontal="center" vertical="center" wrapText="1"/>
    </xf>
    <xf numFmtId="0" fontId="11" fillId="6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6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4" fillId="6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7F4F00"/>
        <name val="Arial"/>
        <charset val="1"/>
      </font>
      <fill>
        <patternFill>
          <bgColor rgb="FFFFCC66"/>
        </patternFill>
      </fill>
    </dxf>
    <dxf>
      <font>
        <color rgb="FF9C0006"/>
        <name val="Arial"/>
        <charset val="1"/>
      </font>
      <fill>
        <patternFill>
          <bgColor rgb="FFF4B8B8"/>
        </patternFill>
      </fill>
    </dxf>
    <dxf>
      <font>
        <color rgb="FF1F3864"/>
        <name val="Arial"/>
        <charset val="1"/>
      </font>
      <fill>
        <patternFill>
          <bgColor rgb="FFBDD7EE"/>
        </patternFill>
      </fill>
    </dxf>
    <dxf>
      <font>
        <color rgb="FF276221"/>
        <name val="Arial"/>
        <charset val="1"/>
      </font>
      <fill>
        <patternFill>
          <bgColor rgb="FF92D050"/>
        </patternFill>
      </fill>
    </dxf>
    <dxf>
      <font>
        <color rgb="FF7F6000"/>
        <name val="Arial"/>
        <charset val="1"/>
      </font>
      <fill>
        <patternFill>
          <bgColor rgb="FFFFD700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276221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E5130F"/>
      <rgbColor rgb="FF02DD2B"/>
      <rgbColor rgb="FF0000FF"/>
      <rgbColor rgb="FFF6D701"/>
      <rgbColor rgb="FFFEEEF1"/>
      <rgbColor rgb="FFE9E8F5"/>
      <rgbColor rgb="FF9B0003"/>
      <rgbColor rgb="FF276221"/>
      <rgbColor rgb="FFFEFCF7"/>
      <rgbColor rgb="FF9C5B04"/>
      <rgbColor rgb="FFFFF4E0"/>
      <rgbColor rgb="FFF3EDE9"/>
      <rgbColor rgb="FFB8CCE4"/>
      <rgbColor rgb="FFE2E2E3"/>
      <rgbColor rgb="FFFFC7CE"/>
      <rgbColor rgb="FFFCE2E2"/>
      <rgbColor rgb="FFFDFAE0"/>
      <rgbColor rgb="FFE1FAE6"/>
      <rgbColor rgb="FFF7F7F8"/>
      <rgbColor rgb="FFFA7291"/>
      <rgbColor rgb="FFF5F2ED"/>
      <rgbColor rgb="FFBDD7EE"/>
      <rgbColor rgb="FFFEFEFE"/>
      <rgbColor rgb="FFFEEFE3"/>
      <rgbColor rgb="FFF4E0B8"/>
      <rgbColor rgb="FFECECEB"/>
      <rgbColor rgb="FFF7F6F7"/>
      <rgbColor rgb="FFFEF5F7"/>
      <rgbColor rgb="FFF2F2F3"/>
      <rgbColor rgb="FFFCFCFC"/>
      <rgbColor rgb="FFEEF3FB"/>
      <rgbColor rgb="FFE5F6F7"/>
      <rgbColor rgb="FFC6EFCE"/>
      <rgbColor rgb="FFFFEB9C"/>
      <rgbColor rgb="FFE1E3FC"/>
      <rgbColor rgb="FFF9B0BD"/>
      <rgbColor rgb="FFF4B8B8"/>
      <rgbColor rgb="FFFFCC66"/>
      <rgbColor rgb="FFFAE2E2"/>
      <rgbColor rgb="FF1DB7B6"/>
      <rgbColor rgb="FF92D050"/>
      <rgbColor rgb="FFFFD700"/>
      <rgbColor rgb="FFFFA500"/>
      <rgbColor rgb="FFFD7C18"/>
      <rgbColor rgb="FF5F5F5F"/>
      <rgbColor rgb="FF969189"/>
      <rgbColor rgb="FF183269"/>
      <rgbColor rgb="FFF2E0E0"/>
      <rgbColor rgb="FFFDFBF6"/>
      <rgbColor rgb="FFFFF2CC"/>
      <rgbColor rgb="FF804C00"/>
      <rgbColor rgb="FFFEE7BF"/>
      <rgbColor rgb="FF2F469F"/>
      <rgbColor rgb="FF3A50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H32"/>
  <sheetViews>
    <sheetView showGridLines="0" topLeftCell="A12" zoomScaleNormal="100" workbookViewId="0">
      <selection sqref="A1:H1"/>
    </sheetView>
  </sheetViews>
  <sheetFormatPr defaultColWidth="8.7109375" defaultRowHeight="15" x14ac:dyDescent="0.25"/>
  <cols>
    <col min="1" max="1" width="32" customWidth="1"/>
    <col min="2" max="2" width="16" customWidth="1"/>
    <col min="3" max="8" width="10" customWidth="1"/>
  </cols>
  <sheetData>
    <row r="1" spans="1:8" ht="36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3" spans="1:8" ht="18" customHeight="1" x14ac:dyDescent="0.25">
      <c r="A3" s="6" t="s">
        <v>1</v>
      </c>
      <c r="B3" s="6"/>
      <c r="C3" s="6"/>
      <c r="D3" s="6"/>
      <c r="E3" s="6"/>
      <c r="F3" s="6"/>
      <c r="G3" s="6"/>
      <c r="H3" s="6"/>
    </row>
    <row r="4" spans="1:8" ht="18" customHeight="1" x14ac:dyDescent="0.25">
      <c r="A4" s="8" t="s">
        <v>2</v>
      </c>
      <c r="B4" s="9">
        <f>COUNTA(Catalog!C3:C1000)-COUNTIF(Catalog!T3:T1000,"~[DISCONTINUED~]*")</f>
        <v>93</v>
      </c>
    </row>
    <row r="5" spans="1:8" ht="18" customHeight="1" x14ac:dyDescent="0.25">
      <c r="A5" s="8" t="s">
        <v>3</v>
      </c>
      <c r="B5" s="10">
        <f>COUNTIF(Catalog!R3:R1000,"S")</f>
        <v>0</v>
      </c>
    </row>
    <row r="6" spans="1:8" ht="18" customHeight="1" x14ac:dyDescent="0.25">
      <c r="A6" s="8" t="s">
        <v>4</v>
      </c>
      <c r="B6" s="11">
        <f>COUNTIF(Catalog!R3:R1000,"A")</f>
        <v>18</v>
      </c>
    </row>
    <row r="7" spans="1:8" ht="18" customHeight="1" x14ac:dyDescent="0.25">
      <c r="A7" s="8" t="s">
        <v>5</v>
      </c>
      <c r="B7" s="12">
        <f>COUNTIF(Catalog!R3:R1000,"B")</f>
        <v>38</v>
      </c>
    </row>
    <row r="8" spans="1:8" ht="18" customHeight="1" x14ac:dyDescent="0.25">
      <c r="A8" s="8" t="s">
        <v>6</v>
      </c>
      <c r="B8" s="13">
        <f>COUNTIF(Catalog!R3:R1000,"C")</f>
        <v>37</v>
      </c>
    </row>
    <row r="9" spans="1:8" ht="18" customHeight="1" x14ac:dyDescent="0.25">
      <c r="A9" s="8" t="s">
        <v>7</v>
      </c>
      <c r="B9" s="14">
        <f>COUNTIF(Catalog!J3:J1000,"Yes")</f>
        <v>93</v>
      </c>
    </row>
    <row r="11" spans="1:8" ht="18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18" customHeight="1" x14ac:dyDescent="0.25">
      <c r="A12" s="15" t="s">
        <v>9</v>
      </c>
      <c r="B12" s="5" t="s">
        <v>10</v>
      </c>
      <c r="C12" s="5"/>
      <c r="D12" s="5"/>
      <c r="E12" s="5"/>
      <c r="F12" s="5"/>
      <c r="G12" s="5"/>
      <c r="H12" s="5"/>
    </row>
    <row r="13" spans="1:8" ht="18" customHeight="1" x14ac:dyDescent="0.25">
      <c r="A13" s="16" t="s">
        <v>11</v>
      </c>
      <c r="B13" s="5" t="s">
        <v>12</v>
      </c>
      <c r="C13" s="5"/>
      <c r="D13" s="5"/>
      <c r="E13" s="5"/>
      <c r="F13" s="5"/>
      <c r="G13" s="5"/>
      <c r="H13" s="5"/>
    </row>
    <row r="14" spans="1:8" ht="18" customHeight="1" x14ac:dyDescent="0.25">
      <c r="A14" s="17" t="s">
        <v>13</v>
      </c>
      <c r="B14" s="5" t="s">
        <v>14</v>
      </c>
      <c r="C14" s="5"/>
      <c r="D14" s="5"/>
      <c r="E14" s="5"/>
      <c r="F14" s="5"/>
      <c r="G14" s="5"/>
      <c r="H14" s="5"/>
    </row>
    <row r="15" spans="1:8" ht="18" customHeight="1" x14ac:dyDescent="0.25">
      <c r="A15" s="18" t="s">
        <v>15</v>
      </c>
      <c r="B15" s="5" t="s">
        <v>16</v>
      </c>
      <c r="C15" s="5"/>
      <c r="D15" s="5"/>
      <c r="E15" s="5"/>
      <c r="F15" s="5"/>
      <c r="G15" s="5"/>
      <c r="H15" s="5"/>
    </row>
    <row r="17" spans="1:8" ht="18" customHeight="1" x14ac:dyDescent="0.25">
      <c r="A17" s="6" t="s">
        <v>17</v>
      </c>
      <c r="B17" s="6"/>
      <c r="C17" s="6"/>
      <c r="D17" s="6"/>
      <c r="E17" s="6"/>
      <c r="F17" s="6"/>
      <c r="G17" s="6"/>
      <c r="H17" s="6"/>
    </row>
    <row r="18" spans="1:8" ht="15" customHeight="1" x14ac:dyDescent="0.25">
      <c r="A18" s="4" t="s">
        <v>18</v>
      </c>
      <c r="B18" s="4"/>
      <c r="C18" s="4"/>
      <c r="D18" s="4"/>
      <c r="E18" s="4"/>
      <c r="F18" s="4"/>
      <c r="G18" s="4"/>
      <c r="H18" s="4"/>
    </row>
    <row r="19" spans="1:8" ht="18" customHeight="1" x14ac:dyDescent="0.25">
      <c r="A19" s="8" t="s">
        <v>19</v>
      </c>
      <c r="B19" s="19" t="str">
        <f>Config!$B$5</f>
        <v>2026-09-27</v>
      </c>
    </row>
    <row r="21" spans="1:8" ht="18" customHeight="1" x14ac:dyDescent="0.25">
      <c r="A21" s="6" t="s">
        <v>20</v>
      </c>
      <c r="B21" s="6"/>
      <c r="C21" s="6"/>
      <c r="D21" s="6"/>
      <c r="E21" s="6"/>
      <c r="F21" s="6"/>
      <c r="G21" s="6"/>
      <c r="H21" s="6"/>
    </row>
    <row r="22" spans="1:8" ht="19.5" customHeight="1" x14ac:dyDescent="0.25">
      <c r="A22" s="3" t="str">
        <f>IF(COUNTIF(Catalog!J3:J1000,"Yes")&gt;0,"⚠  One or more filaments require the AMS Adapter Ring — see Catalog column J","✓  No filaments in this catalog require the AMS Adapter Ring")</f>
        <v>⚠  One or more filaments require the AMS Adapter Ring — see Catalog column J</v>
      </c>
      <c r="B22" s="3"/>
      <c r="C22" s="3"/>
      <c r="D22" s="3"/>
      <c r="E22" s="3"/>
      <c r="F22" s="3"/>
      <c r="G22" s="3"/>
      <c r="H22" s="3"/>
    </row>
    <row r="24" spans="1:8" ht="18" customHeight="1" x14ac:dyDescent="0.25">
      <c r="A24" s="6" t="s">
        <v>21</v>
      </c>
      <c r="B24" s="6"/>
      <c r="C24" s="6"/>
      <c r="D24" s="6"/>
      <c r="E24" s="6"/>
      <c r="F24" s="6"/>
      <c r="G24" s="6"/>
      <c r="H24" s="6"/>
    </row>
    <row r="25" spans="1:8" ht="21.75" customHeight="1" x14ac:dyDescent="0.25">
      <c r="A25" s="20" t="s">
        <v>22</v>
      </c>
      <c r="B25" s="20" t="s">
        <v>23</v>
      </c>
    </row>
    <row r="26" spans="1:8" ht="18" customHeight="1" x14ac:dyDescent="0.25">
      <c r="A26" s="21" t="s">
        <v>24</v>
      </c>
      <c r="B26" s="22">
        <f>COUNTIF(Catalog!A3:A700,"ASA")</f>
        <v>6</v>
      </c>
    </row>
    <row r="27" spans="1:8" ht="18" customHeight="1" x14ac:dyDescent="0.25">
      <c r="A27" s="21" t="s">
        <v>25</v>
      </c>
      <c r="B27" s="22">
        <f>COUNTIF(Catalog!A3:A700,"PETG (Rapid)")</f>
        <v>12</v>
      </c>
    </row>
    <row r="28" spans="1:8" ht="18" customHeight="1" x14ac:dyDescent="0.25">
      <c r="A28" s="21" t="s">
        <v>26</v>
      </c>
      <c r="B28" s="22">
        <f>COUNTIF(Catalog!A3:A700,"PLA")</f>
        <v>18</v>
      </c>
    </row>
    <row r="29" spans="1:8" ht="18" customHeight="1" x14ac:dyDescent="0.25">
      <c r="A29" s="21" t="s">
        <v>27</v>
      </c>
      <c r="B29" s="22">
        <f>COUNTIF(Catalog!A3:A700,"PLA Basic")</f>
        <v>19</v>
      </c>
    </row>
    <row r="30" spans="1:8" ht="18" customHeight="1" x14ac:dyDescent="0.25">
      <c r="A30" s="21" t="s">
        <v>28</v>
      </c>
      <c r="B30" s="22">
        <f>COUNTIF(Catalog!A3:A700,"PLA Plus")</f>
        <v>17</v>
      </c>
    </row>
    <row r="31" spans="1:8" ht="18" customHeight="1" x14ac:dyDescent="0.25">
      <c r="A31" s="21" t="s">
        <v>29</v>
      </c>
      <c r="B31" s="22">
        <f>COUNTIF(Catalog!A3:A700,"PLA Pro")</f>
        <v>14</v>
      </c>
    </row>
    <row r="32" spans="1:8" ht="18" customHeight="1" x14ac:dyDescent="0.25">
      <c r="A32" s="21" t="s">
        <v>30</v>
      </c>
      <c r="B32" s="22">
        <f>COUNTIF(Catalog!A3:A700,"TPU 95A")</f>
        <v>7</v>
      </c>
    </row>
  </sheetData>
  <mergeCells count="12">
    <mergeCell ref="A22:H22"/>
    <mergeCell ref="A24:H24"/>
    <mergeCell ref="B14:H14"/>
    <mergeCell ref="B15:H15"/>
    <mergeCell ref="A17:H17"/>
    <mergeCell ref="A18:H18"/>
    <mergeCell ref="A21:H21"/>
    <mergeCell ref="A1:H1"/>
    <mergeCell ref="A3:H3"/>
    <mergeCell ref="A11:H11"/>
    <mergeCell ref="B12:H12"/>
    <mergeCell ref="B13:H13"/>
  </mergeCells>
  <conditionalFormatting sqref="A22:H22">
    <cfRule type="expression" dxfId="22" priority="2">
      <formula>NOT(ISERROR(SEARCH("⚠",A22)))</formula>
    </cfRule>
    <cfRule type="expression" dxfId="21" priority="3">
      <formula>NOT(ISERROR(SEARCH("✓",A22)))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T95"/>
  <sheetViews>
    <sheetView tabSelected="1" zoomScaleNormal="100" workbookViewId="0">
      <pane ySplit="2" topLeftCell="A3" activePane="bottomLeft" state="frozen"/>
      <selection pane="bottomLeft" sqref="A1:T1"/>
    </sheetView>
  </sheetViews>
  <sheetFormatPr defaultColWidth="8.7109375" defaultRowHeight="15" outlineLevelCol="1" x14ac:dyDescent="0.25"/>
  <cols>
    <col min="1" max="1" width="18.140625" bestFit="1" customWidth="1"/>
    <col min="2" max="3" width="18.5703125" bestFit="1" customWidth="1"/>
    <col min="4" max="4" width="16.28515625" bestFit="1" customWidth="1"/>
    <col min="5" max="5" width="12.28515625" bestFit="1" customWidth="1"/>
    <col min="6" max="6" width="14.42578125" bestFit="1" customWidth="1"/>
    <col min="7" max="7" width="13.140625" bestFit="1" customWidth="1"/>
    <col min="8" max="8" width="14.7109375" bestFit="1" customWidth="1"/>
    <col min="9" max="9" width="15.85546875" bestFit="1" customWidth="1"/>
    <col min="10" max="10" width="18.140625" bestFit="1" customWidth="1"/>
    <col min="11" max="11" width="16.140625" bestFit="1" customWidth="1"/>
    <col min="12" max="12" width="15.42578125" bestFit="1" customWidth="1"/>
    <col min="13" max="13" width="19" bestFit="1" customWidth="1"/>
    <col min="14" max="14" width="13.42578125" bestFit="1" customWidth="1" outlineLevel="1"/>
    <col min="15" max="15" width="10.28515625" bestFit="1" customWidth="1" outlineLevel="1"/>
    <col min="16" max="16" width="11.85546875" bestFit="1" customWidth="1" outlineLevel="1"/>
    <col min="17" max="17" width="12.7109375" bestFit="1" customWidth="1" outlineLevel="1"/>
    <col min="18" max="18" width="9.140625" bestFit="1" customWidth="1"/>
    <col min="19" max="20" width="255.7109375" bestFit="1" customWidth="1"/>
  </cols>
  <sheetData>
    <row r="1" spans="1:20" ht="30" customHeight="1" x14ac:dyDescent="0.25">
      <c r="A1" s="2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33.75" customHeight="1" x14ac:dyDescent="0.25">
      <c r="A2" s="23" t="s">
        <v>22</v>
      </c>
      <c r="B2" s="23" t="s">
        <v>32</v>
      </c>
      <c r="C2" s="23" t="s">
        <v>33</v>
      </c>
      <c r="D2" s="23" t="s">
        <v>34</v>
      </c>
      <c r="E2" s="23" t="s">
        <v>35</v>
      </c>
      <c r="F2" s="23" t="s">
        <v>36</v>
      </c>
      <c r="G2" s="23" t="s">
        <v>37</v>
      </c>
      <c r="H2" s="23" t="s">
        <v>38</v>
      </c>
      <c r="I2" s="23" t="s">
        <v>39</v>
      </c>
      <c r="J2" s="23" t="s">
        <v>40</v>
      </c>
      <c r="K2" s="23" t="s">
        <v>41</v>
      </c>
      <c r="L2" s="23" t="s">
        <v>42</v>
      </c>
      <c r="M2" s="23" t="s">
        <v>43</v>
      </c>
      <c r="N2" s="23" t="s">
        <v>44</v>
      </c>
      <c r="O2" s="23" t="s">
        <v>45</v>
      </c>
      <c r="P2" s="23" t="s">
        <v>46</v>
      </c>
      <c r="Q2" s="23" t="s">
        <v>47</v>
      </c>
      <c r="R2" s="23" t="s">
        <v>48</v>
      </c>
      <c r="S2" s="23" t="s">
        <v>49</v>
      </c>
      <c r="T2" s="23" t="s">
        <v>50</v>
      </c>
    </row>
    <row r="3" spans="1:20" ht="19.5" customHeight="1" x14ac:dyDescent="0.25">
      <c r="A3" s="24" t="s">
        <v>24</v>
      </c>
      <c r="B3" s="24" t="s">
        <v>51</v>
      </c>
      <c r="C3" s="24" t="s">
        <v>52</v>
      </c>
      <c r="D3" s="24" t="s">
        <v>53</v>
      </c>
      <c r="E3" s="25"/>
      <c r="F3" s="26" t="s">
        <v>54</v>
      </c>
      <c r="G3" s="19" t="s">
        <v>55</v>
      </c>
      <c r="H3" s="19" t="s">
        <v>56</v>
      </c>
      <c r="I3" s="19" t="s">
        <v>57</v>
      </c>
      <c r="J3" s="19" t="s">
        <v>58</v>
      </c>
      <c r="K3" s="19" t="s">
        <v>59</v>
      </c>
      <c r="L3" s="19" t="s">
        <v>60</v>
      </c>
      <c r="M3" s="19" t="s">
        <v>61</v>
      </c>
      <c r="N3" s="19" t="s">
        <v>62</v>
      </c>
      <c r="O3" s="19" t="s">
        <v>63</v>
      </c>
      <c r="P3" s="19" t="s">
        <v>62</v>
      </c>
      <c r="Q3" s="19" t="s">
        <v>62</v>
      </c>
      <c r="R3" s="19" t="s">
        <v>64</v>
      </c>
      <c r="S3" s="24" t="s">
        <v>65</v>
      </c>
      <c r="T3" s="24" t="s">
        <v>66</v>
      </c>
    </row>
    <row r="4" spans="1:20" ht="19.5" customHeight="1" x14ac:dyDescent="0.25">
      <c r="A4" s="27" t="s">
        <v>24</v>
      </c>
      <c r="B4" s="27" t="s">
        <v>67</v>
      </c>
      <c r="C4" s="27" t="s">
        <v>52</v>
      </c>
      <c r="D4" s="27" t="s">
        <v>68</v>
      </c>
      <c r="E4" s="28"/>
      <c r="F4" s="29" t="s">
        <v>69</v>
      </c>
      <c r="G4" s="30" t="s">
        <v>55</v>
      </c>
      <c r="H4" s="30" t="s">
        <v>56</v>
      </c>
      <c r="I4" s="30" t="s">
        <v>57</v>
      </c>
      <c r="J4" s="30" t="s">
        <v>58</v>
      </c>
      <c r="K4" s="30" t="s">
        <v>59</v>
      </c>
      <c r="L4" s="30" t="s">
        <v>60</v>
      </c>
      <c r="M4" s="30" t="s">
        <v>61</v>
      </c>
      <c r="N4" s="30" t="s">
        <v>62</v>
      </c>
      <c r="O4" s="30" t="s">
        <v>63</v>
      </c>
      <c r="P4" s="30" t="s">
        <v>62</v>
      </c>
      <c r="Q4" s="30" t="s">
        <v>62</v>
      </c>
      <c r="R4" s="30" t="s">
        <v>64</v>
      </c>
      <c r="S4" s="27" t="s">
        <v>65</v>
      </c>
      <c r="T4" s="27" t="s">
        <v>66</v>
      </c>
    </row>
    <row r="5" spans="1:20" ht="19.5" customHeight="1" x14ac:dyDescent="0.25">
      <c r="A5" s="24" t="s">
        <v>24</v>
      </c>
      <c r="B5" s="24" t="s">
        <v>70</v>
      </c>
      <c r="C5" s="24" t="s">
        <v>52</v>
      </c>
      <c r="D5" s="24" t="s">
        <v>71</v>
      </c>
      <c r="E5" s="31"/>
      <c r="F5" s="32" t="s">
        <v>72</v>
      </c>
      <c r="G5" s="19" t="s">
        <v>55</v>
      </c>
      <c r="H5" s="19" t="s">
        <v>56</v>
      </c>
      <c r="I5" s="19" t="s">
        <v>57</v>
      </c>
      <c r="J5" s="19" t="s">
        <v>58</v>
      </c>
      <c r="K5" s="19" t="s">
        <v>59</v>
      </c>
      <c r="L5" s="19" t="s">
        <v>60</v>
      </c>
      <c r="M5" s="19" t="s">
        <v>61</v>
      </c>
      <c r="N5" s="19" t="s">
        <v>62</v>
      </c>
      <c r="O5" s="19" t="s">
        <v>63</v>
      </c>
      <c r="P5" s="19" t="s">
        <v>62</v>
      </c>
      <c r="Q5" s="19" t="s">
        <v>62</v>
      </c>
      <c r="R5" s="19" t="s">
        <v>64</v>
      </c>
      <c r="S5" s="24" t="s">
        <v>65</v>
      </c>
      <c r="T5" s="24" t="s">
        <v>73</v>
      </c>
    </row>
    <row r="6" spans="1:20" ht="19.5" customHeight="1" x14ac:dyDescent="0.25">
      <c r="A6" s="27" t="s">
        <v>24</v>
      </c>
      <c r="B6" s="27" t="s">
        <v>74</v>
      </c>
      <c r="C6" s="27" t="s">
        <v>52</v>
      </c>
      <c r="D6" s="27" t="s">
        <v>75</v>
      </c>
      <c r="E6" s="33"/>
      <c r="F6" s="34" t="s">
        <v>76</v>
      </c>
      <c r="G6" s="30" t="s">
        <v>55</v>
      </c>
      <c r="H6" s="30" t="s">
        <v>56</v>
      </c>
      <c r="I6" s="30" t="s">
        <v>57</v>
      </c>
      <c r="J6" s="30" t="s">
        <v>58</v>
      </c>
      <c r="K6" s="30" t="s">
        <v>59</v>
      </c>
      <c r="L6" s="30" t="s">
        <v>60</v>
      </c>
      <c r="M6" s="30" t="s">
        <v>61</v>
      </c>
      <c r="N6" s="30" t="s">
        <v>62</v>
      </c>
      <c r="O6" s="30" t="s">
        <v>63</v>
      </c>
      <c r="P6" s="30" t="s">
        <v>62</v>
      </c>
      <c r="Q6" s="30" t="s">
        <v>62</v>
      </c>
      <c r="R6" s="30" t="s">
        <v>77</v>
      </c>
      <c r="S6" s="27" t="s">
        <v>78</v>
      </c>
      <c r="T6" s="27" t="s">
        <v>79</v>
      </c>
    </row>
    <row r="7" spans="1:20" ht="19.5" customHeight="1" x14ac:dyDescent="0.25">
      <c r="A7" s="24" t="s">
        <v>24</v>
      </c>
      <c r="B7" s="24" t="s">
        <v>80</v>
      </c>
      <c r="C7" s="24" t="s">
        <v>52</v>
      </c>
      <c r="D7" s="24" t="s">
        <v>81</v>
      </c>
      <c r="E7" s="35"/>
      <c r="F7" s="36" t="s">
        <v>82</v>
      </c>
      <c r="G7" s="19" t="s">
        <v>55</v>
      </c>
      <c r="H7" s="19" t="s">
        <v>56</v>
      </c>
      <c r="I7" s="19" t="s">
        <v>57</v>
      </c>
      <c r="J7" s="19" t="s">
        <v>58</v>
      </c>
      <c r="K7" s="19" t="s">
        <v>59</v>
      </c>
      <c r="L7" s="19" t="s">
        <v>60</v>
      </c>
      <c r="M7" s="19" t="s">
        <v>61</v>
      </c>
      <c r="N7" s="19" t="s">
        <v>62</v>
      </c>
      <c r="O7" s="19" t="s">
        <v>63</v>
      </c>
      <c r="P7" s="19" t="s">
        <v>62</v>
      </c>
      <c r="Q7" s="19" t="s">
        <v>62</v>
      </c>
      <c r="R7" s="19" t="s">
        <v>64</v>
      </c>
      <c r="S7" s="24" t="s">
        <v>65</v>
      </c>
      <c r="T7" s="24" t="s">
        <v>66</v>
      </c>
    </row>
    <row r="8" spans="1:20" ht="19.5" customHeight="1" x14ac:dyDescent="0.25">
      <c r="A8" s="27" t="s">
        <v>24</v>
      </c>
      <c r="B8" s="27" t="s">
        <v>83</v>
      </c>
      <c r="C8" s="27" t="s">
        <v>52</v>
      </c>
      <c r="D8" s="27" t="s">
        <v>84</v>
      </c>
      <c r="E8" s="19"/>
      <c r="F8" s="37" t="s">
        <v>85</v>
      </c>
      <c r="G8" s="30" t="s">
        <v>55</v>
      </c>
      <c r="H8" s="30" t="s">
        <v>56</v>
      </c>
      <c r="I8" s="30" t="s">
        <v>57</v>
      </c>
      <c r="J8" s="30" t="s">
        <v>58</v>
      </c>
      <c r="K8" s="30" t="s">
        <v>59</v>
      </c>
      <c r="L8" s="30" t="s">
        <v>60</v>
      </c>
      <c r="M8" s="30" t="s">
        <v>61</v>
      </c>
      <c r="N8" s="30" t="s">
        <v>62</v>
      </c>
      <c r="O8" s="30" t="s">
        <v>63</v>
      </c>
      <c r="P8" s="30" t="s">
        <v>62</v>
      </c>
      <c r="Q8" s="30" t="s">
        <v>62</v>
      </c>
      <c r="R8" s="30" t="s">
        <v>64</v>
      </c>
      <c r="S8" s="27" t="s">
        <v>65</v>
      </c>
      <c r="T8" s="27" t="s">
        <v>66</v>
      </c>
    </row>
    <row r="9" spans="1:20" ht="19.5" customHeight="1" x14ac:dyDescent="0.25">
      <c r="A9" s="24" t="s">
        <v>25</v>
      </c>
      <c r="B9" s="24" t="s">
        <v>86</v>
      </c>
      <c r="C9" s="24" t="s">
        <v>87</v>
      </c>
      <c r="D9" s="24" t="s">
        <v>88</v>
      </c>
      <c r="E9" s="33"/>
      <c r="F9" s="34" t="s">
        <v>76</v>
      </c>
      <c r="G9" s="19" t="s">
        <v>55</v>
      </c>
      <c r="H9" s="19" t="s">
        <v>89</v>
      </c>
      <c r="I9" s="19" t="s">
        <v>57</v>
      </c>
      <c r="J9" s="19" t="s">
        <v>58</v>
      </c>
      <c r="K9" s="19" t="s">
        <v>90</v>
      </c>
      <c r="L9" s="19" t="s">
        <v>91</v>
      </c>
      <c r="M9" s="19" t="s">
        <v>92</v>
      </c>
      <c r="N9" s="19" t="s">
        <v>62</v>
      </c>
      <c r="O9" s="19" t="s">
        <v>62</v>
      </c>
      <c r="P9" s="19" t="s">
        <v>62</v>
      </c>
      <c r="Q9" s="19" t="s">
        <v>62</v>
      </c>
      <c r="R9" s="19" t="s">
        <v>77</v>
      </c>
      <c r="S9" s="24" t="s">
        <v>93</v>
      </c>
      <c r="T9" s="24" t="s">
        <v>94</v>
      </c>
    </row>
    <row r="10" spans="1:20" ht="19.5" customHeight="1" x14ac:dyDescent="0.25">
      <c r="A10" s="27" t="s">
        <v>25</v>
      </c>
      <c r="B10" s="27" t="s">
        <v>95</v>
      </c>
      <c r="C10" s="27" t="s">
        <v>87</v>
      </c>
      <c r="D10" s="27" t="s">
        <v>96</v>
      </c>
      <c r="E10" s="38"/>
      <c r="F10" s="39" t="s">
        <v>97</v>
      </c>
      <c r="G10" s="30" t="s">
        <v>55</v>
      </c>
      <c r="H10" s="30" t="s">
        <v>89</v>
      </c>
      <c r="I10" s="30" t="s">
        <v>57</v>
      </c>
      <c r="J10" s="30" t="s">
        <v>58</v>
      </c>
      <c r="K10" s="30" t="s">
        <v>90</v>
      </c>
      <c r="L10" s="30" t="s">
        <v>91</v>
      </c>
      <c r="M10" s="30" t="s">
        <v>92</v>
      </c>
      <c r="N10" s="30" t="s">
        <v>62</v>
      </c>
      <c r="O10" s="30" t="s">
        <v>62</v>
      </c>
      <c r="P10" s="30" t="s">
        <v>62</v>
      </c>
      <c r="Q10" s="30" t="s">
        <v>62</v>
      </c>
      <c r="R10" s="30" t="s">
        <v>64</v>
      </c>
      <c r="S10" s="27" t="s">
        <v>98</v>
      </c>
      <c r="T10" s="27" t="s">
        <v>99</v>
      </c>
    </row>
    <row r="11" spans="1:20" ht="19.5" customHeight="1" x14ac:dyDescent="0.25">
      <c r="A11" s="24" t="s">
        <v>25</v>
      </c>
      <c r="B11" s="24" t="s">
        <v>100</v>
      </c>
      <c r="C11" s="24" t="s">
        <v>87</v>
      </c>
      <c r="D11" s="24" t="s">
        <v>68</v>
      </c>
      <c r="E11" s="40"/>
      <c r="F11" s="41" t="s">
        <v>101</v>
      </c>
      <c r="G11" s="19" t="s">
        <v>55</v>
      </c>
      <c r="H11" s="19" t="s">
        <v>89</v>
      </c>
      <c r="I11" s="19" t="s">
        <v>57</v>
      </c>
      <c r="J11" s="19" t="s">
        <v>58</v>
      </c>
      <c r="K11" s="19" t="s">
        <v>90</v>
      </c>
      <c r="L11" s="19" t="s">
        <v>91</v>
      </c>
      <c r="M11" s="19" t="s">
        <v>92</v>
      </c>
      <c r="N11" s="19" t="s">
        <v>62</v>
      </c>
      <c r="O11" s="19" t="s">
        <v>62</v>
      </c>
      <c r="P11" s="19" t="s">
        <v>62</v>
      </c>
      <c r="Q11" s="19" t="s">
        <v>62</v>
      </c>
      <c r="R11" s="19" t="s">
        <v>64</v>
      </c>
      <c r="S11" s="24" t="s">
        <v>98</v>
      </c>
      <c r="T11" s="24" t="s">
        <v>99</v>
      </c>
    </row>
    <row r="12" spans="1:20" ht="19.5" customHeight="1" x14ac:dyDescent="0.25">
      <c r="A12" s="27" t="s">
        <v>25</v>
      </c>
      <c r="B12" s="27" t="s">
        <v>102</v>
      </c>
      <c r="C12" s="27" t="s">
        <v>87</v>
      </c>
      <c r="D12" s="27" t="s">
        <v>103</v>
      </c>
      <c r="E12" s="33"/>
      <c r="F12" s="34" t="s">
        <v>76</v>
      </c>
      <c r="G12" s="30" t="s">
        <v>55</v>
      </c>
      <c r="H12" s="30" t="s">
        <v>89</v>
      </c>
      <c r="I12" s="30" t="s">
        <v>57</v>
      </c>
      <c r="J12" s="30" t="s">
        <v>58</v>
      </c>
      <c r="K12" s="30" t="s">
        <v>90</v>
      </c>
      <c r="L12" s="30" t="s">
        <v>91</v>
      </c>
      <c r="M12" s="30" t="s">
        <v>92</v>
      </c>
      <c r="N12" s="30" t="s">
        <v>62</v>
      </c>
      <c r="O12" s="30" t="s">
        <v>62</v>
      </c>
      <c r="P12" s="30" t="s">
        <v>62</v>
      </c>
      <c r="Q12" s="30" t="s">
        <v>62</v>
      </c>
      <c r="R12" s="30" t="s">
        <v>77</v>
      </c>
      <c r="S12" s="27" t="s">
        <v>93</v>
      </c>
      <c r="T12" s="27" t="s">
        <v>94</v>
      </c>
    </row>
    <row r="13" spans="1:20" ht="19.5" customHeight="1" x14ac:dyDescent="0.25">
      <c r="A13" s="24" t="s">
        <v>25</v>
      </c>
      <c r="B13" s="24" t="s">
        <v>104</v>
      </c>
      <c r="C13" s="24" t="s">
        <v>87</v>
      </c>
      <c r="D13" s="24" t="s">
        <v>105</v>
      </c>
      <c r="E13" s="25"/>
      <c r="F13" s="26" t="s">
        <v>54</v>
      </c>
      <c r="G13" s="19" t="s">
        <v>55</v>
      </c>
      <c r="H13" s="19" t="s">
        <v>89</v>
      </c>
      <c r="I13" s="19" t="s">
        <v>57</v>
      </c>
      <c r="J13" s="19" t="s">
        <v>58</v>
      </c>
      <c r="K13" s="19" t="s">
        <v>90</v>
      </c>
      <c r="L13" s="19" t="s">
        <v>91</v>
      </c>
      <c r="M13" s="19" t="s">
        <v>92</v>
      </c>
      <c r="N13" s="19" t="s">
        <v>62</v>
      </c>
      <c r="O13" s="19" t="s">
        <v>62</v>
      </c>
      <c r="P13" s="19" t="s">
        <v>62</v>
      </c>
      <c r="Q13" s="19" t="s">
        <v>62</v>
      </c>
      <c r="R13" s="19" t="s">
        <v>64</v>
      </c>
      <c r="S13" s="24" t="s">
        <v>98</v>
      </c>
      <c r="T13" s="24" t="s">
        <v>99</v>
      </c>
    </row>
    <row r="14" spans="1:20" ht="19.5" customHeight="1" x14ac:dyDescent="0.25">
      <c r="A14" s="27" t="s">
        <v>25</v>
      </c>
      <c r="B14" s="27" t="s">
        <v>106</v>
      </c>
      <c r="C14" s="27" t="s">
        <v>87</v>
      </c>
      <c r="D14" s="27" t="s">
        <v>75</v>
      </c>
      <c r="E14" s="33"/>
      <c r="F14" s="34" t="s">
        <v>76</v>
      </c>
      <c r="G14" s="30" t="s">
        <v>55</v>
      </c>
      <c r="H14" s="30" t="s">
        <v>89</v>
      </c>
      <c r="I14" s="30" t="s">
        <v>57</v>
      </c>
      <c r="J14" s="30" t="s">
        <v>58</v>
      </c>
      <c r="K14" s="30" t="s">
        <v>90</v>
      </c>
      <c r="L14" s="30" t="s">
        <v>91</v>
      </c>
      <c r="M14" s="30" t="s">
        <v>92</v>
      </c>
      <c r="N14" s="30" t="s">
        <v>62</v>
      </c>
      <c r="O14" s="30" t="s">
        <v>62</v>
      </c>
      <c r="P14" s="30" t="s">
        <v>62</v>
      </c>
      <c r="Q14" s="30" t="s">
        <v>62</v>
      </c>
      <c r="R14" s="30" t="s">
        <v>77</v>
      </c>
      <c r="S14" s="27" t="s">
        <v>93</v>
      </c>
      <c r="T14" s="27" t="s">
        <v>94</v>
      </c>
    </row>
    <row r="15" spans="1:20" ht="19.5" customHeight="1" x14ac:dyDescent="0.25">
      <c r="A15" s="24" t="s">
        <v>25</v>
      </c>
      <c r="B15" s="24" t="s">
        <v>107</v>
      </c>
      <c r="C15" s="24" t="s">
        <v>87</v>
      </c>
      <c r="D15" s="24" t="s">
        <v>108</v>
      </c>
      <c r="E15" s="42"/>
      <c r="F15" s="43" t="s">
        <v>109</v>
      </c>
      <c r="G15" s="19" t="s">
        <v>55</v>
      </c>
      <c r="H15" s="19" t="s">
        <v>89</v>
      </c>
      <c r="I15" s="19" t="s">
        <v>57</v>
      </c>
      <c r="J15" s="19" t="s">
        <v>58</v>
      </c>
      <c r="K15" s="19" t="s">
        <v>90</v>
      </c>
      <c r="L15" s="19" t="s">
        <v>91</v>
      </c>
      <c r="M15" s="19" t="s">
        <v>92</v>
      </c>
      <c r="N15" s="19" t="s">
        <v>62</v>
      </c>
      <c r="O15" s="19" t="s">
        <v>62</v>
      </c>
      <c r="P15" s="19" t="s">
        <v>62</v>
      </c>
      <c r="Q15" s="19" t="s">
        <v>62</v>
      </c>
      <c r="R15" s="19" t="s">
        <v>64</v>
      </c>
      <c r="S15" s="24" t="s">
        <v>98</v>
      </c>
      <c r="T15" s="24" t="s">
        <v>99</v>
      </c>
    </row>
    <row r="16" spans="1:20" ht="19.5" customHeight="1" x14ac:dyDescent="0.25">
      <c r="A16" s="27" t="s">
        <v>25</v>
      </c>
      <c r="B16" s="27" t="s">
        <v>110</v>
      </c>
      <c r="C16" s="27" t="s">
        <v>87</v>
      </c>
      <c r="D16" s="27" t="s">
        <v>81</v>
      </c>
      <c r="E16" s="44"/>
      <c r="F16" s="45" t="s">
        <v>111</v>
      </c>
      <c r="G16" s="30" t="s">
        <v>55</v>
      </c>
      <c r="H16" s="30" t="s">
        <v>89</v>
      </c>
      <c r="I16" s="30" t="s">
        <v>57</v>
      </c>
      <c r="J16" s="30" t="s">
        <v>58</v>
      </c>
      <c r="K16" s="30" t="s">
        <v>90</v>
      </c>
      <c r="L16" s="30" t="s">
        <v>91</v>
      </c>
      <c r="M16" s="30" t="s">
        <v>92</v>
      </c>
      <c r="N16" s="30" t="s">
        <v>62</v>
      </c>
      <c r="O16" s="30" t="s">
        <v>62</v>
      </c>
      <c r="P16" s="30" t="s">
        <v>62</v>
      </c>
      <c r="Q16" s="30" t="s">
        <v>62</v>
      </c>
      <c r="R16" s="30" t="s">
        <v>64</v>
      </c>
      <c r="S16" s="27" t="s">
        <v>98</v>
      </c>
      <c r="T16" s="27" t="s">
        <v>99</v>
      </c>
    </row>
    <row r="17" spans="1:20" ht="19.5" customHeight="1" x14ac:dyDescent="0.25">
      <c r="A17" s="24" t="s">
        <v>25</v>
      </c>
      <c r="B17" s="24" t="s">
        <v>112</v>
      </c>
      <c r="C17" s="24" t="s">
        <v>87</v>
      </c>
      <c r="D17" s="24" t="s">
        <v>113</v>
      </c>
      <c r="E17" s="46"/>
      <c r="F17" s="47" t="s">
        <v>114</v>
      </c>
      <c r="G17" s="19" t="s">
        <v>55</v>
      </c>
      <c r="H17" s="19" t="s">
        <v>89</v>
      </c>
      <c r="I17" s="19" t="s">
        <v>57</v>
      </c>
      <c r="J17" s="19" t="s">
        <v>58</v>
      </c>
      <c r="K17" s="19" t="s">
        <v>90</v>
      </c>
      <c r="L17" s="19" t="s">
        <v>91</v>
      </c>
      <c r="M17" s="19" t="s">
        <v>92</v>
      </c>
      <c r="N17" s="19" t="s">
        <v>62</v>
      </c>
      <c r="O17" s="19" t="s">
        <v>62</v>
      </c>
      <c r="P17" s="19" t="s">
        <v>62</v>
      </c>
      <c r="Q17" s="19" t="s">
        <v>62</v>
      </c>
      <c r="R17" s="19" t="s">
        <v>64</v>
      </c>
      <c r="S17" s="24" t="s">
        <v>98</v>
      </c>
      <c r="T17" s="24" t="s">
        <v>99</v>
      </c>
    </row>
    <row r="18" spans="1:20" ht="19.5" customHeight="1" x14ac:dyDescent="0.25">
      <c r="A18" s="27" t="s">
        <v>25</v>
      </c>
      <c r="B18" s="27" t="s">
        <v>115</v>
      </c>
      <c r="C18" s="27" t="s">
        <v>87</v>
      </c>
      <c r="D18" s="27" t="s">
        <v>116</v>
      </c>
      <c r="E18" s="48"/>
      <c r="F18" s="49" t="s">
        <v>117</v>
      </c>
      <c r="G18" s="30" t="s">
        <v>55</v>
      </c>
      <c r="H18" s="30" t="s">
        <v>89</v>
      </c>
      <c r="I18" s="30" t="s">
        <v>57</v>
      </c>
      <c r="J18" s="30" t="s">
        <v>58</v>
      </c>
      <c r="K18" s="30" t="s">
        <v>90</v>
      </c>
      <c r="L18" s="30" t="s">
        <v>91</v>
      </c>
      <c r="M18" s="30" t="s">
        <v>92</v>
      </c>
      <c r="N18" s="30" t="s">
        <v>62</v>
      </c>
      <c r="O18" s="30" t="s">
        <v>62</v>
      </c>
      <c r="P18" s="30" t="s">
        <v>62</v>
      </c>
      <c r="Q18" s="30" t="s">
        <v>62</v>
      </c>
      <c r="R18" s="30" t="s">
        <v>64</v>
      </c>
      <c r="S18" s="27" t="s">
        <v>98</v>
      </c>
      <c r="T18" s="27" t="s">
        <v>99</v>
      </c>
    </row>
    <row r="19" spans="1:20" ht="19.5" customHeight="1" x14ac:dyDescent="0.25">
      <c r="A19" s="24" t="s">
        <v>25</v>
      </c>
      <c r="B19" s="24" t="s">
        <v>118</v>
      </c>
      <c r="C19" s="24" t="s">
        <v>87</v>
      </c>
      <c r="D19" s="24" t="s">
        <v>84</v>
      </c>
      <c r="E19" s="19"/>
      <c r="F19" s="37" t="s">
        <v>85</v>
      </c>
      <c r="G19" s="19" t="s">
        <v>55</v>
      </c>
      <c r="H19" s="19" t="s">
        <v>89</v>
      </c>
      <c r="I19" s="19" t="s">
        <v>57</v>
      </c>
      <c r="J19" s="19" t="s">
        <v>58</v>
      </c>
      <c r="K19" s="19" t="s">
        <v>90</v>
      </c>
      <c r="L19" s="19" t="s">
        <v>91</v>
      </c>
      <c r="M19" s="19" t="s">
        <v>92</v>
      </c>
      <c r="N19" s="19" t="s">
        <v>62</v>
      </c>
      <c r="O19" s="19" t="s">
        <v>62</v>
      </c>
      <c r="P19" s="19" t="s">
        <v>62</v>
      </c>
      <c r="Q19" s="19" t="s">
        <v>62</v>
      </c>
      <c r="R19" s="19" t="s">
        <v>64</v>
      </c>
      <c r="S19" s="24" t="s">
        <v>98</v>
      </c>
      <c r="T19" s="24" t="s">
        <v>99</v>
      </c>
    </row>
    <row r="20" spans="1:20" ht="19.5" customHeight="1" x14ac:dyDescent="0.25">
      <c r="A20" s="27" t="s">
        <v>25</v>
      </c>
      <c r="B20" s="27" t="s">
        <v>119</v>
      </c>
      <c r="C20" s="27" t="s">
        <v>87</v>
      </c>
      <c r="D20" s="27" t="s">
        <v>120</v>
      </c>
      <c r="E20" s="33"/>
      <c r="F20" s="34" t="s">
        <v>76</v>
      </c>
      <c r="G20" s="30" t="s">
        <v>55</v>
      </c>
      <c r="H20" s="30" t="s">
        <v>89</v>
      </c>
      <c r="I20" s="30" t="s">
        <v>57</v>
      </c>
      <c r="J20" s="30" t="s">
        <v>58</v>
      </c>
      <c r="K20" s="30" t="s">
        <v>90</v>
      </c>
      <c r="L20" s="30" t="s">
        <v>91</v>
      </c>
      <c r="M20" s="30" t="s">
        <v>92</v>
      </c>
      <c r="N20" s="30" t="s">
        <v>62</v>
      </c>
      <c r="O20" s="30" t="s">
        <v>62</v>
      </c>
      <c r="P20" s="30" t="s">
        <v>62</v>
      </c>
      <c r="Q20" s="30" t="s">
        <v>62</v>
      </c>
      <c r="R20" s="30" t="s">
        <v>77</v>
      </c>
      <c r="S20" s="27" t="s">
        <v>93</v>
      </c>
      <c r="T20" s="27" t="s">
        <v>121</v>
      </c>
    </row>
    <row r="21" spans="1:20" ht="19.5" customHeight="1" x14ac:dyDescent="0.25">
      <c r="A21" s="24" t="s">
        <v>26</v>
      </c>
      <c r="B21" s="24" t="s">
        <v>122</v>
      </c>
      <c r="C21" s="24" t="s">
        <v>123</v>
      </c>
      <c r="D21" s="24" t="s">
        <v>88</v>
      </c>
      <c r="E21" s="50"/>
      <c r="F21" s="51" t="s">
        <v>124</v>
      </c>
      <c r="G21" s="19" t="s">
        <v>55</v>
      </c>
      <c r="H21" s="19" t="s">
        <v>56</v>
      </c>
      <c r="I21" s="19" t="s">
        <v>57</v>
      </c>
      <c r="J21" s="19" t="s">
        <v>58</v>
      </c>
      <c r="K21" s="19" t="s">
        <v>125</v>
      </c>
      <c r="L21" s="19" t="s">
        <v>126</v>
      </c>
      <c r="M21" s="19" t="s">
        <v>127</v>
      </c>
      <c r="N21" s="19" t="s">
        <v>62</v>
      </c>
      <c r="O21" s="19" t="s">
        <v>62</v>
      </c>
      <c r="P21" s="19" t="s">
        <v>62</v>
      </c>
      <c r="Q21" s="19" t="s">
        <v>62</v>
      </c>
      <c r="R21" s="19" t="s">
        <v>128</v>
      </c>
      <c r="S21" s="24" t="s">
        <v>129</v>
      </c>
      <c r="T21" s="24" t="s">
        <v>130</v>
      </c>
    </row>
    <row r="22" spans="1:20" ht="19.5" customHeight="1" x14ac:dyDescent="0.25">
      <c r="A22" s="27" t="s">
        <v>26</v>
      </c>
      <c r="B22" s="27" t="s">
        <v>131</v>
      </c>
      <c r="C22" s="27" t="s">
        <v>123</v>
      </c>
      <c r="D22" s="27" t="s">
        <v>96</v>
      </c>
      <c r="E22" s="38"/>
      <c r="F22" s="39" t="s">
        <v>97</v>
      </c>
      <c r="G22" s="30" t="s">
        <v>55</v>
      </c>
      <c r="H22" s="30" t="s">
        <v>56</v>
      </c>
      <c r="I22" s="30" t="s">
        <v>57</v>
      </c>
      <c r="J22" s="30" t="s">
        <v>58</v>
      </c>
      <c r="K22" s="30" t="s">
        <v>125</v>
      </c>
      <c r="L22" s="30" t="s">
        <v>126</v>
      </c>
      <c r="M22" s="30" t="s">
        <v>127</v>
      </c>
      <c r="N22" s="30" t="s">
        <v>62</v>
      </c>
      <c r="O22" s="30" t="s">
        <v>62</v>
      </c>
      <c r="P22" s="30" t="s">
        <v>62</v>
      </c>
      <c r="Q22" s="30" t="s">
        <v>62</v>
      </c>
      <c r="R22" s="30" t="s">
        <v>128</v>
      </c>
      <c r="S22" s="27" t="s">
        <v>129</v>
      </c>
      <c r="T22" s="27" t="s">
        <v>130</v>
      </c>
    </row>
    <row r="23" spans="1:20" ht="19.5" customHeight="1" x14ac:dyDescent="0.25">
      <c r="A23" s="24" t="s">
        <v>26</v>
      </c>
      <c r="B23" s="24" t="s">
        <v>132</v>
      </c>
      <c r="C23" s="24" t="s">
        <v>123</v>
      </c>
      <c r="D23" s="24" t="s">
        <v>103</v>
      </c>
      <c r="E23" s="52"/>
      <c r="F23" s="53" t="s">
        <v>133</v>
      </c>
      <c r="G23" s="19" t="s">
        <v>55</v>
      </c>
      <c r="H23" s="19" t="s">
        <v>56</v>
      </c>
      <c r="I23" s="19" t="s">
        <v>57</v>
      </c>
      <c r="J23" s="19" t="s">
        <v>58</v>
      </c>
      <c r="K23" s="19" t="s">
        <v>125</v>
      </c>
      <c r="L23" s="19" t="s">
        <v>126</v>
      </c>
      <c r="M23" s="19" t="s">
        <v>127</v>
      </c>
      <c r="N23" s="19" t="s">
        <v>62</v>
      </c>
      <c r="O23" s="19" t="s">
        <v>62</v>
      </c>
      <c r="P23" s="19" t="s">
        <v>62</v>
      </c>
      <c r="Q23" s="19" t="s">
        <v>62</v>
      </c>
      <c r="R23" s="19" t="s">
        <v>128</v>
      </c>
      <c r="S23" s="24" t="s">
        <v>129</v>
      </c>
      <c r="T23" s="24" t="s">
        <v>130</v>
      </c>
    </row>
    <row r="24" spans="1:20" ht="19.5" customHeight="1" x14ac:dyDescent="0.25">
      <c r="A24" s="27" t="s">
        <v>26</v>
      </c>
      <c r="B24" s="27" t="s">
        <v>134</v>
      </c>
      <c r="C24" s="27" t="s">
        <v>123</v>
      </c>
      <c r="D24" s="27" t="s">
        <v>135</v>
      </c>
      <c r="E24" s="33"/>
      <c r="F24" s="34" t="s">
        <v>76</v>
      </c>
      <c r="G24" s="30" t="s">
        <v>55</v>
      </c>
      <c r="H24" s="30" t="s">
        <v>56</v>
      </c>
      <c r="I24" s="30" t="s">
        <v>57</v>
      </c>
      <c r="J24" s="30" t="s">
        <v>58</v>
      </c>
      <c r="K24" s="30" t="s">
        <v>125</v>
      </c>
      <c r="L24" s="30" t="s">
        <v>126</v>
      </c>
      <c r="M24" s="30" t="s">
        <v>127</v>
      </c>
      <c r="N24" s="30" t="s">
        <v>62</v>
      </c>
      <c r="O24" s="30" t="s">
        <v>62</v>
      </c>
      <c r="P24" s="30" t="s">
        <v>62</v>
      </c>
      <c r="Q24" s="30" t="s">
        <v>62</v>
      </c>
      <c r="R24" s="30" t="s">
        <v>77</v>
      </c>
      <c r="S24" s="27" t="s">
        <v>136</v>
      </c>
      <c r="T24" s="27" t="s">
        <v>137</v>
      </c>
    </row>
    <row r="25" spans="1:20" ht="19.5" customHeight="1" x14ac:dyDescent="0.25">
      <c r="A25" s="24" t="s">
        <v>26</v>
      </c>
      <c r="B25" s="24" t="s">
        <v>138</v>
      </c>
      <c r="C25" s="24" t="s">
        <v>123</v>
      </c>
      <c r="D25" s="24" t="s">
        <v>139</v>
      </c>
      <c r="E25" s="54"/>
      <c r="F25" s="55" t="s">
        <v>140</v>
      </c>
      <c r="G25" s="19" t="s">
        <v>55</v>
      </c>
      <c r="H25" s="19" t="s">
        <v>56</v>
      </c>
      <c r="I25" s="19" t="s">
        <v>57</v>
      </c>
      <c r="J25" s="19" t="s">
        <v>58</v>
      </c>
      <c r="K25" s="19" t="s">
        <v>125</v>
      </c>
      <c r="L25" s="19" t="s">
        <v>126</v>
      </c>
      <c r="M25" s="19" t="s">
        <v>127</v>
      </c>
      <c r="N25" s="19" t="s">
        <v>62</v>
      </c>
      <c r="O25" s="19" t="s">
        <v>62</v>
      </c>
      <c r="P25" s="19" t="s">
        <v>62</v>
      </c>
      <c r="Q25" s="19" t="s">
        <v>62</v>
      </c>
      <c r="R25" s="19" t="s">
        <v>128</v>
      </c>
      <c r="S25" s="24" t="s">
        <v>129</v>
      </c>
      <c r="T25" s="24" t="s">
        <v>130</v>
      </c>
    </row>
    <row r="26" spans="1:20" ht="19.5" customHeight="1" x14ac:dyDescent="0.25">
      <c r="A26" s="27" t="s">
        <v>26</v>
      </c>
      <c r="B26" s="27" t="s">
        <v>141</v>
      </c>
      <c r="C26" s="27" t="s">
        <v>123</v>
      </c>
      <c r="D26" s="27" t="s">
        <v>75</v>
      </c>
      <c r="E26" s="33"/>
      <c r="F26" s="34" t="s">
        <v>142</v>
      </c>
      <c r="G26" s="30" t="s">
        <v>55</v>
      </c>
      <c r="H26" s="30" t="s">
        <v>56</v>
      </c>
      <c r="I26" s="30" t="s">
        <v>57</v>
      </c>
      <c r="J26" s="30" t="s">
        <v>58</v>
      </c>
      <c r="K26" s="30" t="s">
        <v>125</v>
      </c>
      <c r="L26" s="30" t="s">
        <v>126</v>
      </c>
      <c r="M26" s="30" t="s">
        <v>127</v>
      </c>
      <c r="N26" s="30" t="s">
        <v>62</v>
      </c>
      <c r="O26" s="30" t="s">
        <v>62</v>
      </c>
      <c r="P26" s="30" t="s">
        <v>62</v>
      </c>
      <c r="Q26" s="30" t="s">
        <v>62</v>
      </c>
      <c r="R26" s="30" t="s">
        <v>128</v>
      </c>
      <c r="S26" s="27" t="s">
        <v>129</v>
      </c>
      <c r="T26" s="27" t="s">
        <v>130</v>
      </c>
    </row>
    <row r="27" spans="1:20" ht="19.5" customHeight="1" x14ac:dyDescent="0.25">
      <c r="A27" s="24" t="s">
        <v>26</v>
      </c>
      <c r="B27" s="24" t="s">
        <v>143</v>
      </c>
      <c r="C27" s="24" t="s">
        <v>123</v>
      </c>
      <c r="D27" s="24" t="s">
        <v>144</v>
      </c>
      <c r="E27" s="56"/>
      <c r="F27" s="26" t="s">
        <v>145</v>
      </c>
      <c r="G27" s="19" t="s">
        <v>55</v>
      </c>
      <c r="H27" s="19" t="s">
        <v>56</v>
      </c>
      <c r="I27" s="19" t="s">
        <v>57</v>
      </c>
      <c r="J27" s="19" t="s">
        <v>58</v>
      </c>
      <c r="K27" s="19" t="s">
        <v>125</v>
      </c>
      <c r="L27" s="19" t="s">
        <v>126</v>
      </c>
      <c r="M27" s="19" t="s">
        <v>127</v>
      </c>
      <c r="N27" s="19" t="s">
        <v>62</v>
      </c>
      <c r="O27" s="19" t="s">
        <v>62</v>
      </c>
      <c r="P27" s="19" t="s">
        <v>62</v>
      </c>
      <c r="Q27" s="19" t="s">
        <v>62</v>
      </c>
      <c r="R27" s="19" t="s">
        <v>128</v>
      </c>
      <c r="S27" s="24" t="s">
        <v>129</v>
      </c>
      <c r="T27" s="24" t="s">
        <v>130</v>
      </c>
    </row>
    <row r="28" spans="1:20" ht="19.5" customHeight="1" x14ac:dyDescent="0.25">
      <c r="A28" s="27" t="s">
        <v>26</v>
      </c>
      <c r="B28" s="27" t="s">
        <v>146</v>
      </c>
      <c r="C28" s="27" t="s">
        <v>123</v>
      </c>
      <c r="D28" s="27" t="s">
        <v>108</v>
      </c>
      <c r="E28" s="57"/>
      <c r="F28" s="58" t="s">
        <v>147</v>
      </c>
      <c r="G28" s="30" t="s">
        <v>55</v>
      </c>
      <c r="H28" s="30" t="s">
        <v>56</v>
      </c>
      <c r="I28" s="30" t="s">
        <v>57</v>
      </c>
      <c r="J28" s="30" t="s">
        <v>58</v>
      </c>
      <c r="K28" s="30" t="s">
        <v>125</v>
      </c>
      <c r="L28" s="30" t="s">
        <v>126</v>
      </c>
      <c r="M28" s="30" t="s">
        <v>127</v>
      </c>
      <c r="N28" s="30" t="s">
        <v>62</v>
      </c>
      <c r="O28" s="30" t="s">
        <v>62</v>
      </c>
      <c r="P28" s="30" t="s">
        <v>62</v>
      </c>
      <c r="Q28" s="30" t="s">
        <v>62</v>
      </c>
      <c r="R28" s="30" t="s">
        <v>128</v>
      </c>
      <c r="S28" s="27" t="s">
        <v>129</v>
      </c>
      <c r="T28" s="27" t="s">
        <v>130</v>
      </c>
    </row>
    <row r="29" spans="1:20" ht="19.5" customHeight="1" x14ac:dyDescent="0.25">
      <c r="A29" s="24" t="s">
        <v>26</v>
      </c>
      <c r="B29" s="24" t="s">
        <v>148</v>
      </c>
      <c r="C29" s="24" t="s">
        <v>123</v>
      </c>
      <c r="D29" s="24" t="s">
        <v>149</v>
      </c>
      <c r="E29" s="59"/>
      <c r="F29" s="60" t="s">
        <v>150</v>
      </c>
      <c r="G29" s="19" t="s">
        <v>55</v>
      </c>
      <c r="H29" s="19" t="s">
        <v>56</v>
      </c>
      <c r="I29" s="19" t="s">
        <v>57</v>
      </c>
      <c r="J29" s="19" t="s">
        <v>58</v>
      </c>
      <c r="K29" s="19" t="s">
        <v>125</v>
      </c>
      <c r="L29" s="19" t="s">
        <v>126</v>
      </c>
      <c r="M29" s="19" t="s">
        <v>127</v>
      </c>
      <c r="N29" s="19" t="s">
        <v>62</v>
      </c>
      <c r="O29" s="19" t="s">
        <v>62</v>
      </c>
      <c r="P29" s="19" t="s">
        <v>62</v>
      </c>
      <c r="Q29" s="19" t="s">
        <v>62</v>
      </c>
      <c r="R29" s="19" t="s">
        <v>128</v>
      </c>
      <c r="S29" s="24" t="s">
        <v>129</v>
      </c>
      <c r="T29" s="24" t="s">
        <v>130</v>
      </c>
    </row>
    <row r="30" spans="1:20" ht="19.5" customHeight="1" x14ac:dyDescent="0.25">
      <c r="A30" s="27" t="s">
        <v>26</v>
      </c>
      <c r="B30" s="27" t="s">
        <v>151</v>
      </c>
      <c r="C30" s="27" t="s">
        <v>123</v>
      </c>
      <c r="D30" s="27" t="s">
        <v>152</v>
      </c>
      <c r="E30" s="61"/>
      <c r="F30" s="62" t="s">
        <v>153</v>
      </c>
      <c r="G30" s="30" t="s">
        <v>55</v>
      </c>
      <c r="H30" s="30" t="s">
        <v>56</v>
      </c>
      <c r="I30" s="30" t="s">
        <v>57</v>
      </c>
      <c r="J30" s="30" t="s">
        <v>58</v>
      </c>
      <c r="K30" s="30" t="s">
        <v>125</v>
      </c>
      <c r="L30" s="30" t="s">
        <v>126</v>
      </c>
      <c r="M30" s="30" t="s">
        <v>127</v>
      </c>
      <c r="N30" s="30" t="s">
        <v>62</v>
      </c>
      <c r="O30" s="30" t="s">
        <v>62</v>
      </c>
      <c r="P30" s="30" t="s">
        <v>62</v>
      </c>
      <c r="Q30" s="30" t="s">
        <v>62</v>
      </c>
      <c r="R30" s="30" t="s">
        <v>128</v>
      </c>
      <c r="S30" s="27" t="s">
        <v>129</v>
      </c>
      <c r="T30" s="27" t="s">
        <v>130</v>
      </c>
    </row>
    <row r="31" spans="1:20" ht="19.5" customHeight="1" x14ac:dyDescent="0.25">
      <c r="A31" s="24" t="s">
        <v>26</v>
      </c>
      <c r="B31" s="24" t="s">
        <v>154</v>
      </c>
      <c r="C31" s="24" t="s">
        <v>123</v>
      </c>
      <c r="D31" s="24" t="s">
        <v>81</v>
      </c>
      <c r="E31" s="44"/>
      <c r="F31" s="45" t="s">
        <v>111</v>
      </c>
      <c r="G31" s="19" t="s">
        <v>55</v>
      </c>
      <c r="H31" s="19" t="s">
        <v>56</v>
      </c>
      <c r="I31" s="19" t="s">
        <v>57</v>
      </c>
      <c r="J31" s="19" t="s">
        <v>58</v>
      </c>
      <c r="K31" s="19" t="s">
        <v>125</v>
      </c>
      <c r="L31" s="19" t="s">
        <v>126</v>
      </c>
      <c r="M31" s="19" t="s">
        <v>127</v>
      </c>
      <c r="N31" s="19" t="s">
        <v>62</v>
      </c>
      <c r="O31" s="19" t="s">
        <v>62</v>
      </c>
      <c r="P31" s="19" t="s">
        <v>62</v>
      </c>
      <c r="Q31" s="19" t="s">
        <v>62</v>
      </c>
      <c r="R31" s="19" t="s">
        <v>128</v>
      </c>
      <c r="S31" s="24" t="s">
        <v>129</v>
      </c>
      <c r="T31" s="24" t="s">
        <v>130</v>
      </c>
    </row>
    <row r="32" spans="1:20" ht="19.5" customHeight="1" x14ac:dyDescent="0.25">
      <c r="A32" s="27" t="s">
        <v>26</v>
      </c>
      <c r="B32" s="27" t="s">
        <v>155</v>
      </c>
      <c r="C32" s="27" t="s">
        <v>123</v>
      </c>
      <c r="D32" s="27" t="s">
        <v>156</v>
      </c>
      <c r="E32" s="63"/>
      <c r="F32" s="64" t="s">
        <v>157</v>
      </c>
      <c r="G32" s="30" t="s">
        <v>55</v>
      </c>
      <c r="H32" s="30" t="s">
        <v>56</v>
      </c>
      <c r="I32" s="30" t="s">
        <v>57</v>
      </c>
      <c r="J32" s="30" t="s">
        <v>58</v>
      </c>
      <c r="K32" s="30" t="s">
        <v>125</v>
      </c>
      <c r="L32" s="30" t="s">
        <v>126</v>
      </c>
      <c r="M32" s="30" t="s">
        <v>127</v>
      </c>
      <c r="N32" s="30" t="s">
        <v>62</v>
      </c>
      <c r="O32" s="30" t="s">
        <v>62</v>
      </c>
      <c r="P32" s="30" t="s">
        <v>62</v>
      </c>
      <c r="Q32" s="30" t="s">
        <v>62</v>
      </c>
      <c r="R32" s="30" t="s">
        <v>128</v>
      </c>
      <c r="S32" s="27" t="s">
        <v>129</v>
      </c>
      <c r="T32" s="27" t="s">
        <v>130</v>
      </c>
    </row>
    <row r="33" spans="1:20" ht="19.5" customHeight="1" x14ac:dyDescent="0.25">
      <c r="A33" s="24" t="s">
        <v>26</v>
      </c>
      <c r="B33" s="24" t="s">
        <v>158</v>
      </c>
      <c r="C33" s="24" t="s">
        <v>123</v>
      </c>
      <c r="D33" s="24" t="s">
        <v>159</v>
      </c>
      <c r="E33" s="65"/>
      <c r="F33" s="66" t="s">
        <v>160</v>
      </c>
      <c r="G33" s="19" t="s">
        <v>55</v>
      </c>
      <c r="H33" s="19" t="s">
        <v>56</v>
      </c>
      <c r="I33" s="19" t="s">
        <v>57</v>
      </c>
      <c r="J33" s="19" t="s">
        <v>58</v>
      </c>
      <c r="K33" s="19" t="s">
        <v>125</v>
      </c>
      <c r="L33" s="19" t="s">
        <v>126</v>
      </c>
      <c r="M33" s="19" t="s">
        <v>127</v>
      </c>
      <c r="N33" s="19" t="s">
        <v>62</v>
      </c>
      <c r="O33" s="19" t="s">
        <v>62</v>
      </c>
      <c r="P33" s="19" t="s">
        <v>62</v>
      </c>
      <c r="Q33" s="19" t="s">
        <v>62</v>
      </c>
      <c r="R33" s="19" t="s">
        <v>128</v>
      </c>
      <c r="S33" s="24" t="s">
        <v>129</v>
      </c>
      <c r="T33" s="24" t="s">
        <v>130</v>
      </c>
    </row>
    <row r="34" spans="1:20" ht="19.5" customHeight="1" x14ac:dyDescent="0.25">
      <c r="A34" s="27" t="s">
        <v>26</v>
      </c>
      <c r="B34" s="27" t="s">
        <v>161</v>
      </c>
      <c r="C34" s="27" t="s">
        <v>123</v>
      </c>
      <c r="D34" s="27" t="s">
        <v>113</v>
      </c>
      <c r="E34" s="46"/>
      <c r="F34" s="67" t="s">
        <v>162</v>
      </c>
      <c r="G34" s="30" t="s">
        <v>55</v>
      </c>
      <c r="H34" s="30" t="s">
        <v>56</v>
      </c>
      <c r="I34" s="30" t="s">
        <v>57</v>
      </c>
      <c r="J34" s="30" t="s">
        <v>58</v>
      </c>
      <c r="K34" s="30" t="s">
        <v>125</v>
      </c>
      <c r="L34" s="30" t="s">
        <v>126</v>
      </c>
      <c r="M34" s="30" t="s">
        <v>127</v>
      </c>
      <c r="N34" s="30" t="s">
        <v>62</v>
      </c>
      <c r="O34" s="30" t="s">
        <v>62</v>
      </c>
      <c r="P34" s="30" t="s">
        <v>62</v>
      </c>
      <c r="Q34" s="30" t="s">
        <v>62</v>
      </c>
      <c r="R34" s="30" t="s">
        <v>128</v>
      </c>
      <c r="S34" s="27" t="s">
        <v>129</v>
      </c>
      <c r="T34" s="27" t="s">
        <v>130</v>
      </c>
    </row>
    <row r="35" spans="1:20" ht="19.5" customHeight="1" x14ac:dyDescent="0.25">
      <c r="A35" s="24" t="s">
        <v>26</v>
      </c>
      <c r="B35" s="24" t="s">
        <v>163</v>
      </c>
      <c r="C35" s="24" t="s">
        <v>123</v>
      </c>
      <c r="D35" s="24" t="s">
        <v>164</v>
      </c>
      <c r="E35" s="68"/>
      <c r="F35" s="69" t="s">
        <v>165</v>
      </c>
      <c r="G35" s="19" t="s">
        <v>55</v>
      </c>
      <c r="H35" s="19" t="s">
        <v>56</v>
      </c>
      <c r="I35" s="19" t="s">
        <v>57</v>
      </c>
      <c r="J35" s="19" t="s">
        <v>58</v>
      </c>
      <c r="K35" s="19" t="s">
        <v>125</v>
      </c>
      <c r="L35" s="19" t="s">
        <v>126</v>
      </c>
      <c r="M35" s="19" t="s">
        <v>127</v>
      </c>
      <c r="N35" s="19" t="s">
        <v>62</v>
      </c>
      <c r="O35" s="19" t="s">
        <v>62</v>
      </c>
      <c r="P35" s="19" t="s">
        <v>62</v>
      </c>
      <c r="Q35" s="19" t="s">
        <v>62</v>
      </c>
      <c r="R35" s="19" t="s">
        <v>128</v>
      </c>
      <c r="S35" s="24" t="s">
        <v>129</v>
      </c>
      <c r="T35" s="24" t="s">
        <v>166</v>
      </c>
    </row>
    <row r="36" spans="1:20" ht="19.5" customHeight="1" x14ac:dyDescent="0.25">
      <c r="A36" s="27" t="s">
        <v>26</v>
      </c>
      <c r="B36" s="27" t="s">
        <v>167</v>
      </c>
      <c r="C36" s="27" t="s">
        <v>123</v>
      </c>
      <c r="D36" s="27" t="s">
        <v>84</v>
      </c>
      <c r="E36" s="19"/>
      <c r="F36" s="37" t="s">
        <v>85</v>
      </c>
      <c r="G36" s="30" t="s">
        <v>55</v>
      </c>
      <c r="H36" s="30" t="s">
        <v>56</v>
      </c>
      <c r="I36" s="30" t="s">
        <v>57</v>
      </c>
      <c r="J36" s="30" t="s">
        <v>58</v>
      </c>
      <c r="K36" s="30" t="s">
        <v>125</v>
      </c>
      <c r="L36" s="30" t="s">
        <v>126</v>
      </c>
      <c r="M36" s="30" t="s">
        <v>127</v>
      </c>
      <c r="N36" s="30" t="s">
        <v>62</v>
      </c>
      <c r="O36" s="30" t="s">
        <v>62</v>
      </c>
      <c r="P36" s="30" t="s">
        <v>62</v>
      </c>
      <c r="Q36" s="30" t="s">
        <v>62</v>
      </c>
      <c r="R36" s="30" t="s">
        <v>128</v>
      </c>
      <c r="S36" s="27" t="s">
        <v>129</v>
      </c>
      <c r="T36" s="27" t="s">
        <v>130</v>
      </c>
    </row>
    <row r="37" spans="1:20" ht="19.5" customHeight="1" x14ac:dyDescent="0.25">
      <c r="A37" s="24" t="s">
        <v>26</v>
      </c>
      <c r="B37" s="24" t="s">
        <v>168</v>
      </c>
      <c r="C37" s="24" t="s">
        <v>123</v>
      </c>
      <c r="D37" s="24" t="s">
        <v>169</v>
      </c>
      <c r="E37" s="70"/>
      <c r="F37" s="71" t="s">
        <v>170</v>
      </c>
      <c r="G37" s="19" t="s">
        <v>55</v>
      </c>
      <c r="H37" s="19" t="s">
        <v>56</v>
      </c>
      <c r="I37" s="19" t="s">
        <v>57</v>
      </c>
      <c r="J37" s="19" t="s">
        <v>58</v>
      </c>
      <c r="K37" s="19" t="s">
        <v>125</v>
      </c>
      <c r="L37" s="19" t="s">
        <v>126</v>
      </c>
      <c r="M37" s="19" t="s">
        <v>127</v>
      </c>
      <c r="N37" s="19" t="s">
        <v>62</v>
      </c>
      <c r="O37" s="19" t="s">
        <v>62</v>
      </c>
      <c r="P37" s="19" t="s">
        <v>62</v>
      </c>
      <c r="Q37" s="19" t="s">
        <v>62</v>
      </c>
      <c r="R37" s="19" t="s">
        <v>128</v>
      </c>
      <c r="S37" s="24" t="s">
        <v>129</v>
      </c>
      <c r="T37" s="24" t="s">
        <v>130</v>
      </c>
    </row>
    <row r="38" spans="1:20" ht="19.5" customHeight="1" x14ac:dyDescent="0.25">
      <c r="A38" s="27" t="s">
        <v>26</v>
      </c>
      <c r="B38" s="27" t="s">
        <v>171</v>
      </c>
      <c r="C38" s="27" t="s">
        <v>123</v>
      </c>
      <c r="D38" s="27" t="s">
        <v>120</v>
      </c>
      <c r="E38" s="72"/>
      <c r="F38" s="73" t="s">
        <v>172</v>
      </c>
      <c r="G38" s="30" t="s">
        <v>55</v>
      </c>
      <c r="H38" s="30" t="s">
        <v>56</v>
      </c>
      <c r="I38" s="30" t="s">
        <v>57</v>
      </c>
      <c r="J38" s="30" t="s">
        <v>58</v>
      </c>
      <c r="K38" s="30" t="s">
        <v>125</v>
      </c>
      <c r="L38" s="30" t="s">
        <v>126</v>
      </c>
      <c r="M38" s="30" t="s">
        <v>127</v>
      </c>
      <c r="N38" s="30" t="s">
        <v>62</v>
      </c>
      <c r="O38" s="30" t="s">
        <v>62</v>
      </c>
      <c r="P38" s="30" t="s">
        <v>62</v>
      </c>
      <c r="Q38" s="30" t="s">
        <v>62</v>
      </c>
      <c r="R38" s="30" t="s">
        <v>128</v>
      </c>
      <c r="S38" s="27" t="s">
        <v>129</v>
      </c>
      <c r="T38" s="27" t="s">
        <v>130</v>
      </c>
    </row>
    <row r="39" spans="1:20" ht="19.5" customHeight="1" x14ac:dyDescent="0.25">
      <c r="A39" s="24" t="s">
        <v>27</v>
      </c>
      <c r="B39" s="24" t="s">
        <v>173</v>
      </c>
      <c r="C39" s="24" t="s">
        <v>174</v>
      </c>
      <c r="D39" s="24" t="s">
        <v>175</v>
      </c>
      <c r="E39" s="33"/>
      <c r="F39" s="34" t="s">
        <v>76</v>
      </c>
      <c r="G39" s="19" t="s">
        <v>55</v>
      </c>
      <c r="H39" s="19" t="s">
        <v>89</v>
      </c>
      <c r="I39" s="19" t="s">
        <v>57</v>
      </c>
      <c r="J39" s="19" t="s">
        <v>58</v>
      </c>
      <c r="K39" s="19" t="s">
        <v>176</v>
      </c>
      <c r="L39" s="19" t="s">
        <v>177</v>
      </c>
      <c r="M39" s="19" t="s">
        <v>178</v>
      </c>
      <c r="N39" s="19" t="s">
        <v>62</v>
      </c>
      <c r="O39" s="19" t="s">
        <v>62</v>
      </c>
      <c r="P39" s="19" t="s">
        <v>62</v>
      </c>
      <c r="Q39" s="19" t="s">
        <v>62</v>
      </c>
      <c r="R39" s="19" t="s">
        <v>77</v>
      </c>
      <c r="S39" s="24" t="s">
        <v>179</v>
      </c>
      <c r="T39" s="24" t="s">
        <v>94</v>
      </c>
    </row>
    <row r="40" spans="1:20" ht="19.5" customHeight="1" x14ac:dyDescent="0.25">
      <c r="A40" s="27" t="s">
        <v>27</v>
      </c>
      <c r="B40" s="27" t="s">
        <v>180</v>
      </c>
      <c r="C40" s="27" t="s">
        <v>174</v>
      </c>
      <c r="D40" s="27" t="s">
        <v>88</v>
      </c>
      <c r="E40" s="74"/>
      <c r="F40" s="75" t="s">
        <v>181</v>
      </c>
      <c r="G40" s="30" t="s">
        <v>55</v>
      </c>
      <c r="H40" s="30" t="s">
        <v>89</v>
      </c>
      <c r="I40" s="30" t="s">
        <v>57</v>
      </c>
      <c r="J40" s="30" t="s">
        <v>58</v>
      </c>
      <c r="K40" s="30" t="s">
        <v>176</v>
      </c>
      <c r="L40" s="30" t="s">
        <v>177</v>
      </c>
      <c r="M40" s="30" t="s">
        <v>178</v>
      </c>
      <c r="N40" s="30" t="s">
        <v>62</v>
      </c>
      <c r="O40" s="30" t="s">
        <v>62</v>
      </c>
      <c r="P40" s="30" t="s">
        <v>62</v>
      </c>
      <c r="Q40" s="30" t="s">
        <v>62</v>
      </c>
      <c r="R40" s="30" t="s">
        <v>64</v>
      </c>
      <c r="S40" s="27" t="s">
        <v>182</v>
      </c>
      <c r="T40" s="27" t="s">
        <v>99</v>
      </c>
    </row>
    <row r="41" spans="1:20" ht="19.5" customHeight="1" x14ac:dyDescent="0.25">
      <c r="A41" s="24" t="s">
        <v>27</v>
      </c>
      <c r="B41" s="24" t="s">
        <v>183</v>
      </c>
      <c r="C41" s="24" t="s">
        <v>174</v>
      </c>
      <c r="D41" s="24" t="s">
        <v>96</v>
      </c>
      <c r="E41" s="33"/>
      <c r="F41" s="34" t="s">
        <v>76</v>
      </c>
      <c r="G41" s="19" t="s">
        <v>55</v>
      </c>
      <c r="H41" s="19" t="s">
        <v>89</v>
      </c>
      <c r="I41" s="19" t="s">
        <v>57</v>
      </c>
      <c r="J41" s="19" t="s">
        <v>58</v>
      </c>
      <c r="K41" s="19" t="s">
        <v>176</v>
      </c>
      <c r="L41" s="19" t="s">
        <v>177</v>
      </c>
      <c r="M41" s="19" t="s">
        <v>178</v>
      </c>
      <c r="N41" s="19" t="s">
        <v>62</v>
      </c>
      <c r="O41" s="19" t="s">
        <v>62</v>
      </c>
      <c r="P41" s="19" t="s">
        <v>62</v>
      </c>
      <c r="Q41" s="19" t="s">
        <v>62</v>
      </c>
      <c r="R41" s="19" t="s">
        <v>77</v>
      </c>
      <c r="S41" s="24" t="s">
        <v>179</v>
      </c>
      <c r="T41" s="24" t="s">
        <v>94</v>
      </c>
    </row>
    <row r="42" spans="1:20" ht="19.5" customHeight="1" x14ac:dyDescent="0.25">
      <c r="A42" s="27" t="s">
        <v>27</v>
      </c>
      <c r="B42" s="27" t="s">
        <v>184</v>
      </c>
      <c r="C42" s="27" t="s">
        <v>174</v>
      </c>
      <c r="D42" s="27" t="s">
        <v>185</v>
      </c>
      <c r="E42" s="33"/>
      <c r="F42" s="34" t="s">
        <v>76</v>
      </c>
      <c r="G42" s="30" t="s">
        <v>55</v>
      </c>
      <c r="H42" s="30" t="s">
        <v>89</v>
      </c>
      <c r="I42" s="30" t="s">
        <v>57</v>
      </c>
      <c r="J42" s="30" t="s">
        <v>58</v>
      </c>
      <c r="K42" s="30" t="s">
        <v>176</v>
      </c>
      <c r="L42" s="30" t="s">
        <v>177</v>
      </c>
      <c r="M42" s="30" t="s">
        <v>178</v>
      </c>
      <c r="N42" s="30" t="s">
        <v>62</v>
      </c>
      <c r="O42" s="30" t="s">
        <v>62</v>
      </c>
      <c r="P42" s="30" t="s">
        <v>62</v>
      </c>
      <c r="Q42" s="30" t="s">
        <v>62</v>
      </c>
      <c r="R42" s="30" t="s">
        <v>77</v>
      </c>
      <c r="S42" s="27" t="s">
        <v>179</v>
      </c>
      <c r="T42" s="27" t="s">
        <v>94</v>
      </c>
    </row>
    <row r="43" spans="1:20" ht="19.5" customHeight="1" x14ac:dyDescent="0.25">
      <c r="A43" s="24" t="s">
        <v>27</v>
      </c>
      <c r="B43" s="24" t="s">
        <v>186</v>
      </c>
      <c r="C43" s="24" t="s">
        <v>174</v>
      </c>
      <c r="D43" s="24" t="s">
        <v>187</v>
      </c>
      <c r="E43" s="52"/>
      <c r="F43" s="53" t="s">
        <v>133</v>
      </c>
      <c r="G43" s="19" t="s">
        <v>55</v>
      </c>
      <c r="H43" s="19" t="s">
        <v>89</v>
      </c>
      <c r="I43" s="19" t="s">
        <v>57</v>
      </c>
      <c r="J43" s="19" t="s">
        <v>58</v>
      </c>
      <c r="K43" s="19" t="s">
        <v>176</v>
      </c>
      <c r="L43" s="19" t="s">
        <v>177</v>
      </c>
      <c r="M43" s="19" t="s">
        <v>178</v>
      </c>
      <c r="N43" s="19" t="s">
        <v>62</v>
      </c>
      <c r="O43" s="19" t="s">
        <v>62</v>
      </c>
      <c r="P43" s="19" t="s">
        <v>62</v>
      </c>
      <c r="Q43" s="19" t="s">
        <v>62</v>
      </c>
      <c r="R43" s="19" t="s">
        <v>64</v>
      </c>
      <c r="S43" s="24" t="s">
        <v>188</v>
      </c>
      <c r="T43" s="24" t="s">
        <v>99</v>
      </c>
    </row>
    <row r="44" spans="1:20" ht="19.5" customHeight="1" x14ac:dyDescent="0.25">
      <c r="A44" s="27" t="s">
        <v>27</v>
      </c>
      <c r="B44" s="27" t="s">
        <v>189</v>
      </c>
      <c r="C44" s="27" t="s">
        <v>174</v>
      </c>
      <c r="D44" s="27" t="s">
        <v>190</v>
      </c>
      <c r="E44" s="33"/>
      <c r="F44" s="34" t="s">
        <v>76</v>
      </c>
      <c r="G44" s="30" t="s">
        <v>55</v>
      </c>
      <c r="H44" s="30" t="s">
        <v>89</v>
      </c>
      <c r="I44" s="30" t="s">
        <v>57</v>
      </c>
      <c r="J44" s="30" t="s">
        <v>58</v>
      </c>
      <c r="K44" s="30" t="s">
        <v>176</v>
      </c>
      <c r="L44" s="30" t="s">
        <v>177</v>
      </c>
      <c r="M44" s="30" t="s">
        <v>178</v>
      </c>
      <c r="N44" s="30" t="s">
        <v>62</v>
      </c>
      <c r="O44" s="30" t="s">
        <v>62</v>
      </c>
      <c r="P44" s="30" t="s">
        <v>62</v>
      </c>
      <c r="Q44" s="30" t="s">
        <v>62</v>
      </c>
      <c r="R44" s="30" t="s">
        <v>77</v>
      </c>
      <c r="S44" s="27" t="s">
        <v>179</v>
      </c>
      <c r="T44" s="27" t="s">
        <v>94</v>
      </c>
    </row>
    <row r="45" spans="1:20" ht="19.5" customHeight="1" x14ac:dyDescent="0.25">
      <c r="A45" s="24" t="s">
        <v>27</v>
      </c>
      <c r="B45" s="24" t="s">
        <v>191</v>
      </c>
      <c r="C45" s="24" t="s">
        <v>174</v>
      </c>
      <c r="D45" s="24" t="s">
        <v>105</v>
      </c>
      <c r="E45" s="33"/>
      <c r="F45" s="34" t="s">
        <v>76</v>
      </c>
      <c r="G45" s="19" t="s">
        <v>55</v>
      </c>
      <c r="H45" s="19" t="s">
        <v>89</v>
      </c>
      <c r="I45" s="19" t="s">
        <v>57</v>
      </c>
      <c r="J45" s="19" t="s">
        <v>58</v>
      </c>
      <c r="K45" s="19" t="s">
        <v>176</v>
      </c>
      <c r="L45" s="19" t="s">
        <v>177</v>
      </c>
      <c r="M45" s="19" t="s">
        <v>178</v>
      </c>
      <c r="N45" s="19" t="s">
        <v>62</v>
      </c>
      <c r="O45" s="19" t="s">
        <v>62</v>
      </c>
      <c r="P45" s="19" t="s">
        <v>62</v>
      </c>
      <c r="Q45" s="19" t="s">
        <v>62</v>
      </c>
      <c r="R45" s="19" t="s">
        <v>77</v>
      </c>
      <c r="S45" s="24" t="s">
        <v>179</v>
      </c>
      <c r="T45" s="24" t="s">
        <v>94</v>
      </c>
    </row>
    <row r="46" spans="1:20" ht="19.5" customHeight="1" x14ac:dyDescent="0.25">
      <c r="A46" s="27" t="s">
        <v>27</v>
      </c>
      <c r="B46" s="27" t="s">
        <v>192</v>
      </c>
      <c r="C46" s="27" t="s">
        <v>174</v>
      </c>
      <c r="D46" s="27" t="s">
        <v>75</v>
      </c>
      <c r="E46" s="33"/>
      <c r="F46" s="34" t="s">
        <v>76</v>
      </c>
      <c r="G46" s="30" t="s">
        <v>55</v>
      </c>
      <c r="H46" s="30" t="s">
        <v>89</v>
      </c>
      <c r="I46" s="30" t="s">
        <v>57</v>
      </c>
      <c r="J46" s="30" t="s">
        <v>58</v>
      </c>
      <c r="K46" s="30" t="s">
        <v>176</v>
      </c>
      <c r="L46" s="30" t="s">
        <v>177</v>
      </c>
      <c r="M46" s="30" t="s">
        <v>178</v>
      </c>
      <c r="N46" s="30" t="s">
        <v>62</v>
      </c>
      <c r="O46" s="30" t="s">
        <v>62</v>
      </c>
      <c r="P46" s="30" t="s">
        <v>62</v>
      </c>
      <c r="Q46" s="30" t="s">
        <v>62</v>
      </c>
      <c r="R46" s="30" t="s">
        <v>77</v>
      </c>
      <c r="S46" s="27" t="s">
        <v>179</v>
      </c>
      <c r="T46" s="27" t="s">
        <v>94</v>
      </c>
    </row>
    <row r="47" spans="1:20" ht="19.5" customHeight="1" x14ac:dyDescent="0.25">
      <c r="A47" s="24" t="s">
        <v>27</v>
      </c>
      <c r="B47" s="24" t="s">
        <v>193</v>
      </c>
      <c r="C47" s="24" t="s">
        <v>174</v>
      </c>
      <c r="D47" s="24" t="s">
        <v>194</v>
      </c>
      <c r="E47" s="76"/>
      <c r="F47" s="77" t="s">
        <v>195</v>
      </c>
      <c r="G47" s="19" t="s">
        <v>55</v>
      </c>
      <c r="H47" s="19" t="s">
        <v>89</v>
      </c>
      <c r="I47" s="19" t="s">
        <v>57</v>
      </c>
      <c r="J47" s="19" t="s">
        <v>58</v>
      </c>
      <c r="K47" s="19" t="s">
        <v>196</v>
      </c>
      <c r="L47" s="19" t="s">
        <v>177</v>
      </c>
      <c r="M47" s="19" t="s">
        <v>178</v>
      </c>
      <c r="N47" s="19" t="s">
        <v>62</v>
      </c>
      <c r="O47" s="19" t="s">
        <v>62</v>
      </c>
      <c r="P47" s="19" t="s">
        <v>62</v>
      </c>
      <c r="Q47" s="19" t="s">
        <v>62</v>
      </c>
      <c r="R47" s="19" t="s">
        <v>64</v>
      </c>
      <c r="S47" s="24" t="s">
        <v>182</v>
      </c>
      <c r="T47" s="24" t="s">
        <v>99</v>
      </c>
    </row>
    <row r="48" spans="1:20" ht="19.5" customHeight="1" x14ac:dyDescent="0.25">
      <c r="A48" s="27" t="s">
        <v>27</v>
      </c>
      <c r="B48" s="27" t="s">
        <v>197</v>
      </c>
      <c r="C48" s="27" t="s">
        <v>174</v>
      </c>
      <c r="D48" s="27" t="s">
        <v>198</v>
      </c>
      <c r="E48" s="33"/>
      <c r="F48" s="34" t="s">
        <v>76</v>
      </c>
      <c r="G48" s="30" t="s">
        <v>55</v>
      </c>
      <c r="H48" s="30" t="s">
        <v>89</v>
      </c>
      <c r="I48" s="30" t="s">
        <v>57</v>
      </c>
      <c r="J48" s="30" t="s">
        <v>58</v>
      </c>
      <c r="K48" s="30" t="s">
        <v>176</v>
      </c>
      <c r="L48" s="30" t="s">
        <v>177</v>
      </c>
      <c r="M48" s="30" t="s">
        <v>178</v>
      </c>
      <c r="N48" s="30" t="s">
        <v>62</v>
      </c>
      <c r="O48" s="30" t="s">
        <v>62</v>
      </c>
      <c r="P48" s="30" t="s">
        <v>62</v>
      </c>
      <c r="Q48" s="30" t="s">
        <v>62</v>
      </c>
      <c r="R48" s="30" t="s">
        <v>77</v>
      </c>
      <c r="S48" s="27" t="s">
        <v>179</v>
      </c>
      <c r="T48" s="27" t="s">
        <v>94</v>
      </c>
    </row>
    <row r="49" spans="1:20" ht="19.5" customHeight="1" x14ac:dyDescent="0.25">
      <c r="A49" s="24" t="s">
        <v>27</v>
      </c>
      <c r="B49" s="24" t="s">
        <v>199</v>
      </c>
      <c r="C49" s="24" t="s">
        <v>174</v>
      </c>
      <c r="D49" s="24" t="s">
        <v>108</v>
      </c>
      <c r="E49" s="33"/>
      <c r="F49" s="34" t="s">
        <v>76</v>
      </c>
      <c r="G49" s="19" t="s">
        <v>55</v>
      </c>
      <c r="H49" s="19" t="s">
        <v>89</v>
      </c>
      <c r="I49" s="19" t="s">
        <v>57</v>
      </c>
      <c r="J49" s="19" t="s">
        <v>58</v>
      </c>
      <c r="K49" s="19" t="s">
        <v>176</v>
      </c>
      <c r="L49" s="19" t="s">
        <v>177</v>
      </c>
      <c r="M49" s="19" t="s">
        <v>178</v>
      </c>
      <c r="N49" s="19" t="s">
        <v>62</v>
      </c>
      <c r="O49" s="19" t="s">
        <v>62</v>
      </c>
      <c r="P49" s="19" t="s">
        <v>62</v>
      </c>
      <c r="Q49" s="19" t="s">
        <v>62</v>
      </c>
      <c r="R49" s="19" t="s">
        <v>77</v>
      </c>
      <c r="S49" s="24" t="s">
        <v>179</v>
      </c>
      <c r="T49" s="24" t="s">
        <v>94</v>
      </c>
    </row>
    <row r="50" spans="1:20" ht="19.5" customHeight="1" x14ac:dyDescent="0.25">
      <c r="A50" s="27" t="s">
        <v>27</v>
      </c>
      <c r="B50" s="27" t="s">
        <v>200</v>
      </c>
      <c r="C50" s="27" t="s">
        <v>174</v>
      </c>
      <c r="D50" s="27" t="s">
        <v>149</v>
      </c>
      <c r="E50" s="33"/>
      <c r="F50" s="34" t="s">
        <v>76</v>
      </c>
      <c r="G50" s="30" t="s">
        <v>55</v>
      </c>
      <c r="H50" s="30" t="s">
        <v>89</v>
      </c>
      <c r="I50" s="30" t="s">
        <v>57</v>
      </c>
      <c r="J50" s="30" t="s">
        <v>58</v>
      </c>
      <c r="K50" s="30" t="s">
        <v>176</v>
      </c>
      <c r="L50" s="30" t="s">
        <v>177</v>
      </c>
      <c r="M50" s="30" t="s">
        <v>178</v>
      </c>
      <c r="N50" s="30" t="s">
        <v>62</v>
      </c>
      <c r="O50" s="30" t="s">
        <v>62</v>
      </c>
      <c r="P50" s="30" t="s">
        <v>62</v>
      </c>
      <c r="Q50" s="30" t="s">
        <v>62</v>
      </c>
      <c r="R50" s="30" t="s">
        <v>77</v>
      </c>
      <c r="S50" s="27" t="s">
        <v>179</v>
      </c>
      <c r="T50" s="27" t="s">
        <v>94</v>
      </c>
    </row>
    <row r="51" spans="1:20" ht="19.5" customHeight="1" x14ac:dyDescent="0.25">
      <c r="A51" s="24" t="s">
        <v>27</v>
      </c>
      <c r="B51" s="24" t="s">
        <v>201</v>
      </c>
      <c r="C51" s="24" t="s">
        <v>174</v>
      </c>
      <c r="D51" s="24" t="s">
        <v>152</v>
      </c>
      <c r="E51" s="33"/>
      <c r="F51" s="34" t="s">
        <v>76</v>
      </c>
      <c r="G51" s="19" t="s">
        <v>55</v>
      </c>
      <c r="H51" s="19" t="s">
        <v>89</v>
      </c>
      <c r="I51" s="19" t="s">
        <v>57</v>
      </c>
      <c r="J51" s="19" t="s">
        <v>58</v>
      </c>
      <c r="K51" s="19" t="s">
        <v>176</v>
      </c>
      <c r="L51" s="19" t="s">
        <v>177</v>
      </c>
      <c r="M51" s="19" t="s">
        <v>178</v>
      </c>
      <c r="N51" s="19" t="s">
        <v>62</v>
      </c>
      <c r="O51" s="19" t="s">
        <v>62</v>
      </c>
      <c r="P51" s="19" t="s">
        <v>62</v>
      </c>
      <c r="Q51" s="19" t="s">
        <v>62</v>
      </c>
      <c r="R51" s="19" t="s">
        <v>77</v>
      </c>
      <c r="S51" s="24" t="s">
        <v>179</v>
      </c>
      <c r="T51" s="24" t="s">
        <v>94</v>
      </c>
    </row>
    <row r="52" spans="1:20" ht="19.5" customHeight="1" x14ac:dyDescent="0.25">
      <c r="A52" s="27" t="s">
        <v>27</v>
      </c>
      <c r="B52" s="27" t="s">
        <v>202</v>
      </c>
      <c r="C52" s="27" t="s">
        <v>174</v>
      </c>
      <c r="D52" s="27" t="s">
        <v>81</v>
      </c>
      <c r="E52" s="33"/>
      <c r="F52" s="34" t="s">
        <v>76</v>
      </c>
      <c r="G52" s="30" t="s">
        <v>55</v>
      </c>
      <c r="H52" s="30" t="s">
        <v>89</v>
      </c>
      <c r="I52" s="30" t="s">
        <v>57</v>
      </c>
      <c r="J52" s="30" t="s">
        <v>58</v>
      </c>
      <c r="K52" s="30" t="s">
        <v>176</v>
      </c>
      <c r="L52" s="30" t="s">
        <v>177</v>
      </c>
      <c r="M52" s="30" t="s">
        <v>178</v>
      </c>
      <c r="N52" s="30" t="s">
        <v>62</v>
      </c>
      <c r="O52" s="30" t="s">
        <v>62</v>
      </c>
      <c r="P52" s="30" t="s">
        <v>62</v>
      </c>
      <c r="Q52" s="30" t="s">
        <v>62</v>
      </c>
      <c r="R52" s="30" t="s">
        <v>77</v>
      </c>
      <c r="S52" s="27" t="s">
        <v>179</v>
      </c>
      <c r="T52" s="27" t="s">
        <v>94</v>
      </c>
    </row>
    <row r="53" spans="1:20" ht="19.5" customHeight="1" x14ac:dyDescent="0.25">
      <c r="A53" s="24" t="s">
        <v>27</v>
      </c>
      <c r="B53" s="24" t="s">
        <v>203</v>
      </c>
      <c r="C53" s="24" t="s">
        <v>174</v>
      </c>
      <c r="D53" s="24" t="s">
        <v>204</v>
      </c>
      <c r="E53" s="33"/>
      <c r="F53" s="34" t="s">
        <v>76</v>
      </c>
      <c r="G53" s="19" t="s">
        <v>55</v>
      </c>
      <c r="H53" s="19" t="s">
        <v>89</v>
      </c>
      <c r="I53" s="19" t="s">
        <v>57</v>
      </c>
      <c r="J53" s="19" t="s">
        <v>58</v>
      </c>
      <c r="K53" s="19" t="s">
        <v>176</v>
      </c>
      <c r="L53" s="19" t="s">
        <v>177</v>
      </c>
      <c r="M53" s="19" t="s">
        <v>178</v>
      </c>
      <c r="N53" s="19" t="s">
        <v>62</v>
      </c>
      <c r="O53" s="19" t="s">
        <v>62</v>
      </c>
      <c r="P53" s="19" t="s">
        <v>62</v>
      </c>
      <c r="Q53" s="19" t="s">
        <v>62</v>
      </c>
      <c r="R53" s="19" t="s">
        <v>77</v>
      </c>
      <c r="S53" s="24" t="s">
        <v>179</v>
      </c>
      <c r="T53" s="24" t="s">
        <v>94</v>
      </c>
    </row>
    <row r="54" spans="1:20" ht="19.5" customHeight="1" x14ac:dyDescent="0.25">
      <c r="A54" s="27" t="s">
        <v>27</v>
      </c>
      <c r="B54" s="27" t="s">
        <v>205</v>
      </c>
      <c r="C54" s="27" t="s">
        <v>174</v>
      </c>
      <c r="D54" s="27" t="s">
        <v>164</v>
      </c>
      <c r="E54" s="78"/>
      <c r="F54" s="79" t="s">
        <v>206</v>
      </c>
      <c r="G54" s="30" t="s">
        <v>55</v>
      </c>
      <c r="H54" s="30" t="s">
        <v>89</v>
      </c>
      <c r="I54" s="30" t="s">
        <v>57</v>
      </c>
      <c r="J54" s="30" t="s">
        <v>58</v>
      </c>
      <c r="K54" s="30" t="s">
        <v>176</v>
      </c>
      <c r="L54" s="30" t="s">
        <v>177</v>
      </c>
      <c r="M54" s="30" t="s">
        <v>178</v>
      </c>
      <c r="N54" s="30" t="s">
        <v>62</v>
      </c>
      <c r="O54" s="30" t="s">
        <v>62</v>
      </c>
      <c r="P54" s="30" t="s">
        <v>62</v>
      </c>
      <c r="Q54" s="30" t="s">
        <v>62</v>
      </c>
      <c r="R54" s="30" t="s">
        <v>64</v>
      </c>
      <c r="S54" s="27" t="s">
        <v>207</v>
      </c>
      <c r="T54" s="27" t="s">
        <v>99</v>
      </c>
    </row>
    <row r="55" spans="1:20" ht="19.5" customHeight="1" x14ac:dyDescent="0.25">
      <c r="A55" s="24" t="s">
        <v>27</v>
      </c>
      <c r="B55" s="24" t="s">
        <v>208</v>
      </c>
      <c r="C55" s="24" t="s">
        <v>174</v>
      </c>
      <c r="D55" s="24" t="s">
        <v>209</v>
      </c>
      <c r="E55" s="33"/>
      <c r="F55" s="34" t="s">
        <v>76</v>
      </c>
      <c r="G55" s="19" t="s">
        <v>55</v>
      </c>
      <c r="H55" s="19" t="s">
        <v>89</v>
      </c>
      <c r="I55" s="19" t="s">
        <v>57</v>
      </c>
      <c r="J55" s="19" t="s">
        <v>58</v>
      </c>
      <c r="K55" s="19" t="s">
        <v>176</v>
      </c>
      <c r="L55" s="19" t="s">
        <v>177</v>
      </c>
      <c r="M55" s="19" t="s">
        <v>178</v>
      </c>
      <c r="N55" s="19" t="s">
        <v>62</v>
      </c>
      <c r="O55" s="19" t="s">
        <v>62</v>
      </c>
      <c r="P55" s="19" t="s">
        <v>62</v>
      </c>
      <c r="Q55" s="19" t="s">
        <v>62</v>
      </c>
      <c r="R55" s="19" t="s">
        <v>77</v>
      </c>
      <c r="S55" s="24" t="s">
        <v>179</v>
      </c>
      <c r="T55" s="24" t="s">
        <v>94</v>
      </c>
    </row>
    <row r="56" spans="1:20" ht="19.5" customHeight="1" x14ac:dyDescent="0.25">
      <c r="A56" s="27" t="s">
        <v>27</v>
      </c>
      <c r="B56" s="27" t="s">
        <v>210</v>
      </c>
      <c r="C56" s="27" t="s">
        <v>174</v>
      </c>
      <c r="D56" s="27" t="s">
        <v>84</v>
      </c>
      <c r="E56" s="33"/>
      <c r="F56" s="34" t="s">
        <v>76</v>
      </c>
      <c r="G56" s="30" t="s">
        <v>55</v>
      </c>
      <c r="H56" s="30" t="s">
        <v>89</v>
      </c>
      <c r="I56" s="30" t="s">
        <v>57</v>
      </c>
      <c r="J56" s="30" t="s">
        <v>58</v>
      </c>
      <c r="K56" s="30" t="s">
        <v>176</v>
      </c>
      <c r="L56" s="30" t="s">
        <v>177</v>
      </c>
      <c r="M56" s="30" t="s">
        <v>178</v>
      </c>
      <c r="N56" s="30" t="s">
        <v>62</v>
      </c>
      <c r="O56" s="30" t="s">
        <v>62</v>
      </c>
      <c r="P56" s="30" t="s">
        <v>62</v>
      </c>
      <c r="Q56" s="30" t="s">
        <v>62</v>
      </c>
      <c r="R56" s="30" t="s">
        <v>77</v>
      </c>
      <c r="S56" s="27" t="s">
        <v>179</v>
      </c>
      <c r="T56" s="27" t="s">
        <v>94</v>
      </c>
    </row>
    <row r="57" spans="1:20" ht="19.5" customHeight="1" x14ac:dyDescent="0.25">
      <c r="A57" s="24" t="s">
        <v>27</v>
      </c>
      <c r="B57" s="24" t="s">
        <v>211</v>
      </c>
      <c r="C57" s="24" t="s">
        <v>174</v>
      </c>
      <c r="D57" s="24" t="s">
        <v>120</v>
      </c>
      <c r="E57" s="33"/>
      <c r="F57" s="34" t="s">
        <v>76</v>
      </c>
      <c r="G57" s="19" t="s">
        <v>55</v>
      </c>
      <c r="H57" s="19" t="s">
        <v>89</v>
      </c>
      <c r="I57" s="19" t="s">
        <v>57</v>
      </c>
      <c r="J57" s="19" t="s">
        <v>58</v>
      </c>
      <c r="K57" s="19" t="s">
        <v>176</v>
      </c>
      <c r="L57" s="19" t="s">
        <v>177</v>
      </c>
      <c r="M57" s="19" t="s">
        <v>178</v>
      </c>
      <c r="N57" s="19" t="s">
        <v>62</v>
      </c>
      <c r="O57" s="19" t="s">
        <v>62</v>
      </c>
      <c r="P57" s="19" t="s">
        <v>62</v>
      </c>
      <c r="Q57" s="19" t="s">
        <v>62</v>
      </c>
      <c r="R57" s="19" t="s">
        <v>77</v>
      </c>
      <c r="S57" s="24" t="s">
        <v>179</v>
      </c>
      <c r="T57" s="24" t="s">
        <v>94</v>
      </c>
    </row>
    <row r="58" spans="1:20" ht="19.5" customHeight="1" x14ac:dyDescent="0.25">
      <c r="A58" s="27" t="s">
        <v>28</v>
      </c>
      <c r="B58" s="27" t="s">
        <v>212</v>
      </c>
      <c r="C58" s="27" t="s">
        <v>213</v>
      </c>
      <c r="D58" s="27" t="s">
        <v>88</v>
      </c>
      <c r="E58" s="50"/>
      <c r="F58" s="51" t="s">
        <v>124</v>
      </c>
      <c r="G58" s="30" t="s">
        <v>55</v>
      </c>
      <c r="H58" s="30" t="s">
        <v>56</v>
      </c>
      <c r="I58" s="30" t="s">
        <v>57</v>
      </c>
      <c r="J58" s="30" t="s">
        <v>58</v>
      </c>
      <c r="K58" s="30" t="s">
        <v>125</v>
      </c>
      <c r="L58" s="30" t="s">
        <v>126</v>
      </c>
      <c r="M58" s="30" t="s">
        <v>127</v>
      </c>
      <c r="N58" s="30" t="s">
        <v>62</v>
      </c>
      <c r="O58" s="30" t="s">
        <v>62</v>
      </c>
      <c r="P58" s="30" t="s">
        <v>62</v>
      </c>
      <c r="Q58" s="30" t="s">
        <v>62</v>
      </c>
      <c r="R58" s="30" t="s">
        <v>128</v>
      </c>
      <c r="S58" s="27" t="s">
        <v>214</v>
      </c>
      <c r="T58" s="27" t="s">
        <v>130</v>
      </c>
    </row>
    <row r="59" spans="1:20" ht="19.5" customHeight="1" x14ac:dyDescent="0.25">
      <c r="A59" s="24" t="s">
        <v>28</v>
      </c>
      <c r="B59" s="24" t="s">
        <v>215</v>
      </c>
      <c r="C59" s="24" t="s">
        <v>213</v>
      </c>
      <c r="D59" s="24" t="s">
        <v>96</v>
      </c>
      <c r="E59" s="38"/>
      <c r="F59" s="39" t="s">
        <v>97</v>
      </c>
      <c r="G59" s="19" t="s">
        <v>55</v>
      </c>
      <c r="H59" s="19" t="s">
        <v>56</v>
      </c>
      <c r="I59" s="19" t="s">
        <v>57</v>
      </c>
      <c r="J59" s="19" t="s">
        <v>58</v>
      </c>
      <c r="K59" s="19" t="s">
        <v>125</v>
      </c>
      <c r="L59" s="19" t="s">
        <v>126</v>
      </c>
      <c r="M59" s="19" t="s">
        <v>127</v>
      </c>
      <c r="N59" s="19" t="s">
        <v>62</v>
      </c>
      <c r="O59" s="19" t="s">
        <v>62</v>
      </c>
      <c r="P59" s="19" t="s">
        <v>62</v>
      </c>
      <c r="Q59" s="19" t="s">
        <v>62</v>
      </c>
      <c r="R59" s="19" t="s">
        <v>128</v>
      </c>
      <c r="S59" s="24" t="s">
        <v>214</v>
      </c>
      <c r="T59" s="24" t="s">
        <v>130</v>
      </c>
    </row>
    <row r="60" spans="1:20" ht="19.5" customHeight="1" x14ac:dyDescent="0.25">
      <c r="A60" s="27" t="s">
        <v>28</v>
      </c>
      <c r="B60" s="27" t="s">
        <v>216</v>
      </c>
      <c r="C60" s="27" t="s">
        <v>213</v>
      </c>
      <c r="D60" s="27" t="s">
        <v>103</v>
      </c>
      <c r="E60" s="52"/>
      <c r="F60" s="53" t="s">
        <v>133</v>
      </c>
      <c r="G60" s="30" t="s">
        <v>55</v>
      </c>
      <c r="H60" s="30" t="s">
        <v>56</v>
      </c>
      <c r="I60" s="30" t="s">
        <v>57</v>
      </c>
      <c r="J60" s="30" t="s">
        <v>58</v>
      </c>
      <c r="K60" s="30" t="s">
        <v>125</v>
      </c>
      <c r="L60" s="30" t="s">
        <v>126</v>
      </c>
      <c r="M60" s="30" t="s">
        <v>127</v>
      </c>
      <c r="N60" s="30" t="s">
        <v>62</v>
      </c>
      <c r="O60" s="30" t="s">
        <v>62</v>
      </c>
      <c r="P60" s="30" t="s">
        <v>62</v>
      </c>
      <c r="Q60" s="30" t="s">
        <v>62</v>
      </c>
      <c r="R60" s="30" t="s">
        <v>128</v>
      </c>
      <c r="S60" s="27" t="s">
        <v>214</v>
      </c>
      <c r="T60" s="27" t="s">
        <v>130</v>
      </c>
    </row>
    <row r="61" spans="1:20" ht="19.5" customHeight="1" x14ac:dyDescent="0.25">
      <c r="A61" s="24" t="s">
        <v>28</v>
      </c>
      <c r="B61" s="24" t="s">
        <v>217</v>
      </c>
      <c r="C61" s="24" t="s">
        <v>213</v>
      </c>
      <c r="D61" s="24" t="s">
        <v>139</v>
      </c>
      <c r="E61" s="54"/>
      <c r="F61" s="55" t="s">
        <v>140</v>
      </c>
      <c r="G61" s="19" t="s">
        <v>55</v>
      </c>
      <c r="H61" s="19" t="s">
        <v>56</v>
      </c>
      <c r="I61" s="19" t="s">
        <v>57</v>
      </c>
      <c r="J61" s="19" t="s">
        <v>58</v>
      </c>
      <c r="K61" s="19" t="s">
        <v>125</v>
      </c>
      <c r="L61" s="19" t="s">
        <v>126</v>
      </c>
      <c r="M61" s="19" t="s">
        <v>127</v>
      </c>
      <c r="N61" s="19" t="s">
        <v>62</v>
      </c>
      <c r="O61" s="19" t="s">
        <v>62</v>
      </c>
      <c r="P61" s="19" t="s">
        <v>62</v>
      </c>
      <c r="Q61" s="19" t="s">
        <v>62</v>
      </c>
      <c r="R61" s="19" t="s">
        <v>128</v>
      </c>
      <c r="S61" s="24" t="s">
        <v>214</v>
      </c>
      <c r="T61" s="24" t="s">
        <v>130</v>
      </c>
    </row>
    <row r="62" spans="1:20" ht="19.5" customHeight="1" x14ac:dyDescent="0.25">
      <c r="A62" s="27" t="s">
        <v>28</v>
      </c>
      <c r="B62" s="27" t="s">
        <v>218</v>
      </c>
      <c r="C62" s="27" t="s">
        <v>213</v>
      </c>
      <c r="D62" s="27" t="s">
        <v>75</v>
      </c>
      <c r="E62" s="33"/>
      <c r="F62" s="34" t="s">
        <v>142</v>
      </c>
      <c r="G62" s="30" t="s">
        <v>55</v>
      </c>
      <c r="H62" s="30" t="s">
        <v>56</v>
      </c>
      <c r="I62" s="30" t="s">
        <v>57</v>
      </c>
      <c r="J62" s="30" t="s">
        <v>58</v>
      </c>
      <c r="K62" s="30" t="s">
        <v>125</v>
      </c>
      <c r="L62" s="30" t="s">
        <v>126</v>
      </c>
      <c r="M62" s="30" t="s">
        <v>127</v>
      </c>
      <c r="N62" s="30" t="s">
        <v>62</v>
      </c>
      <c r="O62" s="30" t="s">
        <v>62</v>
      </c>
      <c r="P62" s="30" t="s">
        <v>62</v>
      </c>
      <c r="Q62" s="30" t="s">
        <v>62</v>
      </c>
      <c r="R62" s="30" t="s">
        <v>128</v>
      </c>
      <c r="S62" s="27" t="s">
        <v>214</v>
      </c>
      <c r="T62" s="27" t="s">
        <v>130</v>
      </c>
    </row>
    <row r="63" spans="1:20" ht="19.5" customHeight="1" x14ac:dyDescent="0.25">
      <c r="A63" s="24" t="s">
        <v>28</v>
      </c>
      <c r="B63" s="24" t="s">
        <v>219</v>
      </c>
      <c r="C63" s="24" t="s">
        <v>213</v>
      </c>
      <c r="D63" s="24" t="s">
        <v>144</v>
      </c>
      <c r="E63" s="56"/>
      <c r="F63" s="26" t="s">
        <v>145</v>
      </c>
      <c r="G63" s="19" t="s">
        <v>55</v>
      </c>
      <c r="H63" s="19" t="s">
        <v>56</v>
      </c>
      <c r="I63" s="19" t="s">
        <v>57</v>
      </c>
      <c r="J63" s="19" t="s">
        <v>58</v>
      </c>
      <c r="K63" s="19" t="s">
        <v>125</v>
      </c>
      <c r="L63" s="19" t="s">
        <v>126</v>
      </c>
      <c r="M63" s="19" t="s">
        <v>127</v>
      </c>
      <c r="N63" s="19" t="s">
        <v>62</v>
      </c>
      <c r="O63" s="19" t="s">
        <v>62</v>
      </c>
      <c r="P63" s="19" t="s">
        <v>62</v>
      </c>
      <c r="Q63" s="19" t="s">
        <v>62</v>
      </c>
      <c r="R63" s="19" t="s">
        <v>128</v>
      </c>
      <c r="S63" s="24" t="s">
        <v>214</v>
      </c>
      <c r="T63" s="24" t="s">
        <v>130</v>
      </c>
    </row>
    <row r="64" spans="1:20" ht="19.5" customHeight="1" x14ac:dyDescent="0.25">
      <c r="A64" s="27" t="s">
        <v>28</v>
      </c>
      <c r="B64" s="27" t="s">
        <v>220</v>
      </c>
      <c r="C64" s="27" t="s">
        <v>213</v>
      </c>
      <c r="D64" s="27" t="s">
        <v>108</v>
      </c>
      <c r="E64" s="57"/>
      <c r="F64" s="58" t="s">
        <v>147</v>
      </c>
      <c r="G64" s="30" t="s">
        <v>55</v>
      </c>
      <c r="H64" s="30" t="s">
        <v>56</v>
      </c>
      <c r="I64" s="30" t="s">
        <v>57</v>
      </c>
      <c r="J64" s="30" t="s">
        <v>58</v>
      </c>
      <c r="K64" s="30" t="s">
        <v>125</v>
      </c>
      <c r="L64" s="30" t="s">
        <v>126</v>
      </c>
      <c r="M64" s="30" t="s">
        <v>127</v>
      </c>
      <c r="N64" s="30" t="s">
        <v>62</v>
      </c>
      <c r="O64" s="30" t="s">
        <v>62</v>
      </c>
      <c r="P64" s="30" t="s">
        <v>62</v>
      </c>
      <c r="Q64" s="30" t="s">
        <v>62</v>
      </c>
      <c r="R64" s="30" t="s">
        <v>128</v>
      </c>
      <c r="S64" s="27" t="s">
        <v>214</v>
      </c>
      <c r="T64" s="27" t="s">
        <v>130</v>
      </c>
    </row>
    <row r="65" spans="1:20" ht="19.5" customHeight="1" x14ac:dyDescent="0.25">
      <c r="A65" s="24" t="s">
        <v>28</v>
      </c>
      <c r="B65" s="24" t="s">
        <v>221</v>
      </c>
      <c r="C65" s="24" t="s">
        <v>213</v>
      </c>
      <c r="D65" s="24" t="s">
        <v>149</v>
      </c>
      <c r="E65" s="59"/>
      <c r="F65" s="60" t="s">
        <v>150</v>
      </c>
      <c r="G65" s="19" t="s">
        <v>55</v>
      </c>
      <c r="H65" s="19" t="s">
        <v>56</v>
      </c>
      <c r="I65" s="19" t="s">
        <v>57</v>
      </c>
      <c r="J65" s="19" t="s">
        <v>58</v>
      </c>
      <c r="K65" s="19" t="s">
        <v>125</v>
      </c>
      <c r="L65" s="19" t="s">
        <v>126</v>
      </c>
      <c r="M65" s="19" t="s">
        <v>127</v>
      </c>
      <c r="N65" s="19" t="s">
        <v>62</v>
      </c>
      <c r="O65" s="19" t="s">
        <v>62</v>
      </c>
      <c r="P65" s="19" t="s">
        <v>62</v>
      </c>
      <c r="Q65" s="19" t="s">
        <v>62</v>
      </c>
      <c r="R65" s="19" t="s">
        <v>128</v>
      </c>
      <c r="S65" s="24" t="s">
        <v>214</v>
      </c>
      <c r="T65" s="24" t="s">
        <v>130</v>
      </c>
    </row>
    <row r="66" spans="1:20" ht="19.5" customHeight="1" x14ac:dyDescent="0.25">
      <c r="A66" s="27" t="s">
        <v>28</v>
      </c>
      <c r="B66" s="27" t="s">
        <v>222</v>
      </c>
      <c r="C66" s="27" t="s">
        <v>213</v>
      </c>
      <c r="D66" s="27" t="s">
        <v>152</v>
      </c>
      <c r="E66" s="61"/>
      <c r="F66" s="62" t="s">
        <v>153</v>
      </c>
      <c r="G66" s="30" t="s">
        <v>55</v>
      </c>
      <c r="H66" s="30" t="s">
        <v>56</v>
      </c>
      <c r="I66" s="30" t="s">
        <v>57</v>
      </c>
      <c r="J66" s="30" t="s">
        <v>58</v>
      </c>
      <c r="K66" s="30" t="s">
        <v>125</v>
      </c>
      <c r="L66" s="30" t="s">
        <v>126</v>
      </c>
      <c r="M66" s="30" t="s">
        <v>127</v>
      </c>
      <c r="N66" s="30" t="s">
        <v>62</v>
      </c>
      <c r="O66" s="30" t="s">
        <v>62</v>
      </c>
      <c r="P66" s="30" t="s">
        <v>62</v>
      </c>
      <c r="Q66" s="30" t="s">
        <v>62</v>
      </c>
      <c r="R66" s="30" t="s">
        <v>128</v>
      </c>
      <c r="S66" s="27" t="s">
        <v>214</v>
      </c>
      <c r="T66" s="27" t="s">
        <v>130</v>
      </c>
    </row>
    <row r="67" spans="1:20" ht="19.5" customHeight="1" x14ac:dyDescent="0.25">
      <c r="A67" s="24" t="s">
        <v>28</v>
      </c>
      <c r="B67" s="24" t="s">
        <v>223</v>
      </c>
      <c r="C67" s="24" t="s">
        <v>213</v>
      </c>
      <c r="D67" s="24" t="s">
        <v>81</v>
      </c>
      <c r="E67" s="44"/>
      <c r="F67" s="45" t="s">
        <v>111</v>
      </c>
      <c r="G67" s="19" t="s">
        <v>55</v>
      </c>
      <c r="H67" s="19" t="s">
        <v>56</v>
      </c>
      <c r="I67" s="19" t="s">
        <v>57</v>
      </c>
      <c r="J67" s="19" t="s">
        <v>58</v>
      </c>
      <c r="K67" s="19" t="s">
        <v>125</v>
      </c>
      <c r="L67" s="19" t="s">
        <v>126</v>
      </c>
      <c r="M67" s="19" t="s">
        <v>127</v>
      </c>
      <c r="N67" s="19" t="s">
        <v>62</v>
      </c>
      <c r="O67" s="19" t="s">
        <v>62</v>
      </c>
      <c r="P67" s="19" t="s">
        <v>62</v>
      </c>
      <c r="Q67" s="19" t="s">
        <v>62</v>
      </c>
      <c r="R67" s="19" t="s">
        <v>128</v>
      </c>
      <c r="S67" s="24" t="s">
        <v>214</v>
      </c>
      <c r="T67" s="24" t="s">
        <v>130</v>
      </c>
    </row>
    <row r="68" spans="1:20" ht="19.5" customHeight="1" x14ac:dyDescent="0.25">
      <c r="A68" s="27" t="s">
        <v>28</v>
      </c>
      <c r="B68" s="27" t="s">
        <v>224</v>
      </c>
      <c r="C68" s="27" t="s">
        <v>213</v>
      </c>
      <c r="D68" s="27" t="s">
        <v>156</v>
      </c>
      <c r="E68" s="63"/>
      <c r="F68" s="64" t="s">
        <v>157</v>
      </c>
      <c r="G68" s="30" t="s">
        <v>55</v>
      </c>
      <c r="H68" s="30" t="s">
        <v>56</v>
      </c>
      <c r="I68" s="30" t="s">
        <v>57</v>
      </c>
      <c r="J68" s="30" t="s">
        <v>58</v>
      </c>
      <c r="K68" s="30" t="s">
        <v>125</v>
      </c>
      <c r="L68" s="30" t="s">
        <v>126</v>
      </c>
      <c r="M68" s="30" t="s">
        <v>127</v>
      </c>
      <c r="N68" s="30" t="s">
        <v>62</v>
      </c>
      <c r="O68" s="30" t="s">
        <v>62</v>
      </c>
      <c r="P68" s="30" t="s">
        <v>62</v>
      </c>
      <c r="Q68" s="30" t="s">
        <v>62</v>
      </c>
      <c r="R68" s="30" t="s">
        <v>128</v>
      </c>
      <c r="S68" s="27" t="s">
        <v>214</v>
      </c>
      <c r="T68" s="27" t="s">
        <v>130</v>
      </c>
    </row>
    <row r="69" spans="1:20" ht="19.5" customHeight="1" x14ac:dyDescent="0.25">
      <c r="A69" s="24" t="s">
        <v>28</v>
      </c>
      <c r="B69" s="24" t="s">
        <v>225</v>
      </c>
      <c r="C69" s="24" t="s">
        <v>213</v>
      </c>
      <c r="D69" s="24" t="s">
        <v>159</v>
      </c>
      <c r="E69" s="65"/>
      <c r="F69" s="66" t="s">
        <v>160</v>
      </c>
      <c r="G69" s="19" t="s">
        <v>55</v>
      </c>
      <c r="H69" s="19" t="s">
        <v>56</v>
      </c>
      <c r="I69" s="19" t="s">
        <v>57</v>
      </c>
      <c r="J69" s="19" t="s">
        <v>58</v>
      </c>
      <c r="K69" s="19" t="s">
        <v>125</v>
      </c>
      <c r="L69" s="19" t="s">
        <v>126</v>
      </c>
      <c r="M69" s="19" t="s">
        <v>127</v>
      </c>
      <c r="N69" s="19" t="s">
        <v>62</v>
      </c>
      <c r="O69" s="19" t="s">
        <v>62</v>
      </c>
      <c r="P69" s="19" t="s">
        <v>62</v>
      </c>
      <c r="Q69" s="19" t="s">
        <v>62</v>
      </c>
      <c r="R69" s="19" t="s">
        <v>128</v>
      </c>
      <c r="S69" s="24" t="s">
        <v>214</v>
      </c>
      <c r="T69" s="24" t="s">
        <v>130</v>
      </c>
    </row>
    <row r="70" spans="1:20" ht="19.5" customHeight="1" x14ac:dyDescent="0.25">
      <c r="A70" s="27" t="s">
        <v>28</v>
      </c>
      <c r="B70" s="27" t="s">
        <v>226</v>
      </c>
      <c r="C70" s="27" t="s">
        <v>213</v>
      </c>
      <c r="D70" s="27" t="s">
        <v>113</v>
      </c>
      <c r="E70" s="46"/>
      <c r="F70" s="67" t="s">
        <v>162</v>
      </c>
      <c r="G70" s="30" t="s">
        <v>55</v>
      </c>
      <c r="H70" s="30" t="s">
        <v>56</v>
      </c>
      <c r="I70" s="30" t="s">
        <v>57</v>
      </c>
      <c r="J70" s="30" t="s">
        <v>58</v>
      </c>
      <c r="K70" s="30" t="s">
        <v>125</v>
      </c>
      <c r="L70" s="30" t="s">
        <v>126</v>
      </c>
      <c r="M70" s="30" t="s">
        <v>127</v>
      </c>
      <c r="N70" s="30" t="s">
        <v>62</v>
      </c>
      <c r="O70" s="30" t="s">
        <v>62</v>
      </c>
      <c r="P70" s="30" t="s">
        <v>62</v>
      </c>
      <c r="Q70" s="30" t="s">
        <v>62</v>
      </c>
      <c r="R70" s="30" t="s">
        <v>128</v>
      </c>
      <c r="S70" s="27" t="s">
        <v>214</v>
      </c>
      <c r="T70" s="27" t="s">
        <v>130</v>
      </c>
    </row>
    <row r="71" spans="1:20" ht="19.5" customHeight="1" x14ac:dyDescent="0.25">
      <c r="A71" s="24" t="s">
        <v>28</v>
      </c>
      <c r="B71" s="24" t="s">
        <v>227</v>
      </c>
      <c r="C71" s="24" t="s">
        <v>213</v>
      </c>
      <c r="D71" s="24" t="s">
        <v>164</v>
      </c>
      <c r="E71" s="68"/>
      <c r="F71" s="69" t="s">
        <v>165</v>
      </c>
      <c r="G71" s="19" t="s">
        <v>55</v>
      </c>
      <c r="H71" s="19" t="s">
        <v>56</v>
      </c>
      <c r="I71" s="19" t="s">
        <v>57</v>
      </c>
      <c r="J71" s="19" t="s">
        <v>58</v>
      </c>
      <c r="K71" s="19" t="s">
        <v>125</v>
      </c>
      <c r="L71" s="19" t="s">
        <v>126</v>
      </c>
      <c r="M71" s="19" t="s">
        <v>127</v>
      </c>
      <c r="N71" s="19" t="s">
        <v>62</v>
      </c>
      <c r="O71" s="19" t="s">
        <v>62</v>
      </c>
      <c r="P71" s="19" t="s">
        <v>62</v>
      </c>
      <c r="Q71" s="19" t="s">
        <v>62</v>
      </c>
      <c r="R71" s="19" t="s">
        <v>128</v>
      </c>
      <c r="S71" s="24" t="s">
        <v>214</v>
      </c>
      <c r="T71" s="24" t="s">
        <v>166</v>
      </c>
    </row>
    <row r="72" spans="1:20" ht="19.5" customHeight="1" x14ac:dyDescent="0.25">
      <c r="A72" s="27" t="s">
        <v>28</v>
      </c>
      <c r="B72" s="27" t="s">
        <v>228</v>
      </c>
      <c r="C72" s="27" t="s">
        <v>213</v>
      </c>
      <c r="D72" s="27" t="s">
        <v>84</v>
      </c>
      <c r="E72" s="19"/>
      <c r="F72" s="37" t="s">
        <v>85</v>
      </c>
      <c r="G72" s="30" t="s">
        <v>55</v>
      </c>
      <c r="H72" s="30" t="s">
        <v>56</v>
      </c>
      <c r="I72" s="30" t="s">
        <v>57</v>
      </c>
      <c r="J72" s="30" t="s">
        <v>58</v>
      </c>
      <c r="K72" s="30" t="s">
        <v>125</v>
      </c>
      <c r="L72" s="30" t="s">
        <v>126</v>
      </c>
      <c r="M72" s="30" t="s">
        <v>127</v>
      </c>
      <c r="N72" s="30" t="s">
        <v>62</v>
      </c>
      <c r="O72" s="30" t="s">
        <v>62</v>
      </c>
      <c r="P72" s="30" t="s">
        <v>62</v>
      </c>
      <c r="Q72" s="30" t="s">
        <v>62</v>
      </c>
      <c r="R72" s="30" t="s">
        <v>128</v>
      </c>
      <c r="S72" s="27" t="s">
        <v>214</v>
      </c>
      <c r="T72" s="27" t="s">
        <v>130</v>
      </c>
    </row>
    <row r="73" spans="1:20" ht="19.5" customHeight="1" x14ac:dyDescent="0.25">
      <c r="A73" s="24" t="s">
        <v>28</v>
      </c>
      <c r="B73" s="24" t="s">
        <v>229</v>
      </c>
      <c r="C73" s="24" t="s">
        <v>213</v>
      </c>
      <c r="D73" s="24" t="s">
        <v>169</v>
      </c>
      <c r="E73" s="70"/>
      <c r="F73" s="71" t="s">
        <v>170</v>
      </c>
      <c r="G73" s="19" t="s">
        <v>55</v>
      </c>
      <c r="H73" s="19" t="s">
        <v>56</v>
      </c>
      <c r="I73" s="19" t="s">
        <v>57</v>
      </c>
      <c r="J73" s="19" t="s">
        <v>58</v>
      </c>
      <c r="K73" s="19" t="s">
        <v>125</v>
      </c>
      <c r="L73" s="19" t="s">
        <v>126</v>
      </c>
      <c r="M73" s="19" t="s">
        <v>127</v>
      </c>
      <c r="N73" s="19" t="s">
        <v>62</v>
      </c>
      <c r="O73" s="19" t="s">
        <v>62</v>
      </c>
      <c r="P73" s="19" t="s">
        <v>62</v>
      </c>
      <c r="Q73" s="19" t="s">
        <v>62</v>
      </c>
      <c r="R73" s="19" t="s">
        <v>128</v>
      </c>
      <c r="S73" s="24" t="s">
        <v>214</v>
      </c>
      <c r="T73" s="24" t="s">
        <v>130</v>
      </c>
    </row>
    <row r="74" spans="1:20" ht="19.5" customHeight="1" x14ac:dyDescent="0.25">
      <c r="A74" s="27" t="s">
        <v>28</v>
      </c>
      <c r="B74" s="27" t="s">
        <v>230</v>
      </c>
      <c r="C74" s="27" t="s">
        <v>213</v>
      </c>
      <c r="D74" s="27" t="s">
        <v>120</v>
      </c>
      <c r="E74" s="72"/>
      <c r="F74" s="73" t="s">
        <v>172</v>
      </c>
      <c r="G74" s="30" t="s">
        <v>55</v>
      </c>
      <c r="H74" s="30" t="s">
        <v>56</v>
      </c>
      <c r="I74" s="30" t="s">
        <v>57</v>
      </c>
      <c r="J74" s="30" t="s">
        <v>58</v>
      </c>
      <c r="K74" s="30" t="s">
        <v>125</v>
      </c>
      <c r="L74" s="30" t="s">
        <v>126</v>
      </c>
      <c r="M74" s="30" t="s">
        <v>127</v>
      </c>
      <c r="N74" s="30" t="s">
        <v>62</v>
      </c>
      <c r="O74" s="30" t="s">
        <v>62</v>
      </c>
      <c r="P74" s="30" t="s">
        <v>62</v>
      </c>
      <c r="Q74" s="30" t="s">
        <v>62</v>
      </c>
      <c r="R74" s="30" t="s">
        <v>128</v>
      </c>
      <c r="S74" s="27" t="s">
        <v>214</v>
      </c>
      <c r="T74" s="27" t="s">
        <v>130</v>
      </c>
    </row>
    <row r="75" spans="1:20" ht="19.5" customHeight="1" x14ac:dyDescent="0.25">
      <c r="A75" s="24" t="s">
        <v>29</v>
      </c>
      <c r="B75" s="24" t="s">
        <v>231</v>
      </c>
      <c r="C75" s="24" t="s">
        <v>232</v>
      </c>
      <c r="D75" s="24" t="s">
        <v>88</v>
      </c>
      <c r="E75" s="33"/>
      <c r="F75" s="34" t="s">
        <v>76</v>
      </c>
      <c r="G75" s="19" t="s">
        <v>55</v>
      </c>
      <c r="H75" s="19" t="s">
        <v>89</v>
      </c>
      <c r="I75" s="19" t="s">
        <v>57</v>
      </c>
      <c r="J75" s="19" t="s">
        <v>58</v>
      </c>
      <c r="K75" s="19" t="s">
        <v>176</v>
      </c>
      <c r="L75" s="19" t="s">
        <v>177</v>
      </c>
      <c r="M75" s="19" t="s">
        <v>178</v>
      </c>
      <c r="N75" s="19" t="s">
        <v>62</v>
      </c>
      <c r="O75" s="19" t="s">
        <v>62</v>
      </c>
      <c r="P75" s="19" t="s">
        <v>62</v>
      </c>
      <c r="Q75" s="19" t="s">
        <v>62</v>
      </c>
      <c r="R75" s="19" t="s">
        <v>77</v>
      </c>
      <c r="S75" s="24" t="s">
        <v>233</v>
      </c>
      <c r="T75" s="24" t="s">
        <v>94</v>
      </c>
    </row>
    <row r="76" spans="1:20" ht="19.5" customHeight="1" x14ac:dyDescent="0.25">
      <c r="A76" s="27" t="s">
        <v>29</v>
      </c>
      <c r="B76" s="27" t="s">
        <v>234</v>
      </c>
      <c r="C76" s="27" t="s">
        <v>232</v>
      </c>
      <c r="D76" s="27" t="s">
        <v>96</v>
      </c>
      <c r="E76" s="33"/>
      <c r="F76" s="34" t="s">
        <v>76</v>
      </c>
      <c r="G76" s="30" t="s">
        <v>55</v>
      </c>
      <c r="H76" s="30" t="s">
        <v>89</v>
      </c>
      <c r="I76" s="30" t="s">
        <v>57</v>
      </c>
      <c r="J76" s="30" t="s">
        <v>58</v>
      </c>
      <c r="K76" s="30" t="s">
        <v>176</v>
      </c>
      <c r="L76" s="30" t="s">
        <v>177</v>
      </c>
      <c r="M76" s="30" t="s">
        <v>178</v>
      </c>
      <c r="N76" s="30" t="s">
        <v>62</v>
      </c>
      <c r="O76" s="30" t="s">
        <v>62</v>
      </c>
      <c r="P76" s="30" t="s">
        <v>62</v>
      </c>
      <c r="Q76" s="30" t="s">
        <v>62</v>
      </c>
      <c r="R76" s="30" t="s">
        <v>77</v>
      </c>
      <c r="S76" s="27" t="s">
        <v>233</v>
      </c>
      <c r="T76" s="27" t="s">
        <v>94</v>
      </c>
    </row>
    <row r="77" spans="1:20" ht="19.5" customHeight="1" x14ac:dyDescent="0.25">
      <c r="A77" s="24" t="s">
        <v>29</v>
      </c>
      <c r="B77" s="24" t="s">
        <v>235</v>
      </c>
      <c r="C77" s="24" t="s">
        <v>232</v>
      </c>
      <c r="D77" s="24" t="s">
        <v>68</v>
      </c>
      <c r="E77" s="33"/>
      <c r="F77" s="34" t="s">
        <v>76</v>
      </c>
      <c r="G77" s="19" t="s">
        <v>55</v>
      </c>
      <c r="H77" s="19" t="s">
        <v>89</v>
      </c>
      <c r="I77" s="19" t="s">
        <v>57</v>
      </c>
      <c r="J77" s="19" t="s">
        <v>58</v>
      </c>
      <c r="K77" s="19" t="s">
        <v>176</v>
      </c>
      <c r="L77" s="19" t="s">
        <v>177</v>
      </c>
      <c r="M77" s="19" t="s">
        <v>178</v>
      </c>
      <c r="N77" s="19" t="s">
        <v>62</v>
      </c>
      <c r="O77" s="19" t="s">
        <v>62</v>
      </c>
      <c r="P77" s="19" t="s">
        <v>62</v>
      </c>
      <c r="Q77" s="19" t="s">
        <v>62</v>
      </c>
      <c r="R77" s="19" t="s">
        <v>77</v>
      </c>
      <c r="S77" s="24" t="s">
        <v>233</v>
      </c>
      <c r="T77" s="24" t="s">
        <v>94</v>
      </c>
    </row>
    <row r="78" spans="1:20" ht="19.5" customHeight="1" x14ac:dyDescent="0.25">
      <c r="A78" s="27" t="s">
        <v>29</v>
      </c>
      <c r="B78" s="27" t="s">
        <v>236</v>
      </c>
      <c r="C78" s="27" t="s">
        <v>232</v>
      </c>
      <c r="D78" s="27" t="s">
        <v>237</v>
      </c>
      <c r="E78" s="80"/>
      <c r="F78" s="81" t="s">
        <v>238</v>
      </c>
      <c r="G78" s="30" t="s">
        <v>55</v>
      </c>
      <c r="H78" s="30" t="s">
        <v>89</v>
      </c>
      <c r="I78" s="30" t="s">
        <v>57</v>
      </c>
      <c r="J78" s="30" t="s">
        <v>58</v>
      </c>
      <c r="K78" s="30" t="s">
        <v>176</v>
      </c>
      <c r="L78" s="30" t="s">
        <v>177</v>
      </c>
      <c r="M78" s="30" t="s">
        <v>178</v>
      </c>
      <c r="N78" s="30" t="s">
        <v>62</v>
      </c>
      <c r="O78" s="30" t="s">
        <v>62</v>
      </c>
      <c r="P78" s="30" t="s">
        <v>62</v>
      </c>
      <c r="Q78" s="30" t="s">
        <v>62</v>
      </c>
      <c r="R78" s="30" t="s">
        <v>64</v>
      </c>
      <c r="S78" s="27" t="s">
        <v>239</v>
      </c>
      <c r="T78" s="27" t="s">
        <v>99</v>
      </c>
    </row>
    <row r="79" spans="1:20" ht="19.5" customHeight="1" x14ac:dyDescent="0.25">
      <c r="A79" s="24" t="s">
        <v>29</v>
      </c>
      <c r="B79" s="24" t="s">
        <v>240</v>
      </c>
      <c r="C79" s="24" t="s">
        <v>232</v>
      </c>
      <c r="D79" s="24" t="s">
        <v>105</v>
      </c>
      <c r="E79" s="33"/>
      <c r="F79" s="34" t="s">
        <v>76</v>
      </c>
      <c r="G79" s="19" t="s">
        <v>55</v>
      </c>
      <c r="H79" s="19" t="s">
        <v>89</v>
      </c>
      <c r="I79" s="19" t="s">
        <v>57</v>
      </c>
      <c r="J79" s="19" t="s">
        <v>58</v>
      </c>
      <c r="K79" s="19" t="s">
        <v>176</v>
      </c>
      <c r="L79" s="19" t="s">
        <v>177</v>
      </c>
      <c r="M79" s="19" t="s">
        <v>178</v>
      </c>
      <c r="N79" s="19" t="s">
        <v>62</v>
      </c>
      <c r="O79" s="19" t="s">
        <v>62</v>
      </c>
      <c r="P79" s="19" t="s">
        <v>62</v>
      </c>
      <c r="Q79" s="19" t="s">
        <v>62</v>
      </c>
      <c r="R79" s="19" t="s">
        <v>77</v>
      </c>
      <c r="S79" s="24" t="s">
        <v>233</v>
      </c>
      <c r="T79" s="24" t="s">
        <v>94</v>
      </c>
    </row>
    <row r="80" spans="1:20" ht="19.5" customHeight="1" x14ac:dyDescent="0.25">
      <c r="A80" s="27" t="s">
        <v>29</v>
      </c>
      <c r="B80" s="27" t="s">
        <v>241</v>
      </c>
      <c r="C80" s="27" t="s">
        <v>232</v>
      </c>
      <c r="D80" s="27" t="s">
        <v>75</v>
      </c>
      <c r="E80" s="33"/>
      <c r="F80" s="34" t="s">
        <v>76</v>
      </c>
      <c r="G80" s="30" t="s">
        <v>55</v>
      </c>
      <c r="H80" s="30" t="s">
        <v>89</v>
      </c>
      <c r="I80" s="30" t="s">
        <v>57</v>
      </c>
      <c r="J80" s="30" t="s">
        <v>58</v>
      </c>
      <c r="K80" s="30" t="s">
        <v>176</v>
      </c>
      <c r="L80" s="30" t="s">
        <v>177</v>
      </c>
      <c r="M80" s="30" t="s">
        <v>178</v>
      </c>
      <c r="N80" s="30" t="s">
        <v>62</v>
      </c>
      <c r="O80" s="30" t="s">
        <v>62</v>
      </c>
      <c r="P80" s="30" t="s">
        <v>62</v>
      </c>
      <c r="Q80" s="30" t="s">
        <v>62</v>
      </c>
      <c r="R80" s="30" t="s">
        <v>77</v>
      </c>
      <c r="S80" s="27" t="s">
        <v>233</v>
      </c>
      <c r="T80" s="27" t="s">
        <v>94</v>
      </c>
    </row>
    <row r="81" spans="1:20" ht="19.5" customHeight="1" x14ac:dyDescent="0.25">
      <c r="A81" s="24" t="s">
        <v>29</v>
      </c>
      <c r="B81" s="24" t="s">
        <v>242</v>
      </c>
      <c r="C81" s="24" t="s">
        <v>232</v>
      </c>
      <c r="D81" s="24" t="s">
        <v>194</v>
      </c>
      <c r="E81" s="33"/>
      <c r="F81" s="34" t="s">
        <v>76</v>
      </c>
      <c r="G81" s="19" t="s">
        <v>55</v>
      </c>
      <c r="H81" s="19" t="s">
        <v>89</v>
      </c>
      <c r="I81" s="19" t="s">
        <v>57</v>
      </c>
      <c r="J81" s="19" t="s">
        <v>58</v>
      </c>
      <c r="K81" s="19" t="s">
        <v>176</v>
      </c>
      <c r="L81" s="19" t="s">
        <v>177</v>
      </c>
      <c r="M81" s="19" t="s">
        <v>178</v>
      </c>
      <c r="N81" s="19" t="s">
        <v>62</v>
      </c>
      <c r="O81" s="19" t="s">
        <v>62</v>
      </c>
      <c r="P81" s="19" t="s">
        <v>62</v>
      </c>
      <c r="Q81" s="19" t="s">
        <v>62</v>
      </c>
      <c r="R81" s="19" t="s">
        <v>77</v>
      </c>
      <c r="S81" s="24" t="s">
        <v>233</v>
      </c>
      <c r="T81" s="24" t="s">
        <v>94</v>
      </c>
    </row>
    <row r="82" spans="1:20" ht="19.5" customHeight="1" x14ac:dyDescent="0.25">
      <c r="A82" s="27" t="s">
        <v>29</v>
      </c>
      <c r="B82" s="27" t="s">
        <v>243</v>
      </c>
      <c r="C82" s="27" t="s">
        <v>232</v>
      </c>
      <c r="D82" s="27" t="s">
        <v>244</v>
      </c>
      <c r="E82" s="33"/>
      <c r="F82" s="34" t="s">
        <v>76</v>
      </c>
      <c r="G82" s="30" t="s">
        <v>55</v>
      </c>
      <c r="H82" s="30" t="s">
        <v>89</v>
      </c>
      <c r="I82" s="30" t="s">
        <v>57</v>
      </c>
      <c r="J82" s="30" t="s">
        <v>58</v>
      </c>
      <c r="K82" s="30" t="s">
        <v>176</v>
      </c>
      <c r="L82" s="30" t="s">
        <v>177</v>
      </c>
      <c r="M82" s="30" t="s">
        <v>178</v>
      </c>
      <c r="N82" s="30" t="s">
        <v>62</v>
      </c>
      <c r="O82" s="30" t="s">
        <v>62</v>
      </c>
      <c r="P82" s="30" t="s">
        <v>62</v>
      </c>
      <c r="Q82" s="30" t="s">
        <v>62</v>
      </c>
      <c r="R82" s="30" t="s">
        <v>77</v>
      </c>
      <c r="S82" s="27" t="s">
        <v>233</v>
      </c>
      <c r="T82" s="27" t="s">
        <v>94</v>
      </c>
    </row>
    <row r="83" spans="1:20" ht="19.5" customHeight="1" x14ac:dyDescent="0.25">
      <c r="A83" s="24" t="s">
        <v>29</v>
      </c>
      <c r="B83" s="24" t="s">
        <v>245</v>
      </c>
      <c r="C83" s="24" t="s">
        <v>232</v>
      </c>
      <c r="D83" s="24" t="s">
        <v>144</v>
      </c>
      <c r="E83" s="33"/>
      <c r="F83" s="34" t="s">
        <v>76</v>
      </c>
      <c r="G83" s="19" t="s">
        <v>55</v>
      </c>
      <c r="H83" s="19" t="s">
        <v>89</v>
      </c>
      <c r="I83" s="19" t="s">
        <v>57</v>
      </c>
      <c r="J83" s="19" t="s">
        <v>58</v>
      </c>
      <c r="K83" s="19" t="s">
        <v>176</v>
      </c>
      <c r="L83" s="19" t="s">
        <v>177</v>
      </c>
      <c r="M83" s="19" t="s">
        <v>178</v>
      </c>
      <c r="N83" s="19" t="s">
        <v>62</v>
      </c>
      <c r="O83" s="19" t="s">
        <v>62</v>
      </c>
      <c r="P83" s="19" t="s">
        <v>62</v>
      </c>
      <c r="Q83" s="19" t="s">
        <v>62</v>
      </c>
      <c r="R83" s="19" t="s">
        <v>77</v>
      </c>
      <c r="S83" s="24" t="s">
        <v>233</v>
      </c>
      <c r="T83" s="24" t="s">
        <v>94</v>
      </c>
    </row>
    <row r="84" spans="1:20" ht="19.5" customHeight="1" x14ac:dyDescent="0.25">
      <c r="A84" s="27" t="s">
        <v>29</v>
      </c>
      <c r="B84" s="27" t="s">
        <v>246</v>
      </c>
      <c r="C84" s="27" t="s">
        <v>232</v>
      </c>
      <c r="D84" s="27" t="s">
        <v>152</v>
      </c>
      <c r="E84" s="33"/>
      <c r="F84" s="34" t="s">
        <v>76</v>
      </c>
      <c r="G84" s="30" t="s">
        <v>55</v>
      </c>
      <c r="H84" s="30" t="s">
        <v>89</v>
      </c>
      <c r="I84" s="30" t="s">
        <v>57</v>
      </c>
      <c r="J84" s="30" t="s">
        <v>58</v>
      </c>
      <c r="K84" s="30" t="s">
        <v>176</v>
      </c>
      <c r="L84" s="30" t="s">
        <v>177</v>
      </c>
      <c r="M84" s="30" t="s">
        <v>178</v>
      </c>
      <c r="N84" s="30" t="s">
        <v>62</v>
      </c>
      <c r="O84" s="30" t="s">
        <v>62</v>
      </c>
      <c r="P84" s="30" t="s">
        <v>62</v>
      </c>
      <c r="Q84" s="30" t="s">
        <v>62</v>
      </c>
      <c r="R84" s="30" t="s">
        <v>77</v>
      </c>
      <c r="S84" s="27" t="s">
        <v>233</v>
      </c>
      <c r="T84" s="27" t="s">
        <v>94</v>
      </c>
    </row>
    <row r="85" spans="1:20" ht="19.5" customHeight="1" x14ac:dyDescent="0.25">
      <c r="A85" s="24" t="s">
        <v>29</v>
      </c>
      <c r="B85" s="24" t="s">
        <v>247</v>
      </c>
      <c r="C85" s="24" t="s">
        <v>232</v>
      </c>
      <c r="D85" s="24" t="s">
        <v>248</v>
      </c>
      <c r="E85" s="33"/>
      <c r="F85" s="34" t="s">
        <v>76</v>
      </c>
      <c r="G85" s="19" t="s">
        <v>55</v>
      </c>
      <c r="H85" s="19" t="s">
        <v>89</v>
      </c>
      <c r="I85" s="19" t="s">
        <v>57</v>
      </c>
      <c r="J85" s="19" t="s">
        <v>58</v>
      </c>
      <c r="K85" s="19" t="s">
        <v>176</v>
      </c>
      <c r="L85" s="19" t="s">
        <v>177</v>
      </c>
      <c r="M85" s="19" t="s">
        <v>178</v>
      </c>
      <c r="N85" s="19" t="s">
        <v>62</v>
      </c>
      <c r="O85" s="19" t="s">
        <v>62</v>
      </c>
      <c r="P85" s="19" t="s">
        <v>62</v>
      </c>
      <c r="Q85" s="19" t="s">
        <v>62</v>
      </c>
      <c r="R85" s="19" t="s">
        <v>77</v>
      </c>
      <c r="S85" s="24" t="s">
        <v>233</v>
      </c>
      <c r="T85" s="24" t="s">
        <v>94</v>
      </c>
    </row>
    <row r="86" spans="1:20" ht="19.5" customHeight="1" x14ac:dyDescent="0.25">
      <c r="A86" s="27" t="s">
        <v>29</v>
      </c>
      <c r="B86" s="27" t="s">
        <v>249</v>
      </c>
      <c r="C86" s="27" t="s">
        <v>232</v>
      </c>
      <c r="D86" s="27" t="s">
        <v>250</v>
      </c>
      <c r="E86" s="33"/>
      <c r="F86" s="34" t="s">
        <v>76</v>
      </c>
      <c r="G86" s="30" t="s">
        <v>55</v>
      </c>
      <c r="H86" s="30" t="s">
        <v>89</v>
      </c>
      <c r="I86" s="30" t="s">
        <v>57</v>
      </c>
      <c r="J86" s="30" t="s">
        <v>58</v>
      </c>
      <c r="K86" s="30" t="s">
        <v>176</v>
      </c>
      <c r="L86" s="30" t="s">
        <v>177</v>
      </c>
      <c r="M86" s="30" t="s">
        <v>178</v>
      </c>
      <c r="N86" s="30" t="s">
        <v>62</v>
      </c>
      <c r="O86" s="30" t="s">
        <v>62</v>
      </c>
      <c r="P86" s="30" t="s">
        <v>62</v>
      </c>
      <c r="Q86" s="30" t="s">
        <v>62</v>
      </c>
      <c r="R86" s="30" t="s">
        <v>77</v>
      </c>
      <c r="S86" s="27" t="s">
        <v>233</v>
      </c>
      <c r="T86" s="27" t="s">
        <v>94</v>
      </c>
    </row>
    <row r="87" spans="1:20" ht="19.5" customHeight="1" x14ac:dyDescent="0.25">
      <c r="A87" s="24" t="s">
        <v>29</v>
      </c>
      <c r="B87" s="24" t="s">
        <v>251</v>
      </c>
      <c r="C87" s="24" t="s">
        <v>232</v>
      </c>
      <c r="D87" s="24" t="s">
        <v>84</v>
      </c>
      <c r="E87" s="33"/>
      <c r="F87" s="34" t="s">
        <v>76</v>
      </c>
      <c r="G87" s="19" t="s">
        <v>55</v>
      </c>
      <c r="H87" s="19" t="s">
        <v>89</v>
      </c>
      <c r="I87" s="19" t="s">
        <v>57</v>
      </c>
      <c r="J87" s="19" t="s">
        <v>58</v>
      </c>
      <c r="K87" s="19" t="s">
        <v>176</v>
      </c>
      <c r="L87" s="19" t="s">
        <v>177</v>
      </c>
      <c r="M87" s="19" t="s">
        <v>178</v>
      </c>
      <c r="N87" s="19" t="s">
        <v>62</v>
      </c>
      <c r="O87" s="19" t="s">
        <v>62</v>
      </c>
      <c r="P87" s="19" t="s">
        <v>62</v>
      </c>
      <c r="Q87" s="19" t="s">
        <v>62</v>
      </c>
      <c r="R87" s="19" t="s">
        <v>77</v>
      </c>
      <c r="S87" s="24" t="s">
        <v>233</v>
      </c>
      <c r="T87" s="24" t="s">
        <v>94</v>
      </c>
    </row>
    <row r="88" spans="1:20" ht="19.5" customHeight="1" x14ac:dyDescent="0.25">
      <c r="A88" s="27" t="s">
        <v>29</v>
      </c>
      <c r="B88" s="27" t="s">
        <v>252</v>
      </c>
      <c r="C88" s="27" t="s">
        <v>232</v>
      </c>
      <c r="D88" s="27" t="s">
        <v>120</v>
      </c>
      <c r="E88" s="33"/>
      <c r="F88" s="34" t="s">
        <v>76</v>
      </c>
      <c r="G88" s="30" t="s">
        <v>55</v>
      </c>
      <c r="H88" s="30" t="s">
        <v>89</v>
      </c>
      <c r="I88" s="30" t="s">
        <v>57</v>
      </c>
      <c r="J88" s="30" t="s">
        <v>58</v>
      </c>
      <c r="K88" s="30" t="s">
        <v>176</v>
      </c>
      <c r="L88" s="30" t="s">
        <v>177</v>
      </c>
      <c r="M88" s="30" t="s">
        <v>178</v>
      </c>
      <c r="N88" s="30" t="s">
        <v>62</v>
      </c>
      <c r="O88" s="30" t="s">
        <v>62</v>
      </c>
      <c r="P88" s="30" t="s">
        <v>62</v>
      </c>
      <c r="Q88" s="30" t="s">
        <v>62</v>
      </c>
      <c r="R88" s="30" t="s">
        <v>77</v>
      </c>
      <c r="S88" s="27" t="s">
        <v>233</v>
      </c>
      <c r="T88" s="27" t="s">
        <v>94</v>
      </c>
    </row>
    <row r="89" spans="1:20" ht="19.5" customHeight="1" x14ac:dyDescent="0.25">
      <c r="A89" s="24" t="s">
        <v>30</v>
      </c>
      <c r="B89" s="24" t="s">
        <v>253</v>
      </c>
      <c r="C89" s="24" t="s">
        <v>254</v>
      </c>
      <c r="D89" s="24" t="s">
        <v>96</v>
      </c>
      <c r="E89" s="38"/>
      <c r="F89" s="39" t="s">
        <v>97</v>
      </c>
      <c r="G89" s="19" t="s">
        <v>55</v>
      </c>
      <c r="H89" s="19" t="s">
        <v>56</v>
      </c>
      <c r="I89" s="19" t="s">
        <v>57</v>
      </c>
      <c r="J89" s="19" t="s">
        <v>58</v>
      </c>
      <c r="K89" s="19" t="s">
        <v>255</v>
      </c>
      <c r="L89" s="19" t="s">
        <v>256</v>
      </c>
      <c r="M89" s="19" t="s">
        <v>257</v>
      </c>
      <c r="N89" s="19" t="s">
        <v>63</v>
      </c>
      <c r="O89" s="19" t="s">
        <v>63</v>
      </c>
      <c r="P89" s="19" t="s">
        <v>63</v>
      </c>
      <c r="Q89" s="19" t="s">
        <v>63</v>
      </c>
      <c r="R89" s="19" t="s">
        <v>128</v>
      </c>
      <c r="S89" s="24" t="s">
        <v>258</v>
      </c>
      <c r="T89" s="24" t="s">
        <v>259</v>
      </c>
    </row>
    <row r="90" spans="1:20" ht="19.5" customHeight="1" x14ac:dyDescent="0.25">
      <c r="A90" s="27" t="s">
        <v>30</v>
      </c>
      <c r="B90" s="27" t="s">
        <v>260</v>
      </c>
      <c r="C90" s="27" t="s">
        <v>254</v>
      </c>
      <c r="D90" s="27" t="s">
        <v>68</v>
      </c>
      <c r="E90" s="33"/>
      <c r="F90" s="34" t="s">
        <v>76</v>
      </c>
      <c r="G90" s="30" t="s">
        <v>55</v>
      </c>
      <c r="H90" s="30" t="s">
        <v>56</v>
      </c>
      <c r="I90" s="30" t="s">
        <v>57</v>
      </c>
      <c r="J90" s="30" t="s">
        <v>58</v>
      </c>
      <c r="K90" s="30" t="s">
        <v>255</v>
      </c>
      <c r="L90" s="30" t="s">
        <v>256</v>
      </c>
      <c r="M90" s="30" t="s">
        <v>257</v>
      </c>
      <c r="N90" s="30" t="s">
        <v>63</v>
      </c>
      <c r="O90" s="30" t="s">
        <v>63</v>
      </c>
      <c r="P90" s="30" t="s">
        <v>63</v>
      </c>
      <c r="Q90" s="30" t="s">
        <v>63</v>
      </c>
      <c r="R90" s="30" t="s">
        <v>77</v>
      </c>
      <c r="S90" s="27" t="s">
        <v>261</v>
      </c>
      <c r="T90" s="27" t="s">
        <v>262</v>
      </c>
    </row>
    <row r="91" spans="1:20" ht="19.5" customHeight="1" x14ac:dyDescent="0.25">
      <c r="A91" s="24" t="s">
        <v>30</v>
      </c>
      <c r="B91" s="24" t="s">
        <v>263</v>
      </c>
      <c r="C91" s="24" t="s">
        <v>254</v>
      </c>
      <c r="D91" s="24" t="s">
        <v>105</v>
      </c>
      <c r="E91" s="33"/>
      <c r="F91" s="34" t="s">
        <v>76</v>
      </c>
      <c r="G91" s="19" t="s">
        <v>55</v>
      </c>
      <c r="H91" s="19" t="s">
        <v>56</v>
      </c>
      <c r="I91" s="19" t="s">
        <v>57</v>
      </c>
      <c r="J91" s="19" t="s">
        <v>58</v>
      </c>
      <c r="K91" s="19" t="s">
        <v>255</v>
      </c>
      <c r="L91" s="19" t="s">
        <v>256</v>
      </c>
      <c r="M91" s="19" t="s">
        <v>257</v>
      </c>
      <c r="N91" s="19" t="s">
        <v>63</v>
      </c>
      <c r="O91" s="19" t="s">
        <v>63</v>
      </c>
      <c r="P91" s="19" t="s">
        <v>63</v>
      </c>
      <c r="Q91" s="19" t="s">
        <v>63</v>
      </c>
      <c r="R91" s="19" t="s">
        <v>77</v>
      </c>
      <c r="S91" s="24" t="s">
        <v>261</v>
      </c>
      <c r="T91" s="24" t="s">
        <v>262</v>
      </c>
    </row>
    <row r="92" spans="1:20" ht="19.5" customHeight="1" x14ac:dyDescent="0.25">
      <c r="A92" s="27" t="s">
        <v>30</v>
      </c>
      <c r="B92" s="27" t="s">
        <v>264</v>
      </c>
      <c r="C92" s="27" t="s">
        <v>254</v>
      </c>
      <c r="D92" s="27" t="s">
        <v>75</v>
      </c>
      <c r="E92" s="33"/>
      <c r="F92" s="34" t="s">
        <v>142</v>
      </c>
      <c r="G92" s="30" t="s">
        <v>55</v>
      </c>
      <c r="H92" s="30" t="s">
        <v>56</v>
      </c>
      <c r="I92" s="30" t="s">
        <v>57</v>
      </c>
      <c r="J92" s="30" t="s">
        <v>58</v>
      </c>
      <c r="K92" s="30" t="s">
        <v>255</v>
      </c>
      <c r="L92" s="30" t="s">
        <v>256</v>
      </c>
      <c r="M92" s="30" t="s">
        <v>257</v>
      </c>
      <c r="N92" s="30" t="s">
        <v>63</v>
      </c>
      <c r="O92" s="30" t="s">
        <v>63</v>
      </c>
      <c r="P92" s="30" t="s">
        <v>63</v>
      </c>
      <c r="Q92" s="30" t="s">
        <v>63</v>
      </c>
      <c r="R92" s="30" t="s">
        <v>128</v>
      </c>
      <c r="S92" s="27" t="s">
        <v>258</v>
      </c>
      <c r="T92" s="27" t="s">
        <v>259</v>
      </c>
    </row>
    <row r="93" spans="1:20" ht="19.5" customHeight="1" x14ac:dyDescent="0.25">
      <c r="A93" s="24" t="s">
        <v>30</v>
      </c>
      <c r="B93" s="24" t="s">
        <v>265</v>
      </c>
      <c r="C93" s="24" t="s">
        <v>254</v>
      </c>
      <c r="D93" s="24" t="s">
        <v>81</v>
      </c>
      <c r="E93" s="44"/>
      <c r="F93" s="45" t="s">
        <v>111</v>
      </c>
      <c r="G93" s="19" t="s">
        <v>55</v>
      </c>
      <c r="H93" s="19" t="s">
        <v>56</v>
      </c>
      <c r="I93" s="19" t="s">
        <v>57</v>
      </c>
      <c r="J93" s="19" t="s">
        <v>58</v>
      </c>
      <c r="K93" s="19" t="s">
        <v>255</v>
      </c>
      <c r="L93" s="19" t="s">
        <v>256</v>
      </c>
      <c r="M93" s="19" t="s">
        <v>257</v>
      </c>
      <c r="N93" s="19" t="s">
        <v>63</v>
      </c>
      <c r="O93" s="19" t="s">
        <v>63</v>
      </c>
      <c r="P93" s="19" t="s">
        <v>63</v>
      </c>
      <c r="Q93" s="19" t="s">
        <v>63</v>
      </c>
      <c r="R93" s="19" t="s">
        <v>128</v>
      </c>
      <c r="S93" s="24" t="s">
        <v>258</v>
      </c>
      <c r="T93" s="24" t="s">
        <v>259</v>
      </c>
    </row>
    <row r="94" spans="1:20" ht="19.5" customHeight="1" x14ac:dyDescent="0.25">
      <c r="A94" s="27" t="s">
        <v>30</v>
      </c>
      <c r="B94" s="27" t="s">
        <v>266</v>
      </c>
      <c r="C94" s="27" t="s">
        <v>254</v>
      </c>
      <c r="D94" s="27" t="s">
        <v>164</v>
      </c>
      <c r="E94" s="33"/>
      <c r="F94" s="34" t="s">
        <v>76</v>
      </c>
      <c r="G94" s="30" t="s">
        <v>55</v>
      </c>
      <c r="H94" s="30" t="s">
        <v>56</v>
      </c>
      <c r="I94" s="30" t="s">
        <v>57</v>
      </c>
      <c r="J94" s="30" t="s">
        <v>58</v>
      </c>
      <c r="K94" s="30" t="s">
        <v>255</v>
      </c>
      <c r="L94" s="30" t="s">
        <v>256</v>
      </c>
      <c r="M94" s="30" t="s">
        <v>257</v>
      </c>
      <c r="N94" s="30" t="s">
        <v>63</v>
      </c>
      <c r="O94" s="30" t="s">
        <v>63</v>
      </c>
      <c r="P94" s="30" t="s">
        <v>63</v>
      </c>
      <c r="Q94" s="30" t="s">
        <v>63</v>
      </c>
      <c r="R94" s="30" t="s">
        <v>77</v>
      </c>
      <c r="S94" s="27" t="s">
        <v>261</v>
      </c>
      <c r="T94" s="27" t="s">
        <v>262</v>
      </c>
    </row>
    <row r="95" spans="1:20" ht="19.5" customHeight="1" x14ac:dyDescent="0.25">
      <c r="A95" s="24" t="s">
        <v>30</v>
      </c>
      <c r="B95" s="24" t="s">
        <v>267</v>
      </c>
      <c r="C95" s="24" t="s">
        <v>254</v>
      </c>
      <c r="D95" s="24" t="s">
        <v>84</v>
      </c>
      <c r="E95" s="19"/>
      <c r="F95" s="37" t="s">
        <v>85</v>
      </c>
      <c r="G95" s="19" t="s">
        <v>55</v>
      </c>
      <c r="H95" s="19" t="s">
        <v>56</v>
      </c>
      <c r="I95" s="19" t="s">
        <v>57</v>
      </c>
      <c r="J95" s="19" t="s">
        <v>58</v>
      </c>
      <c r="K95" s="19" t="s">
        <v>255</v>
      </c>
      <c r="L95" s="19" t="s">
        <v>256</v>
      </c>
      <c r="M95" s="19" t="s">
        <v>257</v>
      </c>
      <c r="N95" s="19" t="s">
        <v>63</v>
      </c>
      <c r="O95" s="19" t="s">
        <v>63</v>
      </c>
      <c r="P95" s="19" t="s">
        <v>63</v>
      </c>
      <c r="Q95" s="19" t="s">
        <v>63</v>
      </c>
      <c r="R95" s="19" t="s">
        <v>128</v>
      </c>
      <c r="S95" s="24" t="s">
        <v>258</v>
      </c>
      <c r="T95" s="24" t="s">
        <v>259</v>
      </c>
    </row>
  </sheetData>
  <autoFilter ref="A2:T703" xr:uid="{00000000-0009-0000-0000-000001000000}"/>
  <mergeCells count="1">
    <mergeCell ref="A1:T1"/>
  </mergeCells>
  <conditionalFormatting sqref="J3:J703">
    <cfRule type="expression" dxfId="20" priority="18">
      <formula>$J3="Yes"</formula>
    </cfRule>
  </conditionalFormatting>
  <conditionalFormatting sqref="N3:N703">
    <cfRule type="expression" dxfId="19" priority="6">
      <formula>NOT(ISERROR(SEARCH("✓",$N3)))</formula>
    </cfRule>
    <cfRule type="expression" dxfId="18" priority="7">
      <formula>NOT(ISERROR(SEARCH("✗",$N3)))</formula>
    </cfRule>
    <cfRule type="expression" dxfId="17" priority="8">
      <formula>NOT(ISERROR(SEARCH("⚠",$N3)))</formula>
    </cfRule>
  </conditionalFormatting>
  <conditionalFormatting sqref="O3:O703">
    <cfRule type="expression" dxfId="16" priority="9">
      <formula>NOT(ISERROR(SEARCH("✓",$O3)))</formula>
    </cfRule>
    <cfRule type="expression" dxfId="15" priority="10">
      <formula>NOT(ISERROR(SEARCH("✗",$O3)))</formula>
    </cfRule>
    <cfRule type="expression" dxfId="14" priority="11">
      <formula>NOT(ISERROR(SEARCH("⚠",$O3)))</formula>
    </cfRule>
  </conditionalFormatting>
  <conditionalFormatting sqref="P3:P703">
    <cfRule type="expression" dxfId="13" priority="12">
      <formula>NOT(ISERROR(SEARCH("✓",$P3)))</formula>
    </cfRule>
    <cfRule type="expression" dxfId="12" priority="13">
      <formula>NOT(ISERROR(SEARCH("✗",$P3)))</formula>
    </cfRule>
    <cfRule type="expression" dxfId="11" priority="14">
      <formula>NOT(ISERROR(SEARCH("⚠",$P3)))</formula>
    </cfRule>
  </conditionalFormatting>
  <conditionalFormatting sqref="Q3:Q703">
    <cfRule type="expression" dxfId="10" priority="15">
      <formula>NOT(ISERROR(SEARCH("✓",$Q3)))</formula>
    </cfRule>
    <cfRule type="expression" dxfId="9" priority="16">
      <formula>NOT(ISERROR(SEARCH("✗",$Q3)))</formula>
    </cfRule>
    <cfRule type="expression" dxfId="8" priority="17">
      <formula>NOT(ISERROR(SEARCH("⚠",$Q3)))</formula>
    </cfRule>
  </conditionalFormatting>
  <conditionalFormatting sqref="R3:R703">
    <cfRule type="expression" dxfId="7" priority="2">
      <formula>$R3="S"</formula>
    </cfRule>
    <cfRule type="expression" dxfId="6" priority="3">
      <formula>$R3="A"</formula>
    </cfRule>
    <cfRule type="expression" dxfId="5" priority="4">
      <formula>$R3="B"</formula>
    </cfRule>
    <cfRule type="expression" dxfId="4" priority="5">
      <formula>$R3="C"</formula>
    </cfRule>
  </conditionalFormatting>
  <conditionalFormatting sqref="T3:T703">
    <cfRule type="expression" dxfId="3" priority="19">
      <formula>NOT(ISERROR(SEARCH("hardened nozzle",$T3)))</formula>
    </cfRule>
  </conditionalFormatting>
  <dataValidations count="5">
    <dataValidation type="list" allowBlank="1" sqref="R3:R196" xr:uid="{00000000-0002-0000-0100-000000000000}">
      <formula1>"S,A,B,C"</formula1>
      <formula2>0</formula2>
    </dataValidation>
    <dataValidation type="list" allowBlank="1" sqref="I3:I196" xr:uid="{00000000-0002-0000-0100-000001000000}">
      <formula1>"Cardboard,Plastic"</formula1>
      <formula2>0</formula2>
    </dataValidation>
    <dataValidation type="list" allowBlank="1" sqref="J3:J196" xr:uid="{00000000-0002-0000-0100-000002000000}">
      <formula1>"Yes,No"</formula1>
      <formula2>0</formula2>
    </dataValidation>
    <dataValidation type="list" allowBlank="1" sqref="G3:G196" xr:uid="{00000000-0002-0000-0100-000003000000}">
      <formula1>"1.75mm,2.85mm"</formula1>
      <formula2>0</formula2>
    </dataValidation>
    <dataValidation type="list" allowBlank="1" sqref="N3:Q196" xr:uid="{00000000-0002-0000-0100-000004000000}">
      <formula1>"✓,✗,⚠"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H9"/>
  <sheetViews>
    <sheetView zoomScaleNormal="100" workbookViewId="0">
      <pane ySplit="2" topLeftCell="A3" activePane="bottomLeft" state="frozen"/>
      <selection pane="bottomLeft" sqref="A1:H1"/>
    </sheetView>
  </sheetViews>
  <sheetFormatPr defaultColWidth="8.7109375" defaultRowHeight="15" x14ac:dyDescent="0.25"/>
  <cols>
    <col min="1" max="1" width="13" bestFit="1" customWidth="1"/>
    <col min="2" max="2" width="16.140625" bestFit="1" customWidth="1"/>
    <col min="3" max="3" width="15.42578125" bestFit="1" customWidth="1"/>
    <col min="4" max="4" width="15" bestFit="1" customWidth="1"/>
    <col min="5" max="5" width="16" bestFit="1" customWidth="1"/>
    <col min="6" max="6" width="20.42578125" bestFit="1" customWidth="1"/>
    <col min="7" max="7" width="19" bestFit="1" customWidth="1"/>
    <col min="8" max="8" width="255.7109375" bestFit="1" customWidth="1"/>
  </cols>
  <sheetData>
    <row r="1" spans="1:8" ht="30" customHeight="1" x14ac:dyDescent="0.25">
      <c r="A1" s="2" t="s">
        <v>268</v>
      </c>
      <c r="B1" s="2"/>
      <c r="C1" s="2"/>
      <c r="D1" s="2"/>
      <c r="E1" s="2"/>
      <c r="F1" s="2"/>
      <c r="G1" s="2"/>
      <c r="H1" s="2"/>
    </row>
    <row r="2" spans="1:8" ht="33.75" customHeight="1" x14ac:dyDescent="0.25">
      <c r="A2" s="23" t="s">
        <v>269</v>
      </c>
      <c r="B2" s="23" t="s">
        <v>41</v>
      </c>
      <c r="C2" s="23" t="s">
        <v>42</v>
      </c>
      <c r="D2" s="23" t="s">
        <v>270</v>
      </c>
      <c r="E2" s="23" t="s">
        <v>271</v>
      </c>
      <c r="F2" s="23" t="s">
        <v>272</v>
      </c>
      <c r="G2" s="23" t="s">
        <v>43</v>
      </c>
      <c r="H2" s="23" t="s">
        <v>50</v>
      </c>
    </row>
    <row r="3" spans="1:8" ht="19.5" customHeight="1" x14ac:dyDescent="0.25">
      <c r="A3" s="24" t="s">
        <v>26</v>
      </c>
      <c r="B3" s="19" t="s">
        <v>125</v>
      </c>
      <c r="C3" s="19" t="s">
        <v>126</v>
      </c>
      <c r="D3" s="19" t="s">
        <v>273</v>
      </c>
      <c r="E3" s="19" t="s">
        <v>62</v>
      </c>
      <c r="F3" s="19" t="s">
        <v>274</v>
      </c>
      <c r="G3" s="19" t="s">
        <v>127</v>
      </c>
      <c r="H3" s="24" t="s">
        <v>275</v>
      </c>
    </row>
    <row r="4" spans="1:8" ht="19.5" customHeight="1" x14ac:dyDescent="0.25">
      <c r="A4" s="27" t="s">
        <v>27</v>
      </c>
      <c r="B4" s="30" t="s">
        <v>176</v>
      </c>
      <c r="C4" s="30" t="s">
        <v>177</v>
      </c>
      <c r="D4" s="30" t="s">
        <v>273</v>
      </c>
      <c r="E4" s="30" t="s">
        <v>62</v>
      </c>
      <c r="F4" s="30" t="s">
        <v>274</v>
      </c>
      <c r="G4" s="30" t="s">
        <v>178</v>
      </c>
      <c r="H4" s="27" t="s">
        <v>276</v>
      </c>
    </row>
    <row r="5" spans="1:8" ht="19.5" customHeight="1" x14ac:dyDescent="0.25">
      <c r="A5" s="24" t="s">
        <v>28</v>
      </c>
      <c r="B5" s="19" t="s">
        <v>125</v>
      </c>
      <c r="C5" s="19" t="s">
        <v>126</v>
      </c>
      <c r="D5" s="19" t="s">
        <v>273</v>
      </c>
      <c r="E5" s="19" t="s">
        <v>62</v>
      </c>
      <c r="F5" s="19" t="s">
        <v>274</v>
      </c>
      <c r="G5" s="19" t="s">
        <v>127</v>
      </c>
      <c r="H5" s="24" t="s">
        <v>277</v>
      </c>
    </row>
    <row r="6" spans="1:8" ht="19.5" customHeight="1" x14ac:dyDescent="0.25">
      <c r="A6" s="27" t="s">
        <v>30</v>
      </c>
      <c r="B6" s="30" t="s">
        <v>255</v>
      </c>
      <c r="C6" s="30" t="s">
        <v>256</v>
      </c>
      <c r="D6" s="30" t="s">
        <v>273</v>
      </c>
      <c r="E6" s="30" t="s">
        <v>273</v>
      </c>
      <c r="F6" s="30" t="s">
        <v>58</v>
      </c>
      <c r="G6" s="30" t="s">
        <v>257</v>
      </c>
      <c r="H6" s="27" t="s">
        <v>278</v>
      </c>
    </row>
    <row r="7" spans="1:8" ht="19.5" customHeight="1" x14ac:dyDescent="0.25">
      <c r="A7" s="24" t="s">
        <v>24</v>
      </c>
      <c r="B7" s="19" t="s">
        <v>59</v>
      </c>
      <c r="C7" s="19" t="s">
        <v>60</v>
      </c>
      <c r="D7" s="19" t="s">
        <v>58</v>
      </c>
      <c r="E7" s="19" t="s">
        <v>62</v>
      </c>
      <c r="F7" s="19" t="s">
        <v>58</v>
      </c>
      <c r="G7" s="19" t="s">
        <v>61</v>
      </c>
      <c r="H7" s="24" t="s">
        <v>279</v>
      </c>
    </row>
    <row r="8" spans="1:8" ht="19.5" customHeight="1" x14ac:dyDescent="0.25">
      <c r="A8" s="27" t="s">
        <v>25</v>
      </c>
      <c r="B8" s="30" t="s">
        <v>90</v>
      </c>
      <c r="C8" s="30" t="s">
        <v>91</v>
      </c>
      <c r="D8" s="30" t="s">
        <v>273</v>
      </c>
      <c r="E8" s="30" t="s">
        <v>62</v>
      </c>
      <c r="F8" s="30" t="s">
        <v>58</v>
      </c>
      <c r="G8" s="30" t="s">
        <v>92</v>
      </c>
      <c r="H8" s="27" t="s">
        <v>280</v>
      </c>
    </row>
    <row r="9" spans="1:8" ht="19.5" customHeight="1" x14ac:dyDescent="0.25">
      <c r="A9" s="24" t="s">
        <v>29</v>
      </c>
      <c r="B9" s="19" t="s">
        <v>176</v>
      </c>
      <c r="C9" s="19" t="s">
        <v>177</v>
      </c>
      <c r="D9" s="19" t="s">
        <v>273</v>
      </c>
      <c r="E9" s="19" t="s">
        <v>62</v>
      </c>
      <c r="F9" s="19" t="s">
        <v>274</v>
      </c>
      <c r="G9" s="19" t="s">
        <v>178</v>
      </c>
      <c r="H9" s="24" t="s">
        <v>281</v>
      </c>
    </row>
  </sheetData>
  <autoFilter ref="A2:H63" xr:uid="{00000000-0009-0000-0000-000002000000}"/>
  <mergeCells count="1">
    <mergeCell ref="A1:H1"/>
  </mergeCells>
  <conditionalFormatting sqref="D3:D20">
    <cfRule type="expression" dxfId="2" priority="2">
      <formula>$D3="Yes"</formula>
    </cfRule>
  </conditionalFormatting>
  <conditionalFormatting sqref="E3:E20">
    <cfRule type="expression" dxfId="1" priority="3">
      <formula>$E3="No"</formula>
    </cfRule>
    <cfRule type="expression" dxfId="0" priority="4">
      <formula>NOT(ISERROR(SEARCH("⚠",$E3)))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8"/>
  <sheetViews>
    <sheetView zoomScaleNormal="100" workbookViewId="0">
      <selection sqref="A1:C1"/>
    </sheetView>
  </sheetViews>
  <sheetFormatPr defaultColWidth="8.7109375" defaultRowHeight="15" x14ac:dyDescent="0.25"/>
  <cols>
    <col min="1" max="1" width="14.28515625" bestFit="1" customWidth="1"/>
    <col min="2" max="2" width="219.7109375" bestFit="1" customWidth="1"/>
    <col min="3" max="3" width="72.85546875" bestFit="1" customWidth="1"/>
  </cols>
  <sheetData>
    <row r="1" spans="1:3" ht="25.5" customHeight="1" x14ac:dyDescent="0.25">
      <c r="A1" s="1" t="s">
        <v>282</v>
      </c>
      <c r="B1" s="1"/>
      <c r="C1" s="1"/>
    </row>
    <row r="2" spans="1:3" ht="21.75" customHeight="1" x14ac:dyDescent="0.25">
      <c r="A2" s="20" t="s">
        <v>283</v>
      </c>
      <c r="B2" s="20" t="s">
        <v>284</v>
      </c>
      <c r="C2" s="20" t="s">
        <v>50</v>
      </c>
    </row>
    <row r="3" spans="1:3" ht="18" customHeight="1" x14ac:dyDescent="0.25">
      <c r="A3" s="82" t="s">
        <v>285</v>
      </c>
      <c r="B3" s="83" t="s">
        <v>286</v>
      </c>
      <c r="C3" s="84"/>
    </row>
    <row r="4" spans="1:3" ht="18" customHeight="1" x14ac:dyDescent="0.25">
      <c r="A4" s="82" t="s">
        <v>287</v>
      </c>
      <c r="B4" s="85" t="s">
        <v>288</v>
      </c>
      <c r="C4" s="84"/>
    </row>
    <row r="5" spans="1:3" ht="18" customHeight="1" x14ac:dyDescent="0.25">
      <c r="A5" s="82" t="s">
        <v>289</v>
      </c>
      <c r="B5" s="85" t="s">
        <v>290</v>
      </c>
      <c r="C5" s="84" t="s">
        <v>291</v>
      </c>
    </row>
    <row r="6" spans="1:3" ht="18" customHeight="1" x14ac:dyDescent="0.25">
      <c r="A6" s="82" t="s">
        <v>292</v>
      </c>
      <c r="B6" s="85" t="s">
        <v>293</v>
      </c>
      <c r="C6" s="84" t="s">
        <v>294</v>
      </c>
    </row>
    <row r="7" spans="1:3" ht="18" customHeight="1" x14ac:dyDescent="0.25">
      <c r="A7" s="82" t="s">
        <v>295</v>
      </c>
      <c r="B7" s="85" t="s">
        <v>296</v>
      </c>
      <c r="C7" s="84" t="s">
        <v>297</v>
      </c>
    </row>
    <row r="8" spans="1:3" ht="18" customHeight="1" x14ac:dyDescent="0.25">
      <c r="A8" s="82" t="s">
        <v>298</v>
      </c>
      <c r="B8" s="85" t="s">
        <v>299</v>
      </c>
      <c r="C8" s="84" t="s">
        <v>300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Catalog</vt:lpstr>
      <vt:lpstr>Material Guide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Wayne Varnado</cp:lastModifiedBy>
  <cp:revision>0</cp:revision>
  <dcterms:created xsi:type="dcterms:W3CDTF">2026-09-27T00:28:44Z</dcterms:created>
  <dcterms:modified xsi:type="dcterms:W3CDTF">2026-09-27T00:33:12Z</dcterms:modified>
  <dc:language>en-US</dc:language>
</cp:coreProperties>
</file>