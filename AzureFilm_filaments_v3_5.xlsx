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EEF3FB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5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AzureFilm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PA</t>
        </is>
      </c>
      <c r="B28" s="20">
        <f>COUNTIF(Catalog!A3:A700,"PA")</f>
        <v/>
      </c>
    </row>
    <row r="29" ht="18" customHeight="1">
      <c r="A29" s="19" t="inlineStr">
        <is>
          <t>PC-ABS</t>
        </is>
      </c>
      <c r="B29" s="20">
        <f>COUNTIF(Catalog!A3:A700,"PC-ABS")</f>
        <v/>
      </c>
    </row>
    <row r="30" ht="18" customHeight="1">
      <c r="A30" s="19" t="inlineStr">
        <is>
          <t>PETG</t>
        </is>
      </c>
      <c r="B30" s="20">
        <f>COUNTIF(Catalog!A3:A700,"PETG")</f>
        <v/>
      </c>
    </row>
    <row r="31" ht="18" customHeight="1">
      <c r="A31" s="19" t="inlineStr">
        <is>
          <t>PLA</t>
        </is>
      </c>
      <c r="B31" s="20">
        <f>COUNTIF(Catalog!A3:A700,"PLA")</f>
        <v/>
      </c>
    </row>
    <row r="32" ht="18" customHeight="1">
      <c r="A32" s="19" t="inlineStr">
        <is>
          <t>PLA Glitter</t>
        </is>
      </c>
      <c r="B32" s="20">
        <f>COUNTIF(Catalog!A3:A700,"PLA Glitter")</f>
        <v/>
      </c>
    </row>
    <row r="33" ht="18" customHeight="1">
      <c r="A33" s="19" t="inlineStr">
        <is>
          <t>PLA Matte</t>
        </is>
      </c>
      <c r="B33" s="20">
        <f>COUNTIF(Catalog!A3:A700,"PLA Matte")</f>
        <v/>
      </c>
    </row>
    <row r="34" ht="18" customHeight="1">
      <c r="A34" s="19" t="inlineStr">
        <is>
          <t>PLA Pastel</t>
        </is>
      </c>
      <c r="B34" s="20">
        <f>COUNTIF(Catalog!A3:A700,"PLA Pastel")</f>
        <v/>
      </c>
    </row>
    <row r="35" ht="18" customHeight="1">
      <c r="A35" s="19" t="inlineStr">
        <is>
          <t>PLA Prime</t>
        </is>
      </c>
      <c r="B35" s="20">
        <f>COUNTIF(Catalog!A3:A700,"PLA Prime")</f>
        <v/>
      </c>
    </row>
    <row r="36" ht="18" customHeight="1">
      <c r="A36" s="19" t="inlineStr">
        <is>
          <t>PLA Silk</t>
        </is>
      </c>
      <c r="B36" s="20">
        <f>COUNTIF(Catalog!A3:A700,"PLA Silk")</f>
        <v/>
      </c>
    </row>
    <row r="37" ht="18" customHeight="1">
      <c r="A37" s="19" t="inlineStr">
        <is>
          <t>PLA Wood</t>
        </is>
      </c>
      <c r="B37" s="20">
        <f>COUNTIF(Catalog!A3:A700,"PLA Wood")</f>
        <v/>
      </c>
    </row>
    <row r="38" ht="18" customHeight="1">
      <c r="A38" s="19" t="inlineStr">
        <is>
          <t>PLA-CF</t>
        </is>
      </c>
      <c r="B38" s="20">
        <f>COUNTIF(Catalog!A3:A700,"PLA-CF")</f>
        <v/>
      </c>
    </row>
    <row r="39" ht="18" customHeight="1">
      <c r="A39" s="19" t="inlineStr">
        <is>
          <t>TPU</t>
        </is>
      </c>
      <c r="B39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AzureFilm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AZ-ABS-BLK</t>
        </is>
      </c>
      <c r="C3" s="23" t="inlineStr">
        <is>
          <t>AzureFilm ABS Plus</t>
        </is>
      </c>
      <c r="D3" s="23" t="inlineStr">
        <is>
          <t>Black</t>
        </is>
      </c>
      <c r="E3" s="24" t="inlineStr"/>
      <c r="F3" s="25" t="inlineStr">
        <is>
          <t>#0D0D0D</t>
        </is>
      </c>
      <c r="G3" s="16" t="inlineStr">
        <is>
          <t>1.75mm</t>
        </is>
      </c>
      <c r="H3" s="16" t="inlineStr">
        <is>
          <t>±0.02mm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240–260°C</t>
        </is>
      </c>
      <c r="L3" s="16" t="inlineStr">
        <is>
          <t>90–120°C</t>
        </is>
      </c>
      <c r="M3" s="16" t="inlineStr">
        <is>
          <t>70°C / 4h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Manufacturer product-page confirmed; enclosure required; AMS Lite unsuitable for ABS</t>
        </is>
      </c>
      <c r="T3" s="23" t="inlineStr"/>
    </row>
    <row r="4" ht="20" customHeight="1">
      <c r="A4" s="26" t="inlineStr">
        <is>
          <t>ABS</t>
        </is>
      </c>
      <c r="B4" s="26" t="inlineStr">
        <is>
          <t>AZ-ABS-WHT</t>
        </is>
      </c>
      <c r="C4" s="26" t="inlineStr">
        <is>
          <t>AzureFilm ABS Prime</t>
        </is>
      </c>
      <c r="D4" s="26" t="inlineStr">
        <is>
          <t>White</t>
        </is>
      </c>
      <c r="E4" s="27" t="inlineStr"/>
      <c r="F4" s="28" t="inlineStr">
        <is>
          <t>#F0F0EA</t>
        </is>
      </c>
      <c r="G4" s="29" t="inlineStr">
        <is>
          <t>1.75mm</t>
        </is>
      </c>
      <c r="H4" s="29" t="inlineStr">
        <is>
          <t>±0.02mm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240–265°C</t>
        </is>
      </c>
      <c r="L4" s="29" t="inlineStr">
        <is>
          <t>70–100°C</t>
        </is>
      </c>
      <c r="M4" s="29" t="inlineStr">
        <is>
          <t>70°C / 4h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Manufacturer product-page confirmed; zero-warping formula; enclosure recommended; AMS Lite ✗</t>
        </is>
      </c>
      <c r="T4" s="26" t="inlineStr"/>
    </row>
    <row r="5" ht="20" customHeight="1">
      <c r="A5" s="23" t="inlineStr">
        <is>
          <t>ASA</t>
        </is>
      </c>
      <c r="B5" s="23" t="inlineStr">
        <is>
          <t>AZ-ASA-BLK</t>
        </is>
      </c>
      <c r="C5" s="23" t="inlineStr">
        <is>
          <t>AzureFilm ASA Original</t>
        </is>
      </c>
      <c r="D5" s="23" t="inlineStr">
        <is>
          <t>Black</t>
        </is>
      </c>
      <c r="E5" s="24" t="inlineStr"/>
      <c r="F5" s="25" t="inlineStr">
        <is>
          <t>#0D0D0D</t>
        </is>
      </c>
      <c r="G5" s="16" t="inlineStr">
        <is>
          <t>1.75mm</t>
        </is>
      </c>
      <c r="H5" s="16" t="inlineStr">
        <is>
          <t>±0.02mm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240–260°C</t>
        </is>
      </c>
      <c r="L5" s="16" t="inlineStr">
        <is>
          <t>90–120°C</t>
        </is>
      </c>
      <c r="M5" s="16" t="inlineStr">
        <is>
          <t>70°C / 4h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Manufacturer TDS-confirmed (azurefilm.com); enclosure required; UV/weather-resistant</t>
        </is>
      </c>
      <c r="T5" s="23" t="inlineStr"/>
    </row>
    <row r="6" ht="20" customHeight="1">
      <c r="A6" s="26" t="inlineStr">
        <is>
          <t>ASA</t>
        </is>
      </c>
      <c r="B6" s="26" t="inlineStr">
        <is>
          <t>AZ-ASA-GRY</t>
        </is>
      </c>
      <c r="C6" s="26" t="inlineStr">
        <is>
          <t>AzureFilm ASA Prime</t>
        </is>
      </c>
      <c r="D6" s="26" t="inlineStr">
        <is>
          <t>Grey</t>
        </is>
      </c>
      <c r="E6" s="30" t="inlineStr"/>
      <c r="F6" s="31" t="inlineStr">
        <is>
          <t>#7C7F82</t>
        </is>
      </c>
      <c r="G6" s="29" t="inlineStr">
        <is>
          <t>1.75mm</t>
        </is>
      </c>
      <c r="H6" s="29" t="inlineStr">
        <is>
          <t>±0.02mm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240–260°C</t>
        </is>
      </c>
      <c r="L6" s="29" t="inlineStr">
        <is>
          <t>90–120°C</t>
        </is>
      </c>
      <c r="M6" s="29" t="inlineStr">
        <is>
          <t>70°C / 4h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Manufacturer TDS-confirmed (azurefilm.com); enclosure required; UV/weather-resistant</t>
        </is>
      </c>
      <c r="T6" s="26" t="inlineStr"/>
    </row>
    <row r="7" ht="20" customHeight="1">
      <c r="A7" s="23" t="inlineStr">
        <is>
          <t>PA</t>
        </is>
      </c>
      <c r="B7" s="23" t="inlineStr">
        <is>
          <t>AZ-NYLON-01</t>
        </is>
      </c>
      <c r="C7" s="23" t="inlineStr">
        <is>
          <t>AzureFilm Nylon</t>
        </is>
      </c>
      <c r="D7" s="23" t="inlineStr">
        <is>
          <t>Natural</t>
        </is>
      </c>
      <c r="E7" s="32" t="inlineStr"/>
      <c r="F7" s="33" t="inlineStr">
        <is>
          <t>#F0EAE0</t>
        </is>
      </c>
      <c r="G7" s="16" t="inlineStr">
        <is>
          <t>1.75mm</t>
        </is>
      </c>
      <c r="H7" s="16" t="inlineStr">
        <is>
          <t>±0.05mm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250–270°C</t>
        </is>
      </c>
      <c r="L7" s="16" t="inlineStr">
        <is>
          <t>70–90°C</t>
        </is>
      </c>
      <c r="M7" s="16" t="inlineStr">
        <is>
          <t>80°C / 12h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(azurefilm.com nav: "NYLON filaments"); very moisture-sensitive</t>
        </is>
      </c>
      <c r="T7" s="23" t="inlineStr">
        <is>
          <t>Deep-dive follow-up 2026-07-19; NEW LINE — not previously in catalog</t>
        </is>
      </c>
    </row>
    <row r="8" ht="20" customHeight="1">
      <c r="A8" s="26" t="inlineStr">
        <is>
          <t>PC-ABS</t>
        </is>
      </c>
      <c r="B8" s="26" t="inlineStr">
        <is>
          <t>AZ-PCABS-01</t>
        </is>
      </c>
      <c r="C8" s="26" t="inlineStr">
        <is>
          <t>AzureFilm PC-ABS</t>
        </is>
      </c>
      <c r="D8" s="26" t="inlineStr">
        <is>
          <t>Black</t>
        </is>
      </c>
      <c r="E8" s="24" t="inlineStr"/>
      <c r="F8" s="25" t="inlineStr">
        <is>
          <t>#0D0D0D</t>
        </is>
      </c>
      <c r="G8" s="29" t="inlineStr">
        <is>
          <t>1.75mm</t>
        </is>
      </c>
      <c r="H8" s="29" t="inlineStr">
        <is>
          <t>±0.05mm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250–270°C</t>
        </is>
      </c>
      <c r="L8" s="29" t="inlineStr">
        <is>
          <t>90–110°C</t>
        </is>
      </c>
      <c r="M8" s="29" t="inlineStr">
        <is>
          <t>70°C / 8h</t>
        </is>
      </c>
      <c r="N8" s="29" t="inlineStr">
        <is>
          <t>✓</t>
        </is>
      </c>
      <c r="O8" s="29" t="inlineStr">
        <is>
          <t>✗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existence confirmed (azurefilm.com nav: "PC ABS Filaments"); enclosure required</t>
        </is>
      </c>
      <c r="T8" s="26" t="inlineStr">
        <is>
          <t>Deep-dive follow-up 2026-07-19; NEW LINE — not previously in catalog</t>
        </is>
      </c>
    </row>
    <row r="9" ht="20" customHeight="1">
      <c r="A9" s="23" t="inlineStr">
        <is>
          <t>PETG</t>
        </is>
      </c>
      <c r="B9" s="23" t="inlineStr">
        <is>
          <t>AZ-PET-BLK</t>
        </is>
      </c>
      <c r="C9" s="23" t="inlineStr">
        <is>
          <t>AzureFilm PETG</t>
        </is>
      </c>
      <c r="D9" s="23" t="inlineStr">
        <is>
          <t>Black</t>
        </is>
      </c>
      <c r="E9" s="24" t="inlineStr"/>
      <c r="F9" s="25" t="inlineStr">
        <is>
          <t>#0D0D0D</t>
        </is>
      </c>
      <c r="G9" s="16" t="inlineStr">
        <is>
          <t>1.75mm</t>
        </is>
      </c>
      <c r="H9" s="16" t="inlineStr">
        <is>
          <t>±0.02mm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220–240°C</t>
        </is>
      </c>
      <c r="L9" s="16" t="inlineStr">
        <is>
          <t>80–90°C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Manufacturer TDS-confirmed (azurefilm.com); standard reel, not Bambu-verified</t>
        </is>
      </c>
      <c r="T9" s="23" t="inlineStr"/>
    </row>
    <row r="10" ht="20" customHeight="1">
      <c r="A10" s="26" t="inlineStr">
        <is>
          <t>PETG</t>
        </is>
      </c>
      <c r="B10" s="26" t="inlineStr">
        <is>
          <t>AZ-PET-CLR</t>
        </is>
      </c>
      <c r="C10" s="26" t="inlineStr">
        <is>
          <t>AzureFilm PETG</t>
        </is>
      </c>
      <c r="D10" s="26" t="inlineStr">
        <is>
          <t>Clear / Natural</t>
        </is>
      </c>
      <c r="E10" s="34" t="inlineStr"/>
      <c r="F10" s="35" t="inlineStr">
        <is>
          <t>#E7F2F1</t>
        </is>
      </c>
      <c r="G10" s="29" t="inlineStr">
        <is>
          <t>1.75mm</t>
        </is>
      </c>
      <c r="H10" s="29" t="inlineStr">
        <is>
          <t>±0.02mm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220–240°C</t>
        </is>
      </c>
      <c r="L10" s="29" t="inlineStr">
        <is>
          <t>80–90°C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Manufacturer TDS-confirmed (azurefilm.com); standard reel, not Bambu-verified</t>
        </is>
      </c>
      <c r="T10" s="26" t="inlineStr">
        <is>
          <t>Translucent</t>
        </is>
      </c>
    </row>
    <row r="11" ht="20" customHeight="1">
      <c r="A11" s="23" t="inlineStr">
        <is>
          <t>PETG</t>
        </is>
      </c>
      <c r="B11" s="23" t="inlineStr">
        <is>
          <t>AZ-PET-WHT</t>
        </is>
      </c>
      <c r="C11" s="23" t="inlineStr">
        <is>
          <t>AzureFilm PETG</t>
        </is>
      </c>
      <c r="D11" s="23" t="inlineStr">
        <is>
          <t>White</t>
        </is>
      </c>
      <c r="E11" s="27" t="inlineStr"/>
      <c r="F11" s="28" t="inlineStr">
        <is>
          <t>#F0F0EA</t>
        </is>
      </c>
      <c r="G11" s="16" t="inlineStr">
        <is>
          <t>1.75mm</t>
        </is>
      </c>
      <c r="H11" s="16" t="inlineStr">
        <is>
          <t>±0.02mm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220–240°C</t>
        </is>
      </c>
      <c r="L11" s="16" t="inlineStr">
        <is>
          <t>80–90°C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Manufacturer TDS-confirmed (azurefilm.com); standard reel, not Bambu-verified</t>
        </is>
      </c>
      <c r="T11" s="23" t="inlineStr"/>
    </row>
    <row r="12" ht="20" customHeight="1">
      <c r="A12" s="26" t="inlineStr">
        <is>
          <t>PLA</t>
        </is>
      </c>
      <c r="B12" s="26" t="inlineStr">
        <is>
          <t>AZ-PLA-BLK</t>
        </is>
      </c>
      <c r="C12" s="26" t="inlineStr">
        <is>
          <t>AzureFilm Original PLA</t>
        </is>
      </c>
      <c r="D12" s="26" t="inlineStr">
        <is>
          <t>Black</t>
        </is>
      </c>
      <c r="E12" s="24" t="inlineStr"/>
      <c r="F12" s="25" t="inlineStr">
        <is>
          <t>#0D0D0D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200–230°C</t>
        </is>
      </c>
      <c r="L12" s="29" t="inlineStr">
        <is>
          <t>50–60°C (not required)</t>
        </is>
      </c>
      <c r="M12" s="29" t="inlineStr">
        <is>
          <t>45°C / 4h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 TDS-confirmed (azurefilm.com); standard reel, not Bambu-verified</t>
        </is>
      </c>
      <c r="T12" s="26" t="inlineStr"/>
    </row>
    <row r="13" ht="20" customHeight="1">
      <c r="A13" s="23" t="inlineStr">
        <is>
          <t>PLA</t>
        </is>
      </c>
      <c r="B13" s="23" t="inlineStr">
        <is>
          <t>AZ-SMN-BLK</t>
        </is>
      </c>
      <c r="C13" s="23" t="inlineStr">
        <is>
          <t>AzureFilm Strongman PLA</t>
        </is>
      </c>
      <c r="D13" s="23" t="inlineStr">
        <is>
          <t>Black</t>
        </is>
      </c>
      <c r="E13" s="24" t="inlineStr"/>
      <c r="F13" s="25" t="inlineStr">
        <is>
          <t>#0D0D0D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200–230°C</t>
        </is>
      </c>
      <c r="L13" s="16" t="inlineStr">
        <is>
          <t>50–60°C (not required)</t>
        </is>
      </c>
      <c r="M13" s="16" t="inlineStr">
        <is>
          <t>50°C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Toughened PLA blend; manufacturer TDS-confirmed (azurefilm.com)</t>
        </is>
      </c>
      <c r="T13" s="23" t="inlineStr"/>
    </row>
    <row r="14" ht="20" customHeight="1">
      <c r="A14" s="26" t="inlineStr">
        <is>
          <t>PLA</t>
        </is>
      </c>
      <c r="B14" s="26" t="inlineStr">
        <is>
          <t>AZ-PLA-BLU</t>
        </is>
      </c>
      <c r="C14" s="26" t="inlineStr">
        <is>
          <t>AzureFilm Original PLA</t>
        </is>
      </c>
      <c r="D14" s="26" t="inlineStr">
        <is>
          <t>Blue</t>
        </is>
      </c>
      <c r="E14" s="36" t="inlineStr"/>
      <c r="F14" s="37" t="inlineStr">
        <is>
          <t>#1F5FA8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200–230°C</t>
        </is>
      </c>
      <c r="L14" s="29" t="inlineStr">
        <is>
          <t>50–60°C (not required)</t>
        </is>
      </c>
      <c r="M14" s="29" t="inlineStr">
        <is>
          <t>45°C / 4h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 TDS-confirmed (azurefilm.com); standard reel, not Bambu-verified</t>
        </is>
      </c>
      <c r="T14" s="26" t="inlineStr"/>
    </row>
    <row r="15" ht="20" customHeight="1">
      <c r="A15" s="23" t="inlineStr">
        <is>
          <t>PLA</t>
        </is>
      </c>
      <c r="B15" s="23" t="inlineStr">
        <is>
          <t>AZ-PLA-EMR</t>
        </is>
      </c>
      <c r="C15" s="23" t="inlineStr">
        <is>
          <t>AzureFilm Original PLA</t>
        </is>
      </c>
      <c r="D15" s="23" t="inlineStr">
        <is>
          <t>Emerald Green</t>
        </is>
      </c>
      <c r="E15" s="38" t="inlineStr"/>
      <c r="F15" s="39" t="inlineStr">
        <is>
          <t>#285D5E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200–230°C</t>
        </is>
      </c>
      <c r="L15" s="16" t="inlineStr">
        <is>
          <t>50–60°C (not required)</t>
        </is>
      </c>
      <c r="M15" s="16" t="inlineStr">
        <is>
          <t>45°C / 4h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 TDS-confirmed (azurefilm.com); standard reel, not Bambu-verified</t>
        </is>
      </c>
      <c r="T15" s="23" t="inlineStr">
        <is>
          <t>Hex colorimeter-confirmed (filamentcolors.xyz)</t>
        </is>
      </c>
    </row>
    <row r="16" ht="20" customHeight="1">
      <c r="A16" s="26" t="inlineStr">
        <is>
          <t>PLA</t>
        </is>
      </c>
      <c r="B16" s="26" t="inlineStr">
        <is>
          <t>AZ-PLA-GRY</t>
        </is>
      </c>
      <c r="C16" s="26" t="inlineStr">
        <is>
          <t>AzureFilm Original PLA</t>
        </is>
      </c>
      <c r="D16" s="26" t="inlineStr">
        <is>
          <t>Grey</t>
        </is>
      </c>
      <c r="E16" s="40" t="inlineStr"/>
      <c r="F16" s="41" t="inlineStr">
        <is>
          <t>#8D989D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200–230°C</t>
        </is>
      </c>
      <c r="L16" s="29" t="inlineStr">
        <is>
          <t>50–60°C (not required)</t>
        </is>
      </c>
      <c r="M16" s="29" t="inlineStr">
        <is>
          <t>45°C / 4h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 TDS-confirmed (azurefilm.com); standard reel, not Bambu-verified</t>
        </is>
      </c>
      <c r="T16" s="26" t="inlineStr">
        <is>
          <t>Hex colorimeter-confirmed (filamentcolors.xyz)</t>
        </is>
      </c>
    </row>
    <row r="17" ht="20" customHeight="1">
      <c r="A17" s="23" t="inlineStr">
        <is>
          <t>PLA</t>
        </is>
      </c>
      <c r="B17" s="23" t="inlineStr">
        <is>
          <t>AZ-SMN-GRY</t>
        </is>
      </c>
      <c r="C17" s="23" t="inlineStr">
        <is>
          <t>AzureFilm Strongman PLA</t>
        </is>
      </c>
      <c r="D17" s="23" t="inlineStr">
        <is>
          <t>Grey</t>
        </is>
      </c>
      <c r="E17" s="42" t="inlineStr"/>
      <c r="F17" s="43" t="inlineStr">
        <is>
          <t>#8A8F94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200–230°C</t>
        </is>
      </c>
      <c r="L17" s="16" t="inlineStr">
        <is>
          <t>50–60°C (not required)</t>
        </is>
      </c>
      <c r="M17" s="16" t="inlineStr">
        <is>
          <t>50°C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Toughened PLA blend; manufacturer TDS-confirmed (azurefilm.com)</t>
        </is>
      </c>
      <c r="T17" s="23" t="inlineStr"/>
    </row>
    <row r="18" ht="20" customHeight="1">
      <c r="A18" s="26" t="inlineStr">
        <is>
          <t>PLA</t>
        </is>
      </c>
      <c r="B18" s="26" t="inlineStr">
        <is>
          <t>AZ-PLA-LGR</t>
        </is>
      </c>
      <c r="C18" s="26" t="inlineStr">
        <is>
          <t>AzureFilm Original PLA</t>
        </is>
      </c>
      <c r="D18" s="26" t="inlineStr">
        <is>
          <t>Light Green</t>
        </is>
      </c>
      <c r="E18" s="44" t="inlineStr"/>
      <c r="F18" s="45" t="inlineStr">
        <is>
          <t>#8CC63F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200–230°C</t>
        </is>
      </c>
      <c r="L18" s="29" t="inlineStr">
        <is>
          <t>50–60°C (not required)</t>
        </is>
      </c>
      <c r="M18" s="29" t="inlineStr">
        <is>
          <t>45°C / 4h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 TDS-confirmed (azurefilm.com); standard reel, not Bambu-verified</t>
        </is>
      </c>
      <c r="T18" s="26" t="inlineStr"/>
    </row>
    <row r="19" ht="20" customHeight="1">
      <c r="A19" s="23" t="inlineStr">
        <is>
          <t>PLA</t>
        </is>
      </c>
      <c r="B19" s="23" t="inlineStr">
        <is>
          <t>AZ-PLA-ORG</t>
        </is>
      </c>
      <c r="C19" s="23" t="inlineStr">
        <is>
          <t>AzureFilm Original PLA</t>
        </is>
      </c>
      <c r="D19" s="23" t="inlineStr">
        <is>
          <t>Orange</t>
        </is>
      </c>
      <c r="E19" s="46" t="inlineStr"/>
      <c r="F19" s="47" t="inlineStr">
        <is>
          <t>#EA7125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200–230°C</t>
        </is>
      </c>
      <c r="L19" s="16" t="inlineStr">
        <is>
          <t>50–60°C (not required)</t>
        </is>
      </c>
      <c r="M19" s="16" t="inlineStr">
        <is>
          <t>45°C / 4h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 TDS-confirmed (azurefilm.com); standard reel, not Bambu-verified</t>
        </is>
      </c>
      <c r="T19" s="23" t="inlineStr"/>
    </row>
    <row r="20" ht="20" customHeight="1">
      <c r="A20" s="26" t="inlineStr">
        <is>
          <t>PLA</t>
        </is>
      </c>
      <c r="B20" s="26" t="inlineStr">
        <is>
          <t>AZ-PLA-PUR</t>
        </is>
      </c>
      <c r="C20" s="26" t="inlineStr">
        <is>
          <t>AzureFilm Original PLA</t>
        </is>
      </c>
      <c r="D20" s="26" t="inlineStr">
        <is>
          <t>Purple</t>
        </is>
      </c>
      <c r="E20" s="48" t="inlineStr"/>
      <c r="F20" s="49" t="inlineStr">
        <is>
          <t>#6E3F8F</t>
        </is>
      </c>
      <c r="G20" s="29" t="inlineStr">
        <is>
          <t>1.75mm</t>
        </is>
      </c>
      <c r="H20" s="29" t="inlineStr">
        <is>
          <t>±0.02mm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200–230°C</t>
        </is>
      </c>
      <c r="L20" s="29" t="inlineStr">
        <is>
          <t>50–60°C (not required)</t>
        </is>
      </c>
      <c r="M20" s="29" t="inlineStr">
        <is>
          <t>45°C / 4h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Manufacturer TDS-confirmed (azurefilm.com); standard reel, not Bambu-verified</t>
        </is>
      </c>
      <c r="T20" s="26" t="inlineStr"/>
    </row>
    <row r="21" ht="20" customHeight="1">
      <c r="A21" s="23" t="inlineStr">
        <is>
          <t>PLA</t>
        </is>
      </c>
      <c r="B21" s="23" t="inlineStr">
        <is>
          <t>AZ-PLA-RED</t>
        </is>
      </c>
      <c r="C21" s="23" t="inlineStr">
        <is>
          <t>AzureFilm Original PLA</t>
        </is>
      </c>
      <c r="D21" s="23" t="inlineStr">
        <is>
          <t>Red</t>
        </is>
      </c>
      <c r="E21" s="50" t="inlineStr"/>
      <c r="F21" s="51" t="inlineStr">
        <is>
          <t>#C81E2C</t>
        </is>
      </c>
      <c r="G21" s="16" t="inlineStr">
        <is>
          <t>1.75mm</t>
        </is>
      </c>
      <c r="H21" s="16" t="inlineStr">
        <is>
          <t>±0.02mm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200–230°C</t>
        </is>
      </c>
      <c r="L21" s="16" t="inlineStr">
        <is>
          <t>50–60°C (not required)</t>
        </is>
      </c>
      <c r="M21" s="16" t="inlineStr">
        <is>
          <t>45°C / 4h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Manufacturer TDS-confirmed (azurefilm.com); standard reel, not Bambu-verified</t>
        </is>
      </c>
      <c r="T21" s="23" t="inlineStr"/>
    </row>
    <row r="22" ht="20" customHeight="1">
      <c r="A22" s="26" t="inlineStr">
        <is>
          <t>PLA</t>
        </is>
      </c>
      <c r="B22" s="26" t="inlineStr">
        <is>
          <t>AZ-PLA-WHT</t>
        </is>
      </c>
      <c r="C22" s="26" t="inlineStr">
        <is>
          <t>AzureFilm Original PLA</t>
        </is>
      </c>
      <c r="D22" s="26" t="inlineStr">
        <is>
          <t>White</t>
        </is>
      </c>
      <c r="E22" s="52" t="inlineStr"/>
      <c r="F22" s="28" t="inlineStr">
        <is>
          <t>#F3F3EB</t>
        </is>
      </c>
      <c r="G22" s="29" t="inlineStr">
        <is>
          <t>1.75mm</t>
        </is>
      </c>
      <c r="H22" s="29" t="inlineStr">
        <is>
          <t>±0.02mm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200–230°C</t>
        </is>
      </c>
      <c r="L22" s="29" t="inlineStr">
        <is>
          <t>50–60°C (not required)</t>
        </is>
      </c>
      <c r="M22" s="29" t="inlineStr">
        <is>
          <t>45°C / 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Manufacturer TDS-confirmed (azurefilm.com); standard reel, not Bambu-verified</t>
        </is>
      </c>
      <c r="T22" s="26" t="inlineStr">
        <is>
          <t>Hex colorimeter-confirmed (filamentcolors.xyz)</t>
        </is>
      </c>
    </row>
    <row r="23" ht="20" customHeight="1">
      <c r="A23" s="23" t="inlineStr">
        <is>
          <t>PLA</t>
        </is>
      </c>
      <c r="B23" s="23" t="inlineStr">
        <is>
          <t>AZ-SMN-WHT</t>
        </is>
      </c>
      <c r="C23" s="23" t="inlineStr">
        <is>
          <t>AzureFilm Strongman PLA</t>
        </is>
      </c>
      <c r="D23" s="23" t="inlineStr">
        <is>
          <t>White</t>
        </is>
      </c>
      <c r="E23" s="53" t="inlineStr"/>
      <c r="F23" s="28" t="inlineStr">
        <is>
          <t>#F2F2ED</t>
        </is>
      </c>
      <c r="G23" s="16" t="inlineStr">
        <is>
          <t>1.75mm</t>
        </is>
      </c>
      <c r="H23" s="16" t="inlineStr">
        <is>
          <t>±0.02mm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200–230°C</t>
        </is>
      </c>
      <c r="L23" s="16" t="inlineStr">
        <is>
          <t>50–60°C (not required)</t>
        </is>
      </c>
      <c r="M23" s="16" t="inlineStr">
        <is>
          <t>50°C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Toughened PLA blend; manufacturer TDS-confirmed (azurefilm.com)</t>
        </is>
      </c>
      <c r="T23" s="23" t="inlineStr"/>
    </row>
    <row r="24" ht="20" customHeight="1">
      <c r="A24" s="26" t="inlineStr">
        <is>
          <t>PLA</t>
        </is>
      </c>
      <c r="B24" s="26" t="inlineStr">
        <is>
          <t>AZ-PLA-YEL</t>
        </is>
      </c>
      <c r="C24" s="26" t="inlineStr">
        <is>
          <t>AzureFilm Original PLA</t>
        </is>
      </c>
      <c r="D24" s="26" t="inlineStr">
        <is>
          <t>Yellow</t>
        </is>
      </c>
      <c r="E24" s="54" t="inlineStr"/>
      <c r="F24" s="55" t="inlineStr">
        <is>
          <t>#F4C61F</t>
        </is>
      </c>
      <c r="G24" s="29" t="inlineStr">
        <is>
          <t>1.75mm</t>
        </is>
      </c>
      <c r="H24" s="29" t="inlineStr">
        <is>
          <t>±0.02mm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200–230°C</t>
        </is>
      </c>
      <c r="L24" s="29" t="inlineStr">
        <is>
          <t>50–60°C (not required)</t>
        </is>
      </c>
      <c r="M24" s="29" t="inlineStr">
        <is>
          <t>45°C / 4h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Manufacturer TDS-confirmed (azurefilm.com); standard reel, not Bambu-verified</t>
        </is>
      </c>
      <c r="T24" s="26" t="inlineStr"/>
    </row>
    <row r="25" ht="20" customHeight="1">
      <c r="A25" s="23" t="inlineStr">
        <is>
          <t>PLA Glitter</t>
        </is>
      </c>
      <c r="B25" s="23" t="inlineStr">
        <is>
          <t>AZ-GLT-BLU</t>
        </is>
      </c>
      <c r="C25" s="23" t="inlineStr">
        <is>
          <t>AzureFilm Glitter PLA</t>
        </is>
      </c>
      <c r="D25" s="23" t="inlineStr">
        <is>
          <t>Blue Glitter</t>
        </is>
      </c>
      <c r="E25" s="56" t="inlineStr"/>
      <c r="F25" s="57" t="inlineStr">
        <is>
          <t>#1D4E8F</t>
        </is>
      </c>
      <c r="G25" s="16" t="inlineStr">
        <is>
          <t>1.75mm</t>
        </is>
      </c>
      <c r="H25" s="16" t="inlineStr">
        <is>
          <t>±0.02mm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210–225°C</t>
        </is>
      </c>
      <c r="L25" s="16" t="inlineStr">
        <is>
          <t>55–60°C</t>
        </is>
      </c>
      <c r="M25" s="16" t="inlineStr">
        <is>
          <t>45°C / 4h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Glitter fill; 0.4mm+ nozzle recommended; temps not manufacturer-confirmed</t>
        </is>
      </c>
      <c r="T25" s="23" t="inlineStr"/>
    </row>
    <row r="26" ht="20" customHeight="1">
      <c r="A26" s="26" t="inlineStr">
        <is>
          <t>PLA Glitter</t>
        </is>
      </c>
      <c r="B26" s="26" t="inlineStr">
        <is>
          <t>AZ-GLT-RED</t>
        </is>
      </c>
      <c r="C26" s="26" t="inlineStr">
        <is>
          <t>AzureFilm Glitter PLA</t>
        </is>
      </c>
      <c r="D26" s="26" t="inlineStr">
        <is>
          <t>Red Glitter</t>
        </is>
      </c>
      <c r="E26" s="58" t="inlineStr"/>
      <c r="F26" s="59" t="inlineStr">
        <is>
          <t>#A31E2E</t>
        </is>
      </c>
      <c r="G26" s="29" t="inlineStr">
        <is>
          <t>1.75mm</t>
        </is>
      </c>
      <c r="H26" s="29" t="inlineStr">
        <is>
          <t>±0.02mm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210–225°C</t>
        </is>
      </c>
      <c r="L26" s="29" t="inlineStr">
        <is>
          <t>55–60°C</t>
        </is>
      </c>
      <c r="M26" s="29" t="inlineStr">
        <is>
          <t>45°C / 4h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Glitter fill; 0.4mm+ nozzle recommended; temps not manufacturer-confirmed</t>
        </is>
      </c>
      <c r="T26" s="26" t="inlineStr"/>
    </row>
    <row r="27" ht="20" customHeight="1">
      <c r="A27" s="23" t="inlineStr">
        <is>
          <t>PLA Matte</t>
        </is>
      </c>
      <c r="B27" s="23" t="inlineStr">
        <is>
          <t>AZ-MAT-01</t>
        </is>
      </c>
      <c r="C27" s="23" t="inlineStr">
        <is>
          <t>AzureFilm PLA Matte</t>
        </is>
      </c>
      <c r="D27" s="23" t="inlineStr">
        <is>
          <t>Black</t>
        </is>
      </c>
      <c r="E27" s="24" t="inlineStr"/>
      <c r="F27" s="25" t="inlineStr">
        <is>
          <t>#0D0D0D</t>
        </is>
      </c>
      <c r="G27" s="16" t="inlineStr">
        <is>
          <t>1.75mm</t>
        </is>
      </c>
      <c r="H27" s="16" t="inlineStr">
        <is>
          <t>±0.02mm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200–220°C</t>
        </is>
      </c>
      <c r="L27" s="16" t="inlineStr">
        <is>
          <t>50–60°C</t>
        </is>
      </c>
      <c r="M27" s="16" t="inlineStr">
        <is>
          <t>45°C / 4h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Line existence confirmed (azurefilm.com nav: "PLA Matte"); full color list not verified this pass</t>
        </is>
      </c>
      <c r="T27" s="23" t="inlineStr">
        <is>
          <t>Deep-dive follow-up 2026-07-19; NEW LINE — not previously in catalog</t>
        </is>
      </c>
    </row>
    <row r="28" ht="20" customHeight="1">
      <c r="A28" s="26" t="inlineStr">
        <is>
          <t>PLA Pastel</t>
        </is>
      </c>
      <c r="B28" s="26" t="inlineStr">
        <is>
          <t>AZ-PST-BBL</t>
        </is>
      </c>
      <c r="C28" s="26" t="inlineStr">
        <is>
          <t>AzureFilm Pastel PLA</t>
        </is>
      </c>
      <c r="D28" s="26" t="inlineStr">
        <is>
          <t>Baby Blue</t>
        </is>
      </c>
      <c r="E28" s="60" t="inlineStr"/>
      <c r="F28" s="61" t="inlineStr">
        <is>
          <t>#AED6E8</t>
        </is>
      </c>
      <c r="G28" s="29" t="inlineStr">
        <is>
          <t>1.75mm</t>
        </is>
      </c>
      <c r="H28" s="29" t="inlineStr">
        <is>
          <t>±0.02mm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195–215°C</t>
        </is>
      </c>
      <c r="L28" s="29" t="inlineStr">
        <is>
          <t>50–60°C</t>
        </is>
      </c>
      <c r="M28" s="29" t="inlineStr">
        <is>
          <t>45°C / 4h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B</t>
        </is>
      </c>
      <c r="S28" s="26" t="inlineStr">
        <is>
          <t>Standard pastel PLA; temps not manufacturer-confirmed</t>
        </is>
      </c>
      <c r="T28" s="26" t="inlineStr"/>
    </row>
    <row r="29" ht="20" customHeight="1">
      <c r="A29" s="23" t="inlineStr">
        <is>
          <t>PLA Pastel</t>
        </is>
      </c>
      <c r="B29" s="23" t="inlineStr">
        <is>
          <t>AZ-PST-MNT</t>
        </is>
      </c>
      <c r="C29" s="23" t="inlineStr">
        <is>
          <t>AzureFilm Pastel PLA</t>
        </is>
      </c>
      <c r="D29" s="23" t="inlineStr">
        <is>
          <t>Mint</t>
        </is>
      </c>
      <c r="E29" s="62" t="inlineStr"/>
      <c r="F29" s="63" t="inlineStr">
        <is>
          <t>#B8E3C8</t>
        </is>
      </c>
      <c r="G29" s="16" t="inlineStr">
        <is>
          <t>1.75mm</t>
        </is>
      </c>
      <c r="H29" s="16" t="inlineStr">
        <is>
          <t>±0.02mm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195–215°C</t>
        </is>
      </c>
      <c r="L29" s="16" t="inlineStr">
        <is>
          <t>50–60°C</t>
        </is>
      </c>
      <c r="M29" s="16" t="inlineStr">
        <is>
          <t>45°C / 4h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B</t>
        </is>
      </c>
      <c r="S29" s="23" t="inlineStr">
        <is>
          <t>Standard pastel PLA; temps not manufacturer-confirmed</t>
        </is>
      </c>
      <c r="T29" s="23" t="inlineStr"/>
    </row>
    <row r="30" ht="20" customHeight="1">
      <c r="A30" s="26" t="inlineStr">
        <is>
          <t>PLA Prime</t>
        </is>
      </c>
      <c r="B30" s="26" t="inlineStr">
        <is>
          <t>AZ-PRIME-01</t>
        </is>
      </c>
      <c r="C30" s="26" t="inlineStr">
        <is>
          <t>AzureFilm PLA Prime</t>
        </is>
      </c>
      <c r="D30" s="26" t="inlineStr">
        <is>
          <t>Black</t>
        </is>
      </c>
      <c r="E30" s="24" t="inlineStr"/>
      <c r="F30" s="25" t="inlineStr">
        <is>
          <t>#0D0D0D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200–230°C</t>
        </is>
      </c>
      <c r="L30" s="29" t="inlineStr">
        <is>
          <t>50–60°C</t>
        </is>
      </c>
      <c r="M30" s="29" t="inlineStr">
        <is>
          <t>45°C / 4h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C</t>
        </is>
      </c>
      <c r="S30" s="26" t="inlineStr">
        <is>
          <t>Line existence confirmed (azurefilm.com nav: "PLA Prime"); premium PLA tier, distinct from PLA Original/Strongman; specs estimated</t>
        </is>
      </c>
      <c r="T30" s="26" t="inlineStr">
        <is>
          <t>Deep-dive follow-up 2026-07-19; NEW LINE — not previously in catalog</t>
        </is>
      </c>
    </row>
    <row r="31" ht="20" customHeight="1">
      <c r="A31" s="23" t="inlineStr">
        <is>
          <t>PLA Silk</t>
        </is>
      </c>
      <c r="B31" s="23" t="inlineStr">
        <is>
          <t>AZ-SLK-CPR</t>
        </is>
      </c>
      <c r="C31" s="23" t="inlineStr">
        <is>
          <t>AzureFilm Silk PLA</t>
        </is>
      </c>
      <c r="D31" s="23" t="inlineStr">
        <is>
          <t>Copper</t>
        </is>
      </c>
      <c r="E31" s="64" t="inlineStr"/>
      <c r="F31" s="65" t="inlineStr">
        <is>
          <t>#B36A4E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210–240°C</t>
        </is>
      </c>
      <c r="L31" s="16" t="inlineStr">
        <is>
          <t>70–80°C (not required)</t>
        </is>
      </c>
      <c r="M31" s="16" t="inlineStr">
        <is>
          <t>45°C / 4h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 TDS-confirmed (azurefilm.com); silk finish prints best slower</t>
        </is>
      </c>
      <c r="T31" s="23" t="inlineStr"/>
    </row>
    <row r="32" ht="20" customHeight="1">
      <c r="A32" s="26" t="inlineStr">
        <is>
          <t>PLA Silk</t>
        </is>
      </c>
      <c r="B32" s="26" t="inlineStr">
        <is>
          <t>AZ-SLK-GLD</t>
        </is>
      </c>
      <c r="C32" s="26" t="inlineStr">
        <is>
          <t>AzureFilm Silk PLA</t>
        </is>
      </c>
      <c r="D32" s="26" t="inlineStr">
        <is>
          <t>Gold</t>
        </is>
      </c>
      <c r="E32" s="66" t="inlineStr"/>
      <c r="F32" s="67" t="inlineStr">
        <is>
          <t>#C9A24B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210–240°C</t>
        </is>
      </c>
      <c r="L32" s="29" t="inlineStr">
        <is>
          <t>70–80°C (not required)</t>
        </is>
      </c>
      <c r="M32" s="29" t="inlineStr">
        <is>
          <t>45°C / 4h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 TDS-confirmed (azurefilm.com); silk finish prints best slower</t>
        </is>
      </c>
      <c r="T32" s="26" t="inlineStr"/>
    </row>
    <row r="33" ht="20" customHeight="1">
      <c r="A33" s="23" t="inlineStr">
        <is>
          <t>PLA Wood</t>
        </is>
      </c>
      <c r="B33" s="23" t="inlineStr">
        <is>
          <t>AZ-WOD-BAM</t>
        </is>
      </c>
      <c r="C33" s="23" t="inlineStr">
        <is>
          <t>AzureFilm LumberLay Wood PLA</t>
        </is>
      </c>
      <c r="D33" s="23" t="inlineStr">
        <is>
          <t>Bamboo</t>
        </is>
      </c>
      <c r="E33" s="68" t="inlineStr"/>
      <c r="F33" s="69" t="inlineStr">
        <is>
          <t>#B08D57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195–215°C</t>
        </is>
      </c>
      <c r="L33" s="16" t="inlineStr">
        <is>
          <t>50–60°C</t>
        </is>
      </c>
      <c r="M33" s="16" t="inlineStr">
        <is>
          <t>45°C / 4h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C</t>
        </is>
      </c>
      <c r="S33" s="23" t="inlineStr">
        <is>
          <t>Wood-fill; larger nozzle recommended, mildly abrasive; temps not manufacturer-confirmed</t>
        </is>
      </c>
      <c r="T33" s="23" t="inlineStr"/>
    </row>
    <row r="34" ht="20" customHeight="1">
      <c r="A34" s="26" t="inlineStr">
        <is>
          <t>PLA-CF</t>
        </is>
      </c>
      <c r="B34" s="26" t="inlineStr">
        <is>
          <t>AZ-CF-01</t>
        </is>
      </c>
      <c r="C34" s="26" t="inlineStr">
        <is>
          <t>AzureFilm Carbon Fiber PLA</t>
        </is>
      </c>
      <c r="D34" s="26" t="inlineStr">
        <is>
          <t>Black</t>
        </is>
      </c>
      <c r="E34" s="24" t="inlineStr"/>
      <c r="F34" s="25" t="inlineStr">
        <is>
          <t>#0D0D0D</t>
        </is>
      </c>
      <c r="G34" s="29" t="inlineStr">
        <is>
          <t>1.75mm</t>
        </is>
      </c>
      <c r="H34" s="29" t="inlineStr">
        <is>
          <t>±0.05mm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210–230°C</t>
        </is>
      </c>
      <c r="L34" s="29" t="inlineStr">
        <is>
          <t>50–70°C</t>
        </is>
      </c>
      <c r="M34" s="29" t="inlineStr">
        <is>
          <t>65°C / 8h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C</t>
        </is>
      </c>
      <c r="S34" s="26" t="inlineStr">
        <is>
          <t>Line existence confirmed (azurefilm.com nav: "CARBON FIBER filaments"); abrasive, hardened nozzle recommended</t>
        </is>
      </c>
      <c r="T34" s="26" t="inlineStr">
        <is>
          <t>Deep-dive follow-up 2026-07-19; NEW LINE — not previously in catalog</t>
        </is>
      </c>
    </row>
    <row r="35" ht="20" customHeight="1">
      <c r="A35" s="23" t="inlineStr">
        <is>
          <t>TPU</t>
        </is>
      </c>
      <c r="B35" s="23" t="inlineStr">
        <is>
          <t>AZ-FLX-BLK</t>
        </is>
      </c>
      <c r="C35" s="23" t="inlineStr">
        <is>
          <t>AzureFilm Flexible 85A</t>
        </is>
      </c>
      <c r="D35" s="23" t="inlineStr">
        <is>
          <t>Black</t>
        </is>
      </c>
      <c r="E35" s="24" t="inlineStr"/>
      <c r="F35" s="25" t="inlineStr">
        <is>
          <t>#0D0D0D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220–240°C</t>
        </is>
      </c>
      <c r="L35" s="16" t="inlineStr">
        <is>
          <t>80°C</t>
        </is>
      </c>
      <c r="M35" s="16" t="inlineStr">
        <is>
          <t>50°C / 8h</t>
        </is>
      </c>
      <c r="N35" s="16" t="inlineStr">
        <is>
          <t>✗</t>
        </is>
      </c>
      <c r="O35" s="16" t="inlineStr">
        <is>
          <t>✗</t>
        </is>
      </c>
      <c r="P35" s="16" t="inlineStr">
        <is>
          <t>✗</t>
        </is>
      </c>
      <c r="Q35" s="16" t="inlineStr">
        <is>
          <t>✗</t>
        </is>
      </c>
      <c r="R35" s="16" t="inlineStr">
        <is>
          <t>B</t>
        </is>
      </c>
      <c r="S35" s="23" t="inlineStr">
        <is>
          <t>Flexible 85A shore; manufacturer product-page confirmed; external-spool-only on all Bambu AMS variants</t>
        </is>
      </c>
      <c r="T35" s="23" t="inlineStr"/>
    </row>
    <row r="36" ht="20" customHeight="1">
      <c r="A36" s="26" t="inlineStr">
        <is>
          <t>TPU</t>
        </is>
      </c>
      <c r="B36" s="26" t="inlineStr">
        <is>
          <t>AZ-FLX-WHT</t>
        </is>
      </c>
      <c r="C36" s="26" t="inlineStr">
        <is>
          <t>AzureFilm Flexible 85A</t>
        </is>
      </c>
      <c r="D36" s="26" t="inlineStr">
        <is>
          <t>White</t>
        </is>
      </c>
      <c r="E36" s="70" t="inlineStr"/>
      <c r="F36" s="28" t="inlineStr">
        <is>
          <t>#EFEFEA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220–240°C</t>
        </is>
      </c>
      <c r="L36" s="29" t="inlineStr">
        <is>
          <t>80°C</t>
        </is>
      </c>
      <c r="M36" s="29" t="inlineStr">
        <is>
          <t>50°C / 8h</t>
        </is>
      </c>
      <c r="N36" s="29" t="inlineStr">
        <is>
          <t>✗</t>
        </is>
      </c>
      <c r="O36" s="29" t="inlineStr">
        <is>
          <t>✗</t>
        </is>
      </c>
      <c r="P36" s="29" t="inlineStr">
        <is>
          <t>✗</t>
        </is>
      </c>
      <c r="Q36" s="29" t="inlineStr">
        <is>
          <t>✗</t>
        </is>
      </c>
      <c r="R36" s="29" t="inlineStr">
        <is>
          <t>B</t>
        </is>
      </c>
      <c r="S36" s="26" t="inlineStr">
        <is>
          <t>Flexible 85A shore; manufacturer product-page confirmed; external-spool-only on all Bambu AMS variants</t>
        </is>
      </c>
      <c r="T36" s="26" t="inlineStr"/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37" showDropDown="0" showInputMessage="0" showErrorMessage="0" allowBlank="1" type="list">
      <formula1>"S,A,B,C"</formula1>
    </dataValidation>
    <dataValidation sqref="I3:I137" showDropDown="0" showInputMessage="0" showErrorMessage="0" allowBlank="1" type="list">
      <formula1>"Cardboard,Plastic"</formula1>
    </dataValidation>
    <dataValidation sqref="J3:J137" showDropDown="0" showInputMessage="0" showErrorMessage="0" allowBlank="1" type="list">
      <formula1>"Yes,No"</formula1>
    </dataValidation>
    <dataValidation sqref="G3:G137" showDropDown="0" showInputMessage="0" showErrorMessage="0" allowBlank="1" type="list">
      <formula1>"1.75mm,2.85mm"</formula1>
    </dataValidation>
    <dataValidation sqref="N3:N137" showDropDown="0" showInputMessage="0" showErrorMessage="0" allowBlank="1" type="list">
      <formula1>"✓,✗,⚠"</formula1>
    </dataValidation>
    <dataValidation sqref="O3:O137" showDropDown="0" showInputMessage="0" showErrorMessage="0" allowBlank="1" type="list">
      <formula1>"✓,✗,⚠"</formula1>
    </dataValidation>
    <dataValidation sqref="P3:P137" showDropDown="0" showInputMessage="0" showErrorMessage="0" allowBlank="1" type="list">
      <formula1>"✓,✗,⚠"</formula1>
    </dataValidation>
    <dataValidation sqref="Q3:Q13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AzureFilm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200–230°C</t>
        </is>
      </c>
      <c r="C3" s="16" t="inlineStr">
        <is>
          <t>50–60°C (not required)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Optional</t>
        </is>
      </c>
      <c r="G3" s="16" t="inlineStr">
        <is>
          <t>45°C / 4h</t>
        </is>
      </c>
      <c r="H3" s="23" t="inlineStr">
        <is>
          <t>Original PLA — 10 core colors; manufacturer TDS-confirmed; ±0.02mm stated tolerance</t>
        </is>
      </c>
    </row>
    <row r="4" ht="20" customHeight="1">
      <c r="A4" s="26" t="inlineStr">
        <is>
          <t>PLA (Strongman)</t>
        </is>
      </c>
      <c r="B4" s="29" t="inlineStr">
        <is>
          <t>200–230°C</t>
        </is>
      </c>
      <c r="C4" s="29" t="inlineStr">
        <is>
          <t>50–60°C (not required)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Recommended</t>
        </is>
      </c>
      <c r="G4" s="29" t="inlineStr">
        <is>
          <t>50°C / 6h</t>
        </is>
      </c>
      <c r="H4" s="26" t="inlineStr">
        <is>
          <t>Toughened PLA blend — manufacturer TDS-confirmed; higher impact resistance than standard PLA</t>
        </is>
      </c>
    </row>
    <row r="5" ht="20" customHeight="1">
      <c r="A5" s="23" t="inlineStr">
        <is>
          <t>PLA (Silk)</t>
        </is>
      </c>
      <c r="B5" s="16" t="inlineStr">
        <is>
          <t>210–240°C</t>
        </is>
      </c>
      <c r="C5" s="16" t="inlineStr">
        <is>
          <t>70–80°C (not required)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Optional</t>
        </is>
      </c>
      <c r="G5" s="16" t="inlineStr">
        <is>
          <t>45°C / 4h</t>
        </is>
      </c>
      <c r="H5" s="23" t="inlineStr">
        <is>
          <t>Manufacturer TDS-confirmed; prints best slower to preserve shine</t>
        </is>
      </c>
    </row>
    <row r="6" ht="20" customHeight="1">
      <c r="A6" s="26" t="inlineStr">
        <is>
          <t>PLA (Wood/Glitter/Pastel)</t>
        </is>
      </c>
      <c r="B6" s="29" t="inlineStr">
        <is>
          <t>195–225°C</t>
        </is>
      </c>
      <c r="C6" s="29" t="inlineStr">
        <is>
          <t>50–60°C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Optional</t>
        </is>
      </c>
      <c r="G6" s="29" t="inlineStr">
        <is>
          <t>45°C / 4h</t>
        </is>
      </c>
      <c r="H6" s="26" t="inlineStr">
        <is>
          <t>Effect PLAs — temps not independently manufacturer-confirmed; Glitter needs 0.4mm+ nozzle</t>
        </is>
      </c>
    </row>
    <row r="7" ht="20" customHeight="1">
      <c r="A7" s="23" t="inlineStr">
        <is>
          <t>PETG</t>
        </is>
      </c>
      <c r="B7" s="16" t="inlineStr">
        <is>
          <t>220–240°C</t>
        </is>
      </c>
      <c r="C7" s="16" t="inlineStr">
        <is>
          <t>80–90°C</t>
        </is>
      </c>
      <c r="D7" s="16" t="inlineStr">
        <is>
          <t>No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65°C / 6h</t>
        </is>
      </c>
      <c r="H7" s="23" t="inlineStr">
        <is>
          <t>Manufacturer TDS-confirmed; Hyper Speed PETG line also available</t>
        </is>
      </c>
    </row>
    <row r="8" ht="20" customHeight="1">
      <c r="A8" s="26" t="inlineStr">
        <is>
          <t>ABS Plus</t>
        </is>
      </c>
      <c r="B8" s="29" t="inlineStr">
        <is>
          <t>240–260°C</t>
        </is>
      </c>
      <c r="C8" s="29" t="inlineStr">
        <is>
          <t>90–120°C</t>
        </is>
      </c>
      <c r="D8" s="29" t="inlineStr">
        <is>
          <t>Yes</t>
        </is>
      </c>
      <c r="E8" s="29" t="inlineStr">
        <is>
          <t>⚠</t>
        </is>
      </c>
      <c r="F8" s="29" t="inlineStr">
        <is>
          <t>Yes</t>
        </is>
      </c>
      <c r="G8" s="29" t="inlineStr">
        <is>
          <t>70°C / 4h</t>
        </is>
      </c>
      <c r="H8" s="26" t="inlineStr">
        <is>
          <t>Manufacturer product-page confirmed; enclosure required; AMS Lite ✗</t>
        </is>
      </c>
    </row>
    <row r="9" ht="20" customHeight="1">
      <c r="A9" s="23" t="inlineStr">
        <is>
          <t>ABS Prime</t>
        </is>
      </c>
      <c r="B9" s="16" t="inlineStr">
        <is>
          <t>240–265°C</t>
        </is>
      </c>
      <c r="C9" s="16" t="inlineStr">
        <is>
          <t>70–100°C</t>
        </is>
      </c>
      <c r="D9" s="16" t="inlineStr">
        <is>
          <t>Yes</t>
        </is>
      </c>
      <c r="E9" s="16" t="inlineStr">
        <is>
          <t>⚠</t>
        </is>
      </c>
      <c r="F9" s="16" t="inlineStr">
        <is>
          <t>Yes</t>
        </is>
      </c>
      <c r="G9" s="16" t="inlineStr">
        <is>
          <t>70°C / 4h</t>
        </is>
      </c>
      <c r="H9" s="23" t="inlineStr">
        <is>
          <t>Manufacturer product-page confirmed; zero-warping formula; enclosure recommended</t>
        </is>
      </c>
    </row>
    <row r="10" ht="20" customHeight="1">
      <c r="A10" s="26" t="inlineStr">
        <is>
          <t>ASA</t>
        </is>
      </c>
      <c r="B10" s="29" t="inlineStr">
        <is>
          <t>240–260°C</t>
        </is>
      </c>
      <c r="C10" s="29" t="inlineStr">
        <is>
          <t>90–120°C</t>
        </is>
      </c>
      <c r="D10" s="29" t="inlineStr">
        <is>
          <t>Yes</t>
        </is>
      </c>
      <c r="E10" s="29" t="inlineStr">
        <is>
          <t>⚠</t>
        </is>
      </c>
      <c r="F10" s="29" t="inlineStr">
        <is>
          <t>Yes</t>
        </is>
      </c>
      <c r="G10" s="29" t="inlineStr">
        <is>
          <t>70°C / 4h</t>
        </is>
      </c>
      <c r="H10" s="26" t="inlineStr">
        <is>
          <t>Manufacturer TDS-confirmed (Original + Prime); UV/weather resistant</t>
        </is>
      </c>
    </row>
    <row r="11" ht="20" customHeight="1">
      <c r="A11" s="23" t="inlineStr">
        <is>
          <t>TPU (Flexible 85A)</t>
        </is>
      </c>
      <c r="B11" s="16" t="inlineStr">
        <is>
          <t>220–240°C</t>
        </is>
      </c>
      <c r="C11" s="16" t="inlineStr">
        <is>
          <t>80°C</t>
        </is>
      </c>
      <c r="D11" s="16" t="inlineStr">
        <is>
          <t>No</t>
        </is>
      </c>
      <c r="E11" s="16" t="inlineStr">
        <is>
          <t>No</t>
        </is>
      </c>
      <c r="F11" s="16" t="inlineStr">
        <is>
          <t>Yes</t>
        </is>
      </c>
      <c r="G11" s="16" t="inlineStr">
        <is>
          <t>50°C / 8h</t>
        </is>
      </c>
      <c r="H11" s="23" t="inlineStr">
        <is>
          <t>Manufacturer product-page confirmed; AzureFilm markets this line as "Flexible 85A"; external spool only on all Bambu AMS variants</t>
        </is>
      </c>
    </row>
  </sheetData>
  <autoFilter ref="A2:H63"/>
  <mergeCells count="1">
    <mergeCell ref="A1:H1"/>
  </mergeCells>
  <conditionalFormatting sqref="D3:D22">
    <cfRule type="expression" priority="1" dxfId="8">
      <formula>$D3="Yes"</formula>
    </cfRule>
  </conditionalFormatting>
  <conditionalFormatting sqref="E3:E22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71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72" t="inlineStr">
        <is>
          <t>Brand</t>
        </is>
      </c>
      <c r="B3" s="73" t="inlineStr">
        <is>
          <t>AzureFilm</t>
        </is>
      </c>
      <c r="C3" s="74" t="inlineStr"/>
    </row>
    <row r="4" ht="18" customHeight="1">
      <c r="A4" s="72" t="inlineStr">
        <is>
          <t>File Version</t>
        </is>
      </c>
      <c r="B4" s="75" t="inlineStr">
        <is>
          <t>v3</t>
        </is>
      </c>
      <c r="C4" s="74" t="inlineStr"/>
    </row>
    <row r="5" ht="18" customHeight="1">
      <c r="A5" s="72" t="inlineStr">
        <is>
          <t>Generated</t>
        </is>
      </c>
      <c r="B5" s="75" t="inlineStr">
        <is>
          <t>2026-07-25</t>
        </is>
      </c>
      <c r="C5" s="74" t="inlineStr">
        <is>
          <t>Date this file was last generated by generate_all.py</t>
        </is>
      </c>
    </row>
    <row r="6" ht="18" customHeight="1">
      <c r="A6" s="72" t="inlineStr">
        <is>
          <t>SKU Note</t>
        </is>
      </c>
      <c r="B6" s="75" t="inlineStr">
        <is>
          <t>Reference codes — verify at manufacturer site</t>
        </is>
      </c>
      <c r="C6" s="74" t="inlineStr">
        <is>
          <t>SKU column: confirmed mfr codes noted above; others are internal reference codes</t>
        </is>
      </c>
    </row>
    <row r="7" ht="18" customHeight="1">
      <c r="A7" s="72" t="inlineStr">
        <is>
          <t>Hex Note</t>
        </is>
      </c>
      <c r="B7" s="75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74" t="inlineStr">
        <is>
          <t>Approximate hex = visually representative; not manufacturer-confirmed</t>
        </is>
      </c>
    </row>
    <row r="8" ht="18" customHeight="1">
      <c r="A8" s="72" t="inlineStr">
        <is>
          <t>Inventory Note</t>
        </is>
      </c>
      <c r="B8" s="75" t="inlineStr">
        <is>
          <t>This workbook covers catalog reference data only. On-hand spool inventory is tracked separately in Filament_Inventory.xlsx.</t>
        </is>
      </c>
      <c r="C8" s="74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2026-07-25T03:49:41Z</dcterms:created>
  <dcterms:modified xmlns:dcterms="http://purl.org/dc/terms/" xmlns:xsi="http://www.w3.org/2001/XMLSchema-instance" xsi:type="dcterms:W3CDTF">2026-07-25T03:49:41Z</dcterms:modified>
</cp:coreProperties>
</file>