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Material Guide" sheetId="3" state="visible" r:id="rId5"/>
    <sheet name="Config" sheetId="4" state="visible" r:id="rId6"/>
  </sheets>
  <definedNames>
    <definedName function="false" hidden="true" localSheetId="1" name="_xlnm._FilterDatabase" vbProcedure="false">Catalog!$A$2:$T$703</definedName>
    <definedName function="false" hidden="true" localSheetId="2" name="_xlnm._FilterDatabase" vbProcedure="false">'Material Guide'!$A$2:$H$63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SKU / Part No.
Polymaker PolyLite PLA: confirmed manufacturer codes (PA02001–PA02029).
All other brands: internal reference codes.
See Config sheet → SKU Note for details.</t>
        </r>
      </text>
    </comment>
    <comment ref="E2" authorId="0">
      <text>
        <r>
          <rPr>
            <sz val="10"/>
            <rFont val="Arial"/>
            <family val="2"/>
          </rPr>
          <t xml:space="preserve">Color Swatch
Cell fill = filament color. No text — see Hex Code (col F).
Official hex sources:
• Bambu PLA Basic/Matte/PETG Basic/ABS/PLA Translucent: Bambu hex PDFs
• Polymaker PolyLite PLA: confirmed from shop.polymaker.com
• All other brands: approximate</t>
        </r>
      </text>
    </comment>
    <comment ref="F2" authorId="0">
      <text>
        <r>
          <rPr>
            <sz val="10"/>
            <rFont val="Arial"/>
            <family val="2"/>
          </rPr>
          <t xml:space="preserve">Hex Code
The hex color code for this filament.
Background tint is a 12% blend of the swatch color toward white,
giving a visual connection to the adjacent swatch cell.
Official hex sources: see Color Swatch comment (col E).</t>
        </r>
      </text>
    </comment>
    <comment ref="N2" authorId="0">
      <text>
        <r>
          <rPr>
            <sz val="10"/>
            <rFont val="Arial"/>
            <family val="2"/>
          </rPr>
          <t xml:space="preserve">AMS X/P Compatibility
✓  Compatible with standard AMS X/P unit
✗  Not compatible — use external spool
⚠  Compatible with conditions (adapter ring, special mode, etc.)
Printers: X1C, X1E, P1S, P1P</t>
        </r>
      </text>
    </comment>
    <comment ref="O2" authorId="0">
      <text>
        <r>
          <rPr>
            <sz val="10"/>
            <rFont val="Arial"/>
            <family val="2"/>
          </rPr>
          <t xml:space="preserve">AMS Lite Compatibility
✓  Compatible with AMS Lite unit
✗  Not compatible (open-frame; no ABS/ASA/PA support)
⚠  Compatible with conditions
Printers: A1, A1 mini</t>
        </r>
      </text>
    </comment>
    <comment ref="P2" authorId="0">
      <text>
        <r>
          <rPr>
            <sz val="10"/>
            <rFont val="Arial"/>
            <family val="2"/>
          </rPr>
          <t xml:space="preserve">AMS 2 Pro Compatibility
✓  Compatible with AMS 2 Pro unit
✗  Not compatible
⚠  Compatible with conditions
Printers: H2D</t>
        </r>
      </text>
    </comment>
    <comment ref="Q2" authorId="0">
      <text>
        <r>
          <rPr>
            <sz val="10"/>
            <rFont val="Arial"/>
            <family val="2"/>
          </rPr>
          <t xml:space="preserve">AMS HT Compatibility
✓  Compatible with AMS HT unit
✗  Not compatible
⚠  Compatible with conditions
Printers: H2D
Required for TPU 95A multi-color printing</t>
        </r>
      </text>
    </comment>
  </commentList>
</comments>
</file>

<file path=xl/sharedStrings.xml><?xml version="1.0" encoding="utf-8"?>
<sst xmlns="http://schemas.openxmlformats.org/spreadsheetml/2006/main" count="4594" uniqueCount="692">
  <si>
    <t xml:space="preserve">📦  Elegoo  —  Filament Reference  |  v3</t>
  </si>
  <si>
    <t xml:space="preserve">  CATALOG SUMMARY</t>
  </si>
  <si>
    <t xml:space="preserve">Total Catalog Entries (active)</t>
  </si>
  <si>
    <t xml:space="preserve">Tier S — Premium</t>
  </si>
  <si>
    <t xml:space="preserve">Tier A — Excellent</t>
  </si>
  <si>
    <t xml:space="preserve">Tier B — Good</t>
  </si>
  <si>
    <t xml:space="preserve">Tier C — Specialty</t>
  </si>
  <si>
    <t xml:space="preserve">Require AMS Adapter Ring</t>
  </si>
  <si>
    <t xml:space="preserve">  TIER LEGEND</t>
  </si>
  <si>
    <t xml:space="preserve">  S</t>
  </si>
  <si>
    <t xml:space="preserve">Premium — first-party or best-in-class; optimized profiles, top AMS reliability</t>
  </si>
  <si>
    <t xml:space="preserve">  A</t>
  </si>
  <si>
    <t xml:space="preserve">Excellent — high quality, tested profiles, reliable AMS performance</t>
  </si>
  <si>
    <t xml:space="preserve">  B</t>
  </si>
  <si>
    <t xml:space="preserve">Good — solid performer with minor caveats (e.g. needs adapter ring, temp adjustment)</t>
  </si>
  <si>
    <t xml:space="preserve">  C</t>
  </si>
  <si>
    <t xml:space="preserve">Specialty — limited AMS use, requires special setup, or niche material</t>
  </si>
  <si>
    <t xml:space="preserve">  INVENTORY</t>
  </si>
  <si>
    <t xml:space="preserve">On-hand spool inventory is tracked separately in Filament_Inventory.xlsx, not in this workbook.</t>
  </si>
  <si>
    <t xml:space="preserve">File Generated</t>
  </si>
  <si>
    <t xml:space="preserve">  AMS ADAPTER RING STATUS</t>
  </si>
  <si>
    <t xml:space="preserve">  BY MATERIAL TYPE</t>
  </si>
  <si>
    <t xml:space="preserve">Material Type</t>
  </si>
  <si>
    <t xml:space="preserve">Catalog Entries</t>
  </si>
  <si>
    <t xml:space="preserve">ASA</t>
  </si>
  <si>
    <t xml:space="preserve">ASA-CF</t>
  </si>
  <si>
    <t xml:space="preserve">PETG (Rapid)</t>
  </si>
  <si>
    <t xml:space="preserve">PETG Pro</t>
  </si>
  <si>
    <t xml:space="preserve">PETG Translucent</t>
  </si>
  <si>
    <t xml:space="preserve">PETG-CF</t>
  </si>
  <si>
    <t xml:space="preserve">PLA</t>
  </si>
  <si>
    <t xml:space="preserve">PLA (RFID) emoji Brand Edition</t>
  </si>
  <si>
    <t xml:space="preserve">PLA Basic</t>
  </si>
  <si>
    <t xml:space="preserve">PLA CMYK</t>
  </si>
  <si>
    <t xml:space="preserve">PLA Galaxy</t>
  </si>
  <si>
    <t xml:space="preserve">PLA Glow</t>
  </si>
  <si>
    <t xml:space="preserve">PLA Marble</t>
  </si>
  <si>
    <t xml:space="preserve">PLA Matte</t>
  </si>
  <si>
    <t xml:space="preserve">PLA Metallic</t>
  </si>
  <si>
    <t xml:space="preserve">PLA Plus</t>
  </si>
  <si>
    <t xml:space="preserve">PLA Pro</t>
  </si>
  <si>
    <t xml:space="preserve">PLA Silk</t>
  </si>
  <si>
    <t xml:space="preserve">PLA Sparkle</t>
  </si>
  <si>
    <t xml:space="preserve">PLA Wood</t>
  </si>
  <si>
    <t xml:space="preserve">PLA-CF</t>
  </si>
  <si>
    <t xml:space="preserve">Rapid PLA Plus</t>
  </si>
  <si>
    <t xml:space="preserve">TPU 95A</t>
  </si>
  <si>
    <t xml:space="preserve">Elegoo  —  Filament Catalog</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</si>
  <si>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</si>
  <si>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</si>
  <si>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</si>
  <si>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</si>
  <si>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</si>
  <si>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</si>
  <si>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</si>
  <si>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</si>
  <si>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</si>
  <si>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</si>
  <si>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</si>
  <si>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</si>
  <si>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</si>
  <si>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</si>
  <si>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</si>
  <si>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</si>
  <si>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</si>
  <si>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</si>
  <si>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</si>
  <si>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EL-ASA-GN</t>
  </si>
  <si>
    <t xml:space="preserve">Elegoo ASA</t>
  </si>
  <si>
    <t xml:space="preserve">ASA Green</t>
  </si>
  <si>
    <t xml:space="preserve">#00CC33</t>
  </si>
  <si>
    <t xml:space="preserve">1.75mm</t>
  </si>
  <si>
    <t xml:space="preserve">±0.03mm</t>
  </si>
  <si>
    <t xml:space="preserve">Cardboard</t>
  </si>
  <si>
    <t xml:space="preserve">Yes</t>
  </si>
  <si>
    <t xml:space="preserve">240–260°C</t>
  </si>
  <si>
    <t xml:space="preserve">75–95°C</t>
  </si>
  <si>
    <t xml:space="preserve">70°C / 8h</t>
  </si>
  <si>
    <t xml:space="preserve">⚠</t>
  </si>
  <si>
    <t xml:space="preserve">✗</t>
  </si>
  <si>
    <t xml:space="preserve">A</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</si>
  <si>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</si>
  <si>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</si>
  <si>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</si>
  <si>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Blue</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</si>
  <si>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</si>
  <si>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</si>
  <si>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</si>
  <si>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</si>
  <si>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</si>
  <si>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</si>
  <si>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Grey</t>
  </si>
  <si>
    <t xml:space="preserve">#999999</t>
  </si>
  <si>
    <t xml:space="preserve">C</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</si>
  <si>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</si>
  <si>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</si>
  <si>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</si>
  <si>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Red</t>
  </si>
  <si>
    <t xml:space="preserve">#D61212</t>
  </si>
  <si>
    <t xml:space="preserve">EL-ASA-WH</t>
  </si>
  <si>
    <t xml:space="preserve">White</t>
  </si>
  <si>
    <t xml:space="preserve">#FFFFFF</t>
  </si>
  <si>
    <t xml:space="preserve">EL-ASACF-BK</t>
  </si>
  <si>
    <t xml:space="preserve">Elegoo ASA-CF</t>
  </si>
  <si>
    <t xml:space="preserve">Carbon Fiber Black</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</si>
  <si>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</si>
  <si>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</si>
  <si>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</si>
  <si>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</si>
  <si>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</si>
  <si>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</si>
  <si>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</si>
  <si>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</si>
  <si>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</si>
  <si>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</si>
  <si>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</si>
  <si>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</si>
  <si>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</si>
  <si>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</si>
  <si>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</si>
  <si>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</si>
  <si>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</si>
  <si>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</si>
  <si>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</si>
  <si>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</si>
  <si>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EL-RPETG-BEI</t>
  </si>
  <si>
    <t xml:space="preserve">Elegoo Rapid PETG</t>
  </si>
  <si>
    <t xml:space="preserve">Beige</t>
  </si>
  <si>
    <t xml:space="preserve">±0.02mm</t>
  </si>
  <si>
    <t xml:space="preserve">240–270°C</t>
  </si>
  <si>
    <t xml:space="preserve">65–75°C</t>
  </si>
  <si>
    <t xml:space="preserve">65°C / 8h</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</si>
  <si>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</si>
  <si>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</si>
  <si>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</si>
  <si>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Black</t>
  </si>
  <si>
    <t xml:space="preserve">#000000</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</si>
  <si>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</si>
  <si>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</si>
  <si>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</si>
  <si>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#0000FF</t>
  </si>
  <si>
    <t xml:space="preserve">EL-RPETG-BR</t>
  </si>
  <si>
    <t xml:space="preserve">Brown</t>
  </si>
  <si>
    <t xml:space="preserve">EL-RPETG-GN</t>
  </si>
  <si>
    <t xml:space="preserve">Green</t>
  </si>
  <si>
    <t xml:space="preserve">EL-RPETG-GY</t>
  </si>
  <si>
    <t xml:space="preserve">EL-RPETG-OR</t>
  </si>
  <si>
    <t xml:space="preserve">Orange</t>
  </si>
  <si>
    <t xml:space="preserve">#FFA500</t>
  </si>
  <si>
    <t xml:space="preserve">EL-RPETG-RD</t>
  </si>
  <si>
    <t xml:space="preserve">#EA140E</t>
  </si>
  <si>
    <t xml:space="preserve">EL-RPETG-SPG</t>
  </si>
  <si>
    <t xml:space="preserve">Space Grey</t>
  </si>
  <si>
    <t xml:space="preserve">#616161</t>
  </si>
  <si>
    <t xml:space="preserve">EL-RPETG-TR</t>
  </si>
  <si>
    <t xml:space="preserve">Transparent</t>
  </si>
  <si>
    <t xml:space="preserve">#F7F7F8</t>
  </si>
  <si>
    <t xml:space="preserve">EL-RPETG-WH</t>
  </si>
  <si>
    <t xml:space="preserve">EL-RPETG-YL</t>
  </si>
  <si>
    <t xml:space="preserve">Yellow</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</si>
  <si>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</si>
  <si>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</si>
  <si>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</si>
  <si>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</si>
  <si>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</si>
  <si>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</si>
  <si>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</si>
  <si>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</si>
  <si>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</si>
  <si>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</si>
  <si>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Pink</t>
  </si>
  <si>
    <t xml:space="preserve">#FFA7F5</t>
  </si>
  <si>
    <t xml:space="preserve">EL-PETGP-RD</t>
  </si>
  <si>
    <t xml:space="preserve">#FF0000</t>
  </si>
  <si>
    <t xml:space="preserve">EL-PETGP-SLV</t>
  </si>
  <si>
    <t xml:space="preserve">Silver</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</si>
  <si>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</si>
  <si>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</si>
  <si>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</si>
  <si>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</si>
  <si>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</si>
  <si>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</si>
  <si>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</si>
  <si>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</si>
  <si>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</si>
  <si>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</si>
  <si>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</si>
  <si>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Olive Green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</si>
  <si>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</si>
  <si>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</si>
  <si>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</si>
  <si>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</si>
  <si>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</si>
  <si>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Purple</t>
  </si>
  <si>
    <t xml:space="preserve">#A366CC</t>
  </si>
  <si>
    <t xml:space="preserve">EL-PETGT-TAMB</t>
  </si>
  <si>
    <t xml:space="preserve">Translucent Amber</t>
  </si>
  <si>
    <t xml:space="preserve">#BB762B</t>
  </si>
  <si>
    <t xml:space="preserve">EL-PETGT-TBL</t>
  </si>
  <si>
    <t xml:space="preserve">Translucent Blue</t>
  </si>
  <si>
    <t xml:space="preserve">EL-PETGT-TGN</t>
  </si>
  <si>
    <t xml:space="preserve">Translucent Green</t>
  </si>
  <si>
    <t xml:space="preserve">EL-PETGT-TOR</t>
  </si>
  <si>
    <t xml:space="preserve">Translucent Orange</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</si>
  <si>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</si>
  <si>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</si>
  <si>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</si>
  <si>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</si>
  <si>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</si>
  <si>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</si>
  <si>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</si>
  <si>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</si>
  <si>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</si>
  <si>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</si>
  <si>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</si>
  <si>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</si>
  <si>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</si>
  <si>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</si>
  <si>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</si>
  <si>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</si>
  <si>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</si>
  <si>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</si>
  <si>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</si>
  <si>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</si>
  <si>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EL-PLA-BEI</t>
  </si>
  <si>
    <t xml:space="preserve">Elegoo PLA</t>
  </si>
  <si>
    <t xml:space="preserve">#FEE7BF</t>
  </si>
  <si>
    <t xml:space="preserve">190–220°C</t>
  </si>
  <si>
    <t xml:space="preserve">45–60°C</t>
  </si>
  <si>
    <t xml:space="preserve">45°C / 4h</t>
  </si>
  <si>
    <t xml:space="preserve">B</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</si>
  <si>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</si>
  <si>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</si>
  <si>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</si>
  <si>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</si>
  <si>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</si>
  <si>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</si>
  <si>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</si>
  <si>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</si>
  <si>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</si>
  <si>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</si>
  <si>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Dark Blue</t>
  </si>
  <si>
    <t xml:space="preserve">#2240AF</t>
  </si>
  <si>
    <t xml:space="preserve">EL-PLA-GY</t>
  </si>
  <si>
    <t xml:space="preserve">#8F949B</t>
  </si>
  <si>
    <t xml:space="preserve">EL-PLA-NGN</t>
  </si>
  <si>
    <t xml:space="preserve">Neon Green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</si>
  <si>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</si>
  <si>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</si>
  <si>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</si>
  <si>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</si>
  <si>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</si>
  <si>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</si>
  <si>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</si>
  <si>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</si>
  <si>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</si>
  <si>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</si>
  <si>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</si>
  <si>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</si>
  <si>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Sky Blue</t>
  </si>
  <si>
    <t xml:space="preserve">#27B2D0</t>
  </si>
  <si>
    <t xml:space="preserve">EL-PLA-SPG</t>
  </si>
  <si>
    <t xml:space="preserve">#5D5D5D</t>
  </si>
  <si>
    <t xml:space="preserve">EL-PLA-TR</t>
  </si>
  <si>
    <t xml:space="preserve">Translucent</t>
  </si>
  <si>
    <t xml:space="preserve">#E9E9E7</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</si>
  <si>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</si>
  <si>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</si>
  <si>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</si>
  <si>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</si>
  <si>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</si>
  <si>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</si>
  <si>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</si>
  <si>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</si>
  <si>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</si>
  <si>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</si>
  <si>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</si>
  <si>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</si>
  <si>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</si>
  <si>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</si>
  <si>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</si>
  <si>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</si>
  <si>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</si>
  <si>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</si>
  <si>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</si>
  <si>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</si>
  <si>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</si>
  <si>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</si>
  <si>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</si>
  <si>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</si>
  <si>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</si>
  <si>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</si>
  <si>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</si>
  <si>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</si>
  <si>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</si>
  <si>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Apple Green</t>
  </si>
  <si>
    <t xml:space="preserve">190–230°C</t>
  </si>
  <si>
    <t xml:space="preserve">35–65°C</t>
  </si>
  <si>
    <t xml:space="preserve">55°C / 6h</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</si>
  <si>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</si>
  <si>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</si>
  <si>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</si>
  <si>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</si>
  <si>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</si>
  <si>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</si>
  <si>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Cobalt Blue</t>
  </si>
  <si>
    <t xml:space="preserve">EL-PLAB-COB</t>
  </si>
  <si>
    <t xml:space="preserve">Cocoa Brown</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</si>
  <si>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</si>
  <si>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</si>
  <si>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</si>
  <si>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Cyan</t>
  </si>
  <si>
    <t xml:space="preserve">EL-PLAB-GN</t>
  </si>
  <si>
    <t xml:space="preserve">EL-PLAB-GY</t>
  </si>
  <si>
    <t xml:space="preserve">EL-PLAB-HPK</t>
  </si>
  <si>
    <t xml:space="preserve">Hot Pink</t>
  </si>
  <si>
    <t xml:space="preserve">#FA7291</t>
  </si>
  <si>
    <t xml:space="preserve">180–210°C</t>
  </si>
  <si>
    <t xml:space="preserve">EL-PLAB-MSB</t>
  </si>
  <si>
    <t xml:space="preserve">Misty Blue</t>
  </si>
  <si>
    <t xml:space="preserve">EL-PLAB-OR</t>
  </si>
  <si>
    <t xml:space="preserve">EL-PLAB-PK</t>
  </si>
  <si>
    <t xml:space="preserve">EL-PLAB-PU</t>
  </si>
  <si>
    <t xml:space="preserve">EL-PLAB-RD</t>
  </si>
  <si>
    <t xml:space="preserve">EL-PLAB-SFY</t>
  </si>
  <si>
    <t xml:space="preserve">Sunflower Yellow</t>
  </si>
  <si>
    <t xml:space="preserve">#FEC600</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</si>
  <si>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</si>
  <si>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</si>
  <si>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</si>
  <si>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</si>
  <si>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</si>
  <si>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Turquoise Green</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</si>
  <si>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</si>
  <si>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</si>
  <si>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</si>
  <si>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</si>
  <si>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EL-CMYK-CY</t>
  </si>
  <si>
    <t xml:space="preserve">Elegoo PLA CMYK</t>
  </si>
  <si>
    <t xml:space="preserve">Rilievo Cyan</t>
  </si>
  <si>
    <t xml:space="preserve">55°C / 8h</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</si>
  <si>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</si>
  <si>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</si>
  <si>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</si>
  <si>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</si>
  <si>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</si>
  <si>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</si>
  <si>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</si>
  <si>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</si>
  <si>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</si>
  <si>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</si>
  <si>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</si>
  <si>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</si>
  <si>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</si>
  <si>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</si>
  <si>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</si>
  <si>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</si>
  <si>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</si>
  <si>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</si>
  <si>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</si>
  <si>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</si>
  <si>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</si>
  <si>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</si>
  <si>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</si>
  <si>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</si>
  <si>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</si>
  <si>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</si>
  <si>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</si>
  <si>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</si>
  <si>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</si>
  <si>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</si>
  <si>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</si>
  <si>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</si>
  <si>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</si>
  <si>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</si>
  <si>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</si>
  <si>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</si>
  <si>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</si>
  <si>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</si>
  <si>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</si>
  <si>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</si>
  <si>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</si>
  <si>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</si>
  <si>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</si>
  <si>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</si>
  <si>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</si>
  <si>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</si>
  <si>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</si>
  <si>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</si>
  <si>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</si>
  <si>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</si>
  <si>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</si>
  <si>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</si>
  <si>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</si>
  <si>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</si>
  <si>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</si>
  <si>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</si>
  <si>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</si>
  <si>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</si>
  <si>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Ice Blue</t>
  </si>
  <si>
    <t xml:space="preserve">#B4F5FE</t>
  </si>
  <si>
    <t xml:space="preserve">EL-PLAM-LVP</t>
  </si>
  <si>
    <t xml:space="preserve">Lavender Purple</t>
  </si>
  <si>
    <t xml:space="preserve">#B091EF</t>
  </si>
  <si>
    <t xml:space="preserve">EL-PLAM-MTG</t>
  </si>
  <si>
    <t xml:space="preserve">Mint Green</t>
  </si>
  <si>
    <t xml:space="preserve">#98FF98</t>
  </si>
  <si>
    <t xml:space="preserve">EL-PLAM-NVB</t>
  </si>
  <si>
    <t xml:space="preserve">Navy Blue</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</si>
  <si>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</si>
  <si>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</si>
  <si>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</si>
  <si>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</si>
  <si>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</si>
  <si>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</si>
  <si>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</si>
  <si>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</si>
  <si>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</si>
  <si>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</si>
  <si>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</si>
  <si>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</si>
  <si>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EL-MET-BL</t>
  </si>
  <si>
    <t xml:space="preserve">Elegoo PLA Metallic</t>
  </si>
  <si>
    <t xml:space="preserve">Metallic Blue</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</si>
  <si>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</si>
  <si>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</si>
  <si>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</si>
  <si>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</si>
  <si>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</si>
  <si>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</si>
  <si>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</si>
  <si>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</si>
  <si>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</si>
  <si>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</si>
  <si>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</si>
  <si>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</si>
  <si>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</si>
  <si>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</si>
  <si>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</si>
  <si>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</si>
  <si>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</si>
  <si>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</si>
  <si>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</si>
  <si>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</si>
  <si>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</si>
  <si>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</si>
  <si>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</si>
  <si>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</si>
  <si>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</si>
  <si>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</si>
  <si>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</si>
  <si>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</si>
  <si>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</si>
  <si>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</si>
  <si>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</si>
  <si>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</si>
  <si>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</si>
  <si>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</si>
  <si>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</si>
  <si>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</si>
  <si>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</si>
  <si>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</si>
  <si>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</si>
  <si>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Light Blue</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</si>
  <si>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</si>
  <si>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</si>
  <si>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</si>
  <si>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</si>
  <si>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</si>
  <si>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</si>
  <si>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</si>
  <si>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</si>
  <si>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</si>
  <si>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</si>
  <si>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</si>
  <si>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</si>
  <si>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</si>
  <si>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</si>
  <si>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</si>
  <si>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</si>
  <si>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</si>
  <si>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</si>
  <si>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</si>
  <si>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</si>
  <si>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</si>
  <si>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</si>
  <si>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</si>
  <si>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</si>
  <si>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</si>
  <si>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</si>
  <si>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</si>
  <si>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</si>
  <si>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</si>
  <si>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</si>
  <si>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</si>
  <si>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Bronze</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</si>
  <si>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</si>
  <si>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</si>
  <si>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</si>
  <si>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Gold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</si>
  <si>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</si>
  <si>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</si>
  <si>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</si>
  <si>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</si>
  <si>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</si>
  <si>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</si>
  <si>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Holly Green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</si>
  <si>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</si>
  <si>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</si>
  <si>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</si>
  <si>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</si>
  <si>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</si>
  <si>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</si>
  <si>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</si>
  <si>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</si>
  <si>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</si>
  <si>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</si>
  <si>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</si>
  <si>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</si>
  <si>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</si>
  <si>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</si>
  <si>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</si>
  <si>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</si>
  <si>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</si>
  <si>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</si>
  <si>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Sparkle Black</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</si>
  <si>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</si>
  <si>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</si>
  <si>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</si>
  <si>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</si>
  <si>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</si>
  <si>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</si>
  <si>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</si>
  <si>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</si>
  <si>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</si>
  <si>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</si>
  <si>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</si>
  <si>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</si>
  <si>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</si>
  <si>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</si>
  <si>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</si>
  <si>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</si>
  <si>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</si>
  <si>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</si>
  <si>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</si>
  <si>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</si>
  <si>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</si>
  <si>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</si>
  <si>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</si>
  <si>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</si>
  <si>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</si>
  <si>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</si>
  <si>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</si>
  <si>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</si>
  <si>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</si>
  <si>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</si>
  <si>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</si>
  <si>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</si>
  <si>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</si>
  <si>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</si>
  <si>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</si>
  <si>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</si>
  <si>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</si>
  <si>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</si>
  <si>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</si>
  <si>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</si>
  <si>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</si>
  <si>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</si>
  <si>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</si>
  <si>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</si>
  <si>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</si>
  <si>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</si>
  <si>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210–240°C</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</si>
  <si>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</si>
  <si>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</si>
  <si>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</si>
  <si>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</si>
  <si>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</si>
  <si>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</si>
  <si>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</si>
  <si>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</si>
  <si>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</si>
  <si>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</si>
  <si>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</si>
  <si>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</si>
  <si>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</si>
  <si>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</si>
  <si>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</si>
  <si>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</si>
  <si>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</si>
  <si>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</si>
  <si>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Bone White</t>
  </si>
  <si>
    <t xml:space="preserve">EL-RPP-BRN</t>
  </si>
  <si>
    <t xml:space="preserve">EL-RPP-CHBK</t>
  </si>
  <si>
    <t xml:space="preserve">Chestnut Black</t>
  </si>
  <si>
    <t xml:space="preserve">EL-RPP-CHBR</t>
  </si>
  <si>
    <t xml:space="preserve">Chocolate Brown</t>
  </si>
  <si>
    <t xml:space="preserve">EL-RPP-CFBR</t>
  </si>
  <si>
    <t xml:space="preserve">Coffee Brown</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</si>
  <si>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</si>
  <si>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</si>
  <si>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</si>
  <si>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</si>
  <si>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</si>
  <si>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</si>
  <si>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</si>
  <si>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</si>
  <si>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</si>
  <si>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</si>
  <si>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Ocean Blue</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</si>
  <si>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</si>
  <si>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</si>
  <si>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</si>
  <si>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</si>
  <si>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</si>
  <si>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</si>
  <si>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</si>
  <si>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</si>
  <si>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Pumpkin Orange</t>
  </si>
  <si>
    <t xml:space="preserve">EL-RPP-RD</t>
  </si>
  <si>
    <t xml:space="preserve">EL-RPP-SKPK</t>
  </si>
  <si>
    <t xml:space="preserve">Sakura Pink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</si>
  <si>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</si>
  <si>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</si>
  <si>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</si>
  <si>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</si>
  <si>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</si>
  <si>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</si>
  <si>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</si>
  <si>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</si>
  <si>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</si>
  <si>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</si>
  <si>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50°C / 8h</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</si>
  <si>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</si>
  <si>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</si>
  <si>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</si>
  <si>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</si>
  <si>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</si>
  <si>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</si>
  <si>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</si>
  <si>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</si>
  <si>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</si>
  <si>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</si>
  <si>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Elegoo  —  Material Guide</t>
  </si>
  <si>
    <t xml:space="preserve">Material</t>
  </si>
  <si>
    <t xml:space="preserve">Enclosure Required</t>
  </si>
  <si>
    <t xml:space="preserve">AMS Compatible</t>
  </si>
  <si>
    <t xml:space="preserve">Drying Required</t>
  </si>
  <si>
    <t xml:space="preserve">No</t>
  </si>
  <si>
    <t xml:space="preserve">Recommended</t>
  </si>
  <si>
    <t xml:space="preserve">Cardboard spool, ~199-200mm OD — AMS Adapter Ring required for all AMS variants. Hex codes are community-sourced (MakerWorld), not manufacturer-published.</t>
  </si>
  <si>
    <t xml:space="preserve">Cardboard spool — AMS Adapter Ring required. Distinct product line from plain "PLA" with different colors and (where checked) different hex for same-named colors — not cross-referenced. Color count varies by region: 19 (US) up to 24-25 (AU/other storefronts) — not reconciled this pass.</t>
  </si>
  <si>
    <t xml:space="preserve">Cardboard spool — AMS Adapter Ring required. Same 17 color names as the plain PLA line; hex from the same community swatch set, which explicitly covers PLA+.</t>
  </si>
  <si>
    <t xml:space="preserve">Cardboard spool. External-spool-only on Bambu AMS regardless of adapter ring, same as every other brand's TPU in this catalog. 7-color line, only 4/7 hex confirmed this pass (Black/White/Grey/Red) — Blue/Green/Translucent use different color names than the source swatch's PLA-line entries, not assumed identical.</t>
  </si>
  <si>
    <t xml:space="preserve">Cardboard spool — AMS Adapter Ring required; AMS Lite incompatible (open-frame). Real 6-color line (Deep Black, White, Blue, ASA Green, Grey, Red) — this catalog originally assumed 12 colors in error, corrected 2026-09-23. Deep Black uses a colorimeter-measured hex, not the flat nominal value most retailers list.</t>
  </si>
  <si>
    <t xml:space="preserve">Cardboard spool — AMS Adapter Ring required. 12-color line, 8/12 hex confirmed. Yellow deliberately left unresolved — two different manufacturer-sourced listings gave conflicting hex for this exact color, not resolved without a physical-spool tiebreaker.</t>
  </si>
  <si>
    <t xml:space="preserve">Cardboard spool — AMS Adapter Ring required. 14-color line, only 1/14 hex confirmed this pass (Burgundy Red) — this line proved unusually hard to source per-color data for; worth a dedicated follow-up pass.</t>
  </si>
  <si>
    <t xml:space="preserve">Cardboard spool — AMS Adapter Ring required. Brand-new pre-order product as of 2026-09-27, RFID-tagged for ELEGOO CANVAS. Same 17 color names as PLA Plus. Zero hex confirmed — too new to be indexed by any third-party source checked; re-check once this line has fully shipped.</t>
  </si>
  <si>
    <t xml:space="preserve">Cardboard spool — AMS Adapter Ring required. 3-color line, all 3 hex resolved, but two of the three (Marble, Marble Cement Grey) have conflicting values across sources within 3dfilamentprofiles.com itself — flagged per-entry, not reconciled. Stone-like surface texture over a solid pigment, not a multi-color blend.</t>
  </si>
  <si>
    <t xml:space="preserve">Cardboard spool — AMS Adapter Ring required. 7-color line, 6/7 hex resolved; Sparkle Green left unresolved due to conflicting source values (#004000 vs #38571A). Glitter-particle additive, slightly abrasive — monitor nozzle wear.</t>
  </si>
  <si>
    <t xml:space="preserve">Cardboard spool — AMS Adapter Ring required; AMS Lite incompatible; abrasive, hardened nozzle required. 6-color line, only 1/6 hex resolved (Green) — Black/Grey/Blue explicitly show no RGB data on their own source pages (genuine absence, not unresearched); Red/Sand never surfaced.</t>
  </si>
  <si>
    <t xml:space="preserve">Cardboard spool — AMS Adapter Ring required; abrasive, hardened nozzle required. 7-color line, 0/7 hex resolved — genuine dead end confirmed against 3dfilamentprofiles.com's dedicated PLA-CF section directly, not an unresearched gap. Print temps are real (manufacturer default-settings page).</t>
  </si>
  <si>
    <t xml:space="preserve">Cardboard spool — AMS Adapter Ring required. Added 2026-10-05. 9-color line per official elegoo.com (Black, Slate Grey, Beige, Ice Blue, Lavender Purple, Mint Green, Navy Blue, Pink, Sunshine Yellow); 9/9 hex resolved via 3dfilamentprofiles.com's dedicated per-color pages, which carry several additional color names (Army Green, Chocolate, Ruby Red, Sky Blue, Teal Green, Yellow, etc.) not seen on elegoo.com's own storefront — not added here, flagged as the same regional/retailer naming variance already documented for PLA Basic.</t>
  </si>
  <si>
    <t xml:space="preserve">Cardboard spool — AMS Adapter Ring required. Added 2026-10-05. 16-variant line per official elegoo.com storefront: 8 single-tone colors (Silver, White, Bronze, Holly Green, Mint Green, Red, Gold, Hot Pink) + 8 multi-tone/gradient variants (tri-color silk announced in Elegoo's own 2026 blog post) — Green Red, Black Purple, Black Red, Blue Magenta, Blue Green, Blue Green Orange, Blue Purple Black, Blue Purple. 6/8 single-tone hex resolved (Tier A, unambiguous 3dfilamentprofiles.com matches); Gold and Hot Pink left as placeholders due to multiple conflicting/unconfirmed source candidates, not guessed. All 8 gradient variants left as placeholders by design — a multi-color-per-spool product has no single representative hex, consistent with how this catalog treats every other brand's gradient/rainbow products.</t>
  </si>
  <si>
    <t xml:space="preserve">Cardboard spool — AMS Adapter Ring required. Added 2026-10-06. 3-color line (Black, Purple, Peacock Blue) — speckled night-sky finish over a solid base, not a gradient. 3/3 hex resolved via 3dfilamentprofiles.com; Peacock Blue had two candidate source entries with different hex, used the line-specific-named one.</t>
  </si>
  <si>
    <t xml:space="preserve">Cardboard spool — AMS Adapter Ring required. Added 2026-10-06. 4-color line (Metallic Gold, Bronze, Blue, Green) confirmed via elegoo.com (all listed sold out at time of check). 0/4 hex resolved — genuine dead end confirmed against 3dfilamentprofiles.com's dedicated PLA Metallic section directly (zero entries), not an unresearched gap.</t>
  </si>
  <si>
    <t xml:space="preserve">Cardboard spool — AMS Adapter Ring required. Added 2026-10-06. 4-color line (Oak Wood, Teak Wood, Tan Birch, Rosewood) — a wood-toned PLA (not wood-filled). 4/4 hex resolved via 3dfilamentprofiles.com. Note: Elegoo also sells a separate 'PLA Walnut Wood' product that is a genuinely wood-particle-filled filament, a different material entirely from this color-only line — not added here, flagged for a possible future separate line.</t>
  </si>
  <si>
    <t xml:space="preserve">Cardboard spool — AMS Adapter Ring required. Added 2026-10-06. 5-color line (Blue, Green, Yellow, Orange, Pink) confirmed via elegoo.com. 2/5 hex resolved (Blue, Green) — Yellow and Orange have dedicated 3dfilamentprofiles.com pages with blank RGB fields (genuine gap, not unresearched); Pink's source page lists two conflicting RGB values with no way to pick between them. All hex are the daylight/charged color — this catalog does not track a separate dark-glow color.</t>
  </si>
  <si>
    <t xml:space="preserve">Cardboard spool — AMS Adapter Ring required. Added 2026-10-07. 4-color translucent lithophane/relief-print set (Rilievo Cyan, Magenta, Yellow, White) confirmed via elegoo.com. 0/4 hex resolved — genuine dead end, 3dfilamentprofiles.com has zero Elegoo PLA CMYK entries. Deliberately not borrowed from another brand's published CMYK hex values for a similar bundle (e.g. Bambu Lab's own PLA CMYK set) — no-cross-inference rule.</t>
  </si>
  <si>
    <t xml:space="preserve">Cardboard spool — AMS Adapter Ring required. Added 2026-10-07. 26-color line confirmed via elegoo.com's UK storefront (supports 30-600mm/s print speed per manufacturer). Only 1/26 hex resolved (Orange) via 3dfilamentprofiles.com's single 'Rapid'-tagged entry — the other 25 colors were not individually source-matched this pass to avoid a cross-line guess (e.g. borrowing same-named PLA Basic hex values); worth a dedicated follow-up pass. Print/bed temps not manufacturer-stated on the product page — modeled on this catalog's standard Elegoo PLA profile.</t>
  </si>
  <si>
    <t xml:space="preserve">Cardboard spool — AMS Adapter Ring required. Added 2026-10-07. 7-color line (Grey, White, Black, Silver, Blue, Pink, Red) confirmed via elegoo.com. 7/7 hex resolved via 3dfilamentprofiles.com, which also lists 7 more color names (Burgundy Red, Green, Light Blue, Olive Green, Orange, Purple, Yellow) not on elegoo.com's own storefront — same regional/retailer naming variance already documented for PLA Basic/PLA Matte, not added here.</t>
  </si>
  <si>
    <t xml:space="preserve">Cardboard spool — AMS Adapter Ring required. Added 2026-10-07. 11-color line per 3dfilamentprofiles.com's dedicated Translucent material-type page for Elegoo PETG — elegoo.com's own storefront pages didn't surface a static color list this pass (likely JS-rendered). 8/11 hex resolved; Olive Green, Translucent Blue, and Translucent Green each have a dedicated per-color page with a blank RGB field — genuine gap, not unresearched.</t>
  </si>
  <si>
    <t xml:space="preserve">Cardboard spool — AMS Adapter Ring required; AMS Lite incompatible; abrasive, hardened nozzle required. Added 2026-10-08. 5-color line (Carbon Fiber Blue/Green/Grey/Purple/Red) confirmed via retailer listings (elegoo.com's own product page couldn't be fetched this pass). 5/5 hex resolved via 3dfilamentprofiles.com, which also separately lists Black/Carbon Fiber Black entries not matched to a current retailer listing for this line — not added as a 6th color.</t>
  </si>
  <si>
    <t xml:space="preserve">⚙  Configuration</t>
  </si>
  <si>
    <t xml:space="preserve">Setting</t>
  </si>
  <si>
    <t xml:space="preserve">Value</t>
  </si>
  <si>
    <t xml:space="preserve">Brand</t>
  </si>
  <si>
    <t xml:space="preserve">Elegoo</t>
  </si>
  <si>
    <t xml:space="preserve">File Version</t>
  </si>
  <si>
    <t xml:space="preserve">v3</t>
  </si>
  <si>
    <t xml:space="preserve">Generated</t>
  </si>
  <si>
    <t xml:space="preserve">2026-10-08</t>
  </si>
  <si>
    <t xml:space="preserve">Date this file was last generated by generate_all.py</t>
  </si>
  <si>
    <t xml:space="preserve">SKU Note</t>
  </si>
  <si>
    <t xml:space="preserve">Reference codes — verify at manufacturer site</t>
  </si>
  <si>
    <t xml:space="preserve">SKU column: confirmed mfr codes noted above; others are internal reference codes</t>
  </si>
  <si>
    <t xml:space="preserve">Hex Note</t>
  </si>
  <si>
    <t xml:space="preserve">Per-row confirmation status is tracked in each Catalog row's Notes column (manufacturer TDS-confirmed, official product-page confirmed, or unconfirmed placeholder). #999999 in the Hex Code column always means unconfirmed placeholder, not a real color.</t>
  </si>
  <si>
    <t xml:space="preserve">Approximate hex = visually representative; not manufacturer-confirmed</t>
  </si>
  <si>
    <t xml:space="preserve">Inventory Note</t>
  </si>
  <si>
    <t xml:space="preserve">This workbook covers catalog reference data only. On-hand spool inventory is tracked separately in Filament_Inventory.xlsx.</t>
  </si>
  <si>
    <t xml:space="preserve">Split from per-brand Inventory Tracker sheets, 2026-07-23</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</si>
</sst>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b val="true"/>
      <sz val="10"/>
      <color rgb="FF7F6000"/>
      <name val="Arial"/>
      <family val="0"/>
      <charset val="1"/>
    </font>
    <font>
      <sz val="10"/>
      <color rgb="FF000000"/>
      <name val="Arial"/>
      <family val="0"/>
      <charset val="1"/>
    </font>
    <font>
      <b val="true"/>
      <sz val="10"/>
      <color rgb="FF276221"/>
      <name val="Arial"/>
      <family val="0"/>
      <charset val="1"/>
    </font>
    <font>
      <b val="true"/>
      <sz val="10"/>
      <color rgb="FF1F3864"/>
      <name val="Arial"/>
      <family val="0"/>
      <charset val="1"/>
    </font>
    <font>
      <b val="true"/>
      <sz val="10"/>
      <color rgb="FF9C0006"/>
      <name val="Arial"/>
      <family val="0"/>
      <charset val="1"/>
    </font>
    <font>
      <i val="true"/>
      <sz val="10"/>
      <color rgb="FF000000"/>
      <name val="Arial"/>
      <family val="0"/>
      <charset val="1"/>
    </font>
    <font>
      <b val="true"/>
      <sz val="13"/>
      <color rgb="FFFFFFFF"/>
      <name val="Arial"/>
      <family val="0"/>
      <charset val="1"/>
    </font>
    <font>
      <sz val="9"/>
      <color rgb="FF444444"/>
      <name val="Arial"/>
      <family val="0"/>
      <charset val="1"/>
    </font>
    <font>
      <sz val="10"/>
      <name val="Arial"/>
      <family val="2"/>
    </font>
    <font>
      <b val="true"/>
      <sz val="12"/>
      <color rgb="FFFFFFFF"/>
      <name val="Arial"/>
      <family val="0"/>
      <charset val="1"/>
    </font>
    <font>
      <sz val="10"/>
      <color rgb="FF7F6000"/>
      <name val="Arial"/>
      <family val="0"/>
      <charset val="1"/>
    </font>
  </fonts>
  <fills count="135">
    <fill>
      <patternFill patternType="none"/>
    </fill>
    <fill>
      <patternFill patternType="gray125"/>
    </fill>
    <fill>
      <patternFill patternType="darkGray">
        <fgColor rgb="FF163368"/>
        <bgColor rgb="FF3E4539"/>
      </patternFill>
    </fill>
    <fill>
      <patternFill patternType="solid">
        <fgColor rgb="FF1E4FA2"/>
        <bgColor rgb="FF163368"/>
      </patternFill>
    </fill>
    <fill>
      <patternFill patternType="darkGray">
        <fgColor rgb="FFF4F2F9"/>
        <bgColor rgb="FFF6F1EC"/>
      </patternFill>
    </fill>
    <fill>
      <patternFill patternType="solid">
        <fgColor rgb="FFFFFFFF"/>
        <bgColor rgb="FFFBFEFE"/>
      </patternFill>
    </fill>
    <fill>
      <patternFill patternType="solid">
        <fgColor rgb="FFFEDF01"/>
        <bgColor rgb="FFFEDB68"/>
      </patternFill>
    </fill>
    <fill>
      <patternFill patternType="solid">
        <fgColor rgb="FF93D154"/>
        <bgColor rgb="FFBDB2B2"/>
      </patternFill>
    </fill>
    <fill>
      <patternFill patternType="solid">
        <fgColor rgb="FFBDD7EE"/>
        <bgColor rgb="FFB8CCE4"/>
      </patternFill>
    </fill>
    <fill>
      <patternFill patternType="solid">
        <fgColor rgb="FFF7B6B9"/>
        <bgColor rgb="FFFFC7CE"/>
      </patternFill>
    </fill>
    <fill>
      <patternFill patternType="solid">
        <fgColor rgb="FFFFEB9C"/>
        <bgColor rgb="FFF9E1C0"/>
      </patternFill>
    </fill>
    <fill>
      <patternFill patternType="solid">
        <fgColor rgb="FF01E75D"/>
        <bgColor rgb="FF3EB3F4"/>
      </patternFill>
    </fill>
    <fill>
      <patternFill patternType="darkGray">
        <fgColor rgb="FFE1FDEF"/>
        <bgColor rgb="FFDCF6FC"/>
      </patternFill>
    </fill>
    <fill>
      <patternFill patternType="darkGray">
        <fgColor rgb="FFEEF4FC"/>
        <bgColor rgb="FFF4F2F9"/>
      </patternFill>
    </fill>
    <fill>
      <patternFill patternType="solid">
        <fgColor rgb="FF163368"/>
        <bgColor rgb="FF1E4FA2"/>
      </patternFill>
    </fill>
    <fill>
      <patternFill patternType="mediumGray">
        <fgColor rgb="FFE2E6F9"/>
        <bgColor rgb="FFE1E2E6"/>
      </patternFill>
    </fill>
    <fill>
      <patternFill patternType="solid">
        <fgColor rgb="FF030413"/>
        <bgColor rgb="FF000000"/>
      </patternFill>
    </fill>
    <fill>
      <patternFill patternType="solid">
        <fgColor rgb="FFE1E2E6"/>
        <bgColor rgb="FFEAE7F2"/>
      </patternFill>
    </fill>
    <fill>
      <patternFill patternType="darkGray">
        <fgColor rgb="FF968CBE"/>
        <bgColor rgb="FFBDB2B2"/>
      </patternFill>
    </fill>
    <fill>
      <patternFill patternType="darkGray">
        <fgColor rgb="FFDF1D18"/>
        <bgColor rgb="FFFF0000"/>
      </patternFill>
    </fill>
    <fill>
      <patternFill patternType="darkGray">
        <fgColor rgb="FFFEE2E2"/>
        <bgColor rgb="FFF2E3E9"/>
      </patternFill>
    </fill>
    <fill>
      <patternFill patternType="solid">
        <fgColor rgb="FF12670F"/>
        <bgColor rgb="FF3E4539"/>
      </patternFill>
    </fill>
    <fill>
      <patternFill patternType="darkGray">
        <fgColor rgb="FFE9ECE8"/>
        <bgColor rgb="FFE4EAF6"/>
      </patternFill>
    </fill>
    <fill>
      <patternFill patternType="solid">
        <fgColor rgb="FF000000"/>
        <bgColor rgb="FF030413"/>
      </patternFill>
    </fill>
    <fill>
      <patternFill patternType="solid">
        <fgColor rgb="FFE1E2E6"/>
        <bgColor rgb="FFE2E6F9"/>
      </patternFill>
    </fill>
    <fill>
      <patternFill patternType="solid">
        <fgColor rgb="FF0000FF"/>
        <bgColor rgb="FF163368"/>
      </patternFill>
    </fill>
    <fill>
      <patternFill patternType="solid">
        <fgColor rgb="FFE2E6F9"/>
        <bgColor rgb="FFE1E2E6"/>
      </patternFill>
    </fill>
    <fill>
      <patternFill patternType="darkGray">
        <fgColor rgb="FFFF8701"/>
        <bgColor rgb="FFFEDF01"/>
      </patternFill>
    </fill>
    <fill>
      <patternFill patternType="solid">
        <fgColor rgb="FFFFF3E0"/>
        <bgColor rgb="FFFEFAE9"/>
      </patternFill>
    </fill>
    <fill>
      <patternFill patternType="darkGray">
        <fgColor rgb="FFFEE2E2"/>
        <bgColor rgb="FFF9E9E8"/>
      </patternFill>
    </fill>
    <fill>
      <patternFill patternType="solid">
        <fgColor rgb="FF666260"/>
        <bgColor rgb="FF3E4539"/>
      </patternFill>
    </fill>
    <fill>
      <patternFill patternType="darkGray">
        <fgColor rgb="FFEDEDED"/>
        <bgColor rgb="FFE9ECE8"/>
      </patternFill>
    </fill>
    <fill>
      <patternFill patternType="solid">
        <fgColor rgb="FFF7F8F7"/>
        <bgColor rgb="FFF4F2F9"/>
      </patternFill>
    </fill>
    <fill>
      <patternFill patternType="darkGray">
        <fgColor rgb="FFFFFFFF"/>
        <bgColor rgb="FFFBFEFE"/>
      </patternFill>
    </fill>
    <fill>
      <patternFill patternType="solid">
        <fgColor rgb="FF1E4FA2"/>
        <bgColor rgb="FF163368"/>
      </patternFill>
    </fill>
    <fill>
      <patternFill patternType="darkGray">
        <fgColor rgb="FFE4EAF6"/>
        <bgColor rgb="FFE2E6F9"/>
      </patternFill>
    </fill>
    <fill>
      <patternFill patternType="darkGray">
        <fgColor rgb="FFBDB2B2"/>
        <bgColor rgb="FF968CBE"/>
      </patternFill>
    </fill>
    <fill>
      <patternFill patternType="mediumGray">
        <fgColor rgb="FFF7F8F7"/>
        <bgColor rgb="FFF4F2F9"/>
      </patternFill>
    </fill>
    <fill>
      <patternFill patternType="darkGray">
        <fgColor rgb="FFFDBBF3"/>
        <bgColor rgb="FFF7B6B9"/>
      </patternFill>
    </fill>
    <fill>
      <patternFill patternType="solid">
        <fgColor rgb="FFFFF7FD"/>
        <bgColor rgb="FFF7F8F7"/>
      </patternFill>
    </fill>
    <fill>
      <patternFill patternType="solid">
        <fgColor rgb="FFFF0000"/>
        <bgColor rgb="FFDF1D18"/>
      </patternFill>
    </fill>
    <fill>
      <patternFill patternType="solid">
        <fgColor rgb="FFFEE2E2"/>
        <bgColor rgb="FFF2E3E9"/>
      </patternFill>
    </fill>
    <fill>
      <patternFill patternType="darkGray">
        <fgColor rgb="FF3EB3F4"/>
        <bgColor rgb="FF968CBE"/>
      </patternFill>
    </fill>
    <fill>
      <patternFill patternType="solid">
        <fgColor rgb="FFEEF4FC"/>
        <bgColor rgb="FFF4F2F9"/>
      </patternFill>
    </fill>
    <fill>
      <patternFill patternType="darkGray">
        <fgColor rgb="FF6F138D"/>
        <bgColor rgb="FF880701"/>
      </patternFill>
    </fill>
    <fill>
      <patternFill patternType="solid">
        <fgColor rgb="FFF2E3E9"/>
        <bgColor rgb="FFEAE7F2"/>
      </patternFill>
    </fill>
    <fill>
      <patternFill patternType="darkGray">
        <fgColor rgb="FFFFF7FD"/>
        <bgColor rgb="FFF7F8F7"/>
      </patternFill>
    </fill>
    <fill>
      <patternFill patternType="darkGray">
        <fgColor rgb="FF968CBE"/>
        <bgColor rgb="FFAF733E"/>
      </patternFill>
    </fill>
    <fill>
      <patternFill patternType="darkGray">
        <fgColor rgb="FFF4F2F9"/>
        <bgColor rgb="FFEDEDED"/>
      </patternFill>
    </fill>
    <fill>
      <patternFill patternType="solid">
        <fgColor rgb="FFAF733E"/>
        <bgColor rgb="FFE38475"/>
      </patternFill>
    </fill>
    <fill>
      <patternFill patternType="mediumGray">
        <fgColor rgb="FFF6F1EC"/>
        <bgColor rgb="FFF9E9E8"/>
      </patternFill>
    </fill>
    <fill>
      <patternFill patternType="solid">
        <fgColor rgb="FFFF8701"/>
        <bgColor rgb="FFE38475"/>
      </patternFill>
    </fill>
    <fill>
      <patternFill patternType="mediumGray">
        <fgColor rgb="FFFEEFEC"/>
        <bgColor rgb="FFFFF3E0"/>
      </patternFill>
    </fill>
    <fill>
      <patternFill patternType="darkGray">
        <fgColor rgb="FFDCF6FC"/>
        <bgColor rgb="FFE4EAF6"/>
      </patternFill>
    </fill>
    <fill>
      <patternFill patternType="solid">
        <fgColor rgb="FFFBFEFE"/>
        <bgColor rgb="FFFFFFFF"/>
      </patternFill>
    </fill>
    <fill>
      <patternFill patternType="solid">
        <fgColor rgb="FF3E4539"/>
        <bgColor rgb="FF163368"/>
      </patternFill>
    </fill>
    <fill>
      <patternFill patternType="darkGray">
        <fgColor rgb="FFE9ECE8"/>
        <bgColor rgb="FFEAE7F2"/>
      </patternFill>
    </fill>
    <fill>
      <patternFill patternType="darkGray">
        <fgColor rgb="FFE4EAF6"/>
        <bgColor rgb="FFE9ECE8"/>
      </patternFill>
    </fill>
    <fill>
      <patternFill patternType="mediumGray">
        <fgColor rgb="FF01E75D"/>
        <bgColor rgb="FF3EB3F4"/>
      </patternFill>
    </fill>
    <fill>
      <patternFill patternType="darkGray">
        <fgColor rgb="FFDCF6FC"/>
        <bgColor rgb="FFE1FDEF"/>
      </patternFill>
    </fill>
    <fill>
      <patternFill patternType="darkGray">
        <fgColor rgb="FF3E4539"/>
        <bgColor rgb="FF163368"/>
      </patternFill>
    </fill>
    <fill>
      <patternFill patternType="darkGray">
        <fgColor rgb="FF6F138D"/>
        <bgColor rgb="FF163368"/>
      </patternFill>
    </fill>
    <fill>
      <patternFill patternType="darkGray">
        <fgColor rgb="FFEAE7F2"/>
        <bgColor rgb="FFF2E3E9"/>
      </patternFill>
    </fill>
    <fill>
      <patternFill patternType="mediumGray">
        <fgColor rgb="FF9C0006"/>
        <bgColor rgb="FF880701"/>
      </patternFill>
    </fill>
    <fill>
      <patternFill patternType="darkGray">
        <fgColor rgb="FFF2E3E9"/>
        <bgColor rgb="FFFEE2E2"/>
      </patternFill>
    </fill>
    <fill>
      <patternFill patternType="darkGray">
        <fgColor rgb="FFF9E1C0"/>
        <bgColor rgb="FFFFF2CC"/>
      </patternFill>
    </fill>
    <fill>
      <patternFill patternType="solid">
        <fgColor rgb="FFFEFCF7"/>
        <bgColor rgb="FFFBFEFE"/>
      </patternFill>
    </fill>
    <fill>
      <patternFill patternType="darkGray">
        <fgColor rgb="FFAF733E"/>
        <bgColor rgb="FF925900"/>
      </patternFill>
    </fill>
    <fill>
      <patternFill patternType="mediumGray">
        <fgColor rgb="FFEDEDED"/>
        <bgColor rgb="FFF6F1EC"/>
      </patternFill>
    </fill>
    <fill>
      <patternFill patternType="darkGray">
        <fgColor rgb="FF1E4FA2"/>
        <bgColor rgb="FF163368"/>
      </patternFill>
    </fill>
    <fill>
      <patternFill patternType="mediumGray">
        <fgColor rgb="FFE4EAF6"/>
        <bgColor rgb="FFE2E6F9"/>
      </patternFill>
    </fill>
    <fill>
      <patternFill patternType="solid">
        <fgColor rgb="FF968CBE"/>
        <bgColor rgb="FFBDB2B2"/>
      </patternFill>
    </fill>
    <fill>
      <patternFill patternType="solid">
        <fgColor rgb="FF01E75D"/>
        <bgColor rgb="FF93D154"/>
      </patternFill>
    </fill>
    <fill>
      <patternFill patternType="solid">
        <fgColor rgb="FFE1FDEF"/>
        <bgColor rgb="FFDCF6FC"/>
      </patternFill>
    </fill>
    <fill>
      <patternFill patternType="darkGray">
        <fgColor rgb="FFFF8701"/>
        <bgColor rgb="FFE38475"/>
      </patternFill>
    </fill>
    <fill>
      <patternFill patternType="solid">
        <fgColor rgb="FFF7B6B9"/>
        <bgColor rgb="FFFFC7CE"/>
      </patternFill>
    </fill>
    <fill>
      <patternFill patternType="mediumGray">
        <fgColor rgb="FF6F138D"/>
        <bgColor rgb="FF666260"/>
      </patternFill>
    </fill>
    <fill>
      <patternFill patternType="solid">
        <fgColor rgb="FFEAE7F2"/>
        <bgColor rgb="FFE4EAF6"/>
      </patternFill>
    </fill>
    <fill>
      <patternFill patternType="mediumGray">
        <fgColor rgb="FFE1FDEF"/>
        <bgColor rgb="FFDCF6FC"/>
      </patternFill>
    </fill>
    <fill>
      <patternFill patternType="darkGray">
        <fgColor rgb="FF3EB3F4"/>
        <bgColor rgb="FF01E75D"/>
      </patternFill>
    </fill>
    <fill>
      <patternFill patternType="mediumGray">
        <fgColor rgb="FFEEF4FC"/>
        <bgColor rgb="FFDCF6FC"/>
      </patternFill>
    </fill>
    <fill>
      <patternFill patternType="darkGray">
        <fgColor rgb="FF666260"/>
        <bgColor rgb="FF3E4539"/>
      </patternFill>
    </fill>
    <fill>
      <patternFill patternType="mediumGray">
        <fgColor rgb="FFE9ECE8"/>
        <bgColor rgb="FFEDEDED"/>
      </patternFill>
    </fill>
    <fill>
      <patternFill patternType="darkGray">
        <fgColor rgb="FFE9ECE8"/>
        <bgColor rgb="FFEAE7F2"/>
      </patternFill>
    </fill>
    <fill>
      <patternFill patternType="darkGray">
        <fgColor rgb="FFFBFEFE"/>
        <bgColor rgb="FFFEFCF7"/>
      </patternFill>
    </fill>
    <fill>
      <patternFill patternType="mediumGray">
        <fgColor rgb="FFBDB2B2"/>
        <bgColor rgb="FF968CBE"/>
      </patternFill>
    </fill>
    <fill>
      <patternFill patternType="solid">
        <fgColor rgb="FFF6F1EC"/>
        <bgColor rgb="FFF4F2F9"/>
      </patternFill>
    </fill>
    <fill>
      <patternFill patternType="solid">
        <fgColor rgb="FFFEDF01"/>
        <bgColor rgb="FFFEDB68"/>
      </patternFill>
    </fill>
    <fill>
      <patternFill patternType="darkGray">
        <fgColor rgb="FFFDFCE0"/>
        <bgColor rgb="FFFEFAE9"/>
      </patternFill>
    </fill>
    <fill>
      <patternFill patternType="solid">
        <fgColor rgb="FFF9E1C0"/>
        <bgColor rgb="FFFFEB9C"/>
      </patternFill>
    </fill>
    <fill>
      <patternFill patternType="darkGray">
        <fgColor rgb="FF666260"/>
        <bgColor rgb="FF925900"/>
      </patternFill>
    </fill>
    <fill>
      <patternFill patternType="solid">
        <fgColor rgb="FFE38475"/>
        <bgColor rgb="FFAF733E"/>
      </patternFill>
    </fill>
    <fill>
      <patternFill patternType="solid">
        <fgColor rgb="FFFEEFEC"/>
        <bgColor rgb="FFF6F1EC"/>
      </patternFill>
    </fill>
    <fill>
      <patternFill patternType="darkGray">
        <fgColor rgb="FFBDB2B2"/>
        <bgColor rgb="FFB8CCE4"/>
      </patternFill>
    </fill>
    <fill>
      <patternFill patternType="darkGray">
        <fgColor rgb="FFF7F8F7"/>
        <bgColor rgb="FFF4F2F9"/>
      </patternFill>
    </fill>
    <fill>
      <patternFill patternType="solid">
        <fgColor rgb="FFFDFCE0"/>
        <bgColor rgb="FFFEFAE9"/>
      </patternFill>
    </fill>
    <fill>
      <patternFill patternType="darkGray">
        <fgColor rgb="FF163368"/>
        <bgColor rgb="FF1E4FA2"/>
      </patternFill>
    </fill>
    <fill>
      <patternFill patternType="solid">
        <fgColor rgb="FF93D154"/>
        <bgColor rgb="FFBDB2B2"/>
      </patternFill>
    </fill>
    <fill>
      <patternFill patternType="darkGray">
        <fgColor rgb="FFF7F8F7"/>
        <bgColor rgb="FFF6F1EC"/>
      </patternFill>
    </fill>
    <fill>
      <patternFill patternType="solid">
        <fgColor rgb="FFE1E2E6"/>
        <bgColor rgb="FFE2E6F9"/>
      </patternFill>
    </fill>
    <fill>
      <patternFill patternType="mediumGray">
        <fgColor rgb="FFFBFEFE"/>
        <bgColor rgb="FFF7F8F7"/>
      </patternFill>
    </fill>
    <fill>
      <patternFill patternType="solid">
        <fgColor rgb="FF880701"/>
        <bgColor rgb="FF9C0006"/>
      </patternFill>
    </fill>
    <fill>
      <patternFill patternType="darkGray">
        <fgColor rgb="FFF2E3E9"/>
        <bgColor rgb="FFEAE7F2"/>
      </patternFill>
    </fill>
    <fill>
      <patternFill patternType="solid">
        <fgColor rgb="FFEDEDED"/>
        <bgColor rgb="FFE9ECE8"/>
      </patternFill>
    </fill>
    <fill>
      <patternFill patternType="solid">
        <fgColor rgb="FFF9E1C0"/>
        <bgColor rgb="FFFEE2E2"/>
      </patternFill>
    </fill>
    <fill>
      <patternFill patternType="darkGray">
        <fgColor rgb="FFFEFCF7"/>
        <bgColor rgb="FFFFF7FD"/>
      </patternFill>
    </fill>
    <fill>
      <patternFill patternType="darkGray">
        <fgColor rgb="FFC2F6C9"/>
        <bgColor rgb="FFDCF6FC"/>
      </patternFill>
    </fill>
    <fill>
      <patternFill patternType="darkGray">
        <fgColor rgb="FFFBFEFE"/>
        <bgColor rgb="FFF7F8F7"/>
      </patternFill>
    </fill>
    <fill>
      <patternFill patternType="solid">
        <fgColor rgb="FFF4F2F9"/>
        <bgColor rgb="FFEEF4FC"/>
      </patternFill>
    </fill>
    <fill>
      <patternFill patternType="darkGray">
        <fgColor rgb="FFC2F6C9"/>
        <bgColor rgb="FF93D154"/>
      </patternFill>
    </fill>
    <fill>
      <patternFill patternType="mediumGray">
        <fgColor rgb="FFF7F8F7"/>
        <bgColor rgb="FFFBFEFE"/>
      </patternFill>
    </fill>
    <fill>
      <patternFill patternType="darkGray">
        <fgColor rgb="FF163368"/>
        <bgColor rgb="FF3E4539"/>
      </patternFill>
    </fill>
    <fill>
      <patternFill patternType="mediumGray">
        <fgColor rgb="FFEAE7F2"/>
        <bgColor rgb="FFE1E2E6"/>
      </patternFill>
    </fill>
    <fill>
      <patternFill patternType="darkGray">
        <fgColor rgb="FFFDBBF3"/>
        <bgColor rgb="FFFFC7CE"/>
      </patternFill>
    </fill>
    <fill>
      <patternFill patternType="solid">
        <fgColor rgb="FFFFF7FD"/>
        <bgColor rgb="FFFEFCF7"/>
      </patternFill>
    </fill>
    <fill>
      <patternFill patternType="solid">
        <fgColor rgb="FFFEDB68"/>
        <bgColor rgb="FFFFEB9C"/>
      </patternFill>
    </fill>
    <fill>
      <patternFill patternType="darkGray">
        <fgColor rgb="FFFEFAE9"/>
        <bgColor rgb="FFFEFCF7"/>
      </patternFill>
    </fill>
    <fill>
      <patternFill patternType="darkGray">
        <fgColor rgb="FF9C0006"/>
        <bgColor rgb="FF880701"/>
      </patternFill>
    </fill>
    <fill>
      <patternFill patternType="darkGray">
        <fgColor rgb="FFAF733E"/>
        <bgColor rgb="FFE38475"/>
      </patternFill>
    </fill>
    <fill>
      <patternFill patternType="darkGray">
        <fgColor rgb="FFF6F1EC"/>
        <bgColor rgb="FFEDEDED"/>
      </patternFill>
    </fill>
    <fill>
      <patternFill patternType="darkGray">
        <fgColor rgb="FF01E75D"/>
        <bgColor rgb="FF3EB3F4"/>
      </patternFill>
    </fill>
    <fill>
      <patternFill patternType="solid">
        <fgColor rgb="FFDF1D18"/>
        <bgColor rgb="FFFF0000"/>
      </patternFill>
    </fill>
    <fill>
      <patternFill patternType="darkGray">
        <fgColor rgb="FFF9E9E8"/>
        <bgColor rgb="FFFEE2E2"/>
      </patternFill>
    </fill>
    <fill>
      <patternFill patternType="darkGray">
        <fgColor rgb="FFE2E6F9"/>
        <bgColor rgb="FFE4EAF6"/>
      </patternFill>
    </fill>
    <fill>
      <patternFill patternType="mediumGray">
        <fgColor rgb="FFFEDF01"/>
        <bgColor rgb="FFFEDB68"/>
      </patternFill>
    </fill>
    <fill>
      <patternFill patternType="darkGray">
        <fgColor rgb="FFFEFAE9"/>
        <bgColor rgb="FFFDFCE0"/>
      </patternFill>
    </fill>
    <fill>
      <patternFill patternType="darkGray">
        <fgColor rgb="FFEAE7F2"/>
        <bgColor rgb="FFE9ECE8"/>
      </patternFill>
    </fill>
    <fill>
      <patternFill patternType="darkGray">
        <fgColor rgb="FFF9E9E8"/>
        <bgColor rgb="FFF6F1EC"/>
      </patternFill>
    </fill>
    <fill>
      <patternFill patternType="solid">
        <fgColor rgb="FFBDB2B2"/>
        <bgColor rgb="FFF7B6B9"/>
      </patternFill>
    </fill>
    <fill>
      <patternFill patternType="darkGray">
        <fgColor rgb="FF3E4539"/>
        <bgColor rgb="FF666260"/>
      </patternFill>
    </fill>
    <fill>
      <patternFill patternType="darkGray">
        <fgColor rgb="FFE1E2E6"/>
        <bgColor rgb="FFF9E1C0"/>
      </patternFill>
    </fill>
    <fill>
      <patternFill patternType="mediumGray">
        <fgColor rgb="FFF7F8F7"/>
        <bgColor rgb="FFFEFCF7"/>
      </patternFill>
    </fill>
    <fill>
      <patternFill patternType="solid">
        <fgColor rgb="FFF6F1EC"/>
        <bgColor rgb="FFFEEFEC"/>
      </patternFill>
    </fill>
    <fill>
      <patternFill patternType="darkGray">
        <fgColor rgb="FFFFF3E0"/>
        <bgColor rgb="FFFEEFEC"/>
      </patternFill>
    </fill>
    <fill>
      <patternFill patternType="solid">
        <fgColor rgb="FFFFF2CC"/>
        <bgColor rgb="FFFFF3E0"/>
      </patternFill>
    </fill>
  </fills>
  <borders count="2">
    <border diagonalUp="false" diagonalDown="false">
      <left/>
      <right/>
      <top/>
      <bottom/>
      <diagonal/>
    </border>
    <border diagonalUp="false" diagonalDown="false">
      <left style="thin">
        <color rgb="FFB8CCE4"/>
      </left>
      <right style="thin">
        <color rgb="FFB8CCE4"/>
      </right>
      <top style="thin">
        <color rgb="FFB8CCE4"/>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5" fontId="6" fillId="9" borderId="1" xfId="0" applyFont="true" applyBorder="true" applyAlignment="true" applyProtection="false">
      <alignment horizontal="center" vertical="center" textRotation="0" wrapText="true" indent="0" shrinkToFit="false"/>
      <protection locked="true" hidden="false"/>
    </xf>
    <xf numFmtId="165" fontId="6" fillId="1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14" fillId="15"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tru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4" fillId="2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4"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14" fillId="24" borderId="1" xfId="0" applyFont="true" applyBorder="true" applyAlignment="true" applyProtection="false">
      <alignment horizontal="center" vertical="center" textRotation="0" wrapText="true" indent="0" shrinkToFit="false"/>
      <protection locked="true" hidden="false"/>
    </xf>
    <xf numFmtId="164" fontId="8" fillId="25" borderId="1" xfId="0" applyFont="true" applyBorder="true" applyAlignment="true" applyProtection="false">
      <alignment horizontal="center" vertical="center" textRotation="0" wrapText="true" indent="0" shrinkToFit="false"/>
      <protection locked="true" hidden="false"/>
    </xf>
    <xf numFmtId="164" fontId="14" fillId="26" borderId="1" xfId="0" applyFont="true" applyBorder="true" applyAlignment="true" applyProtection="false">
      <alignment horizontal="center" vertical="center" textRotation="0" wrapText="true" indent="0" shrinkToFit="false"/>
      <protection locked="true" hidden="false"/>
    </xf>
    <xf numFmtId="164" fontId="8" fillId="27" borderId="1" xfId="0" applyFont="true" applyBorder="true" applyAlignment="true" applyProtection="false">
      <alignment horizontal="center" vertical="center" textRotation="0" wrapText="true" indent="0" shrinkToFit="false"/>
      <protection locked="true" hidden="false"/>
    </xf>
    <xf numFmtId="164" fontId="14" fillId="28" borderId="1" xfId="0" applyFont="true" applyBorder="true" applyAlignment="true" applyProtection="false">
      <alignment horizontal="center" vertical="center" textRotation="0" wrapText="true" indent="0" shrinkToFit="false"/>
      <protection locked="true" hidden="false"/>
    </xf>
    <xf numFmtId="164" fontId="14" fillId="29" borderId="1" xfId="0" applyFont="true" applyBorder="true" applyAlignment="true" applyProtection="false">
      <alignment horizontal="center" vertical="center" textRotation="0" wrapText="true" indent="0" shrinkToFit="false"/>
      <protection locked="true" hidden="false"/>
    </xf>
    <xf numFmtId="164" fontId="8" fillId="30" borderId="1" xfId="0" applyFont="true" applyBorder="true" applyAlignment="true" applyProtection="false">
      <alignment horizontal="center" vertical="center" textRotation="0" wrapText="true" indent="0" shrinkToFit="false"/>
      <protection locked="true" hidden="false"/>
    </xf>
    <xf numFmtId="164" fontId="14" fillId="31" borderId="1" xfId="0" applyFont="true" applyBorder="true" applyAlignment="true" applyProtection="false">
      <alignment horizontal="center" vertical="center" textRotation="0" wrapText="true" indent="0" shrinkToFit="false"/>
      <protection locked="true" hidden="false"/>
    </xf>
    <xf numFmtId="164" fontId="8" fillId="32" borderId="1" xfId="0" applyFont="true" applyBorder="true" applyAlignment="true" applyProtection="false">
      <alignment horizontal="center" vertical="center" textRotation="0" wrapText="true" indent="0" shrinkToFit="false"/>
      <protection locked="true" hidden="false"/>
    </xf>
    <xf numFmtId="164" fontId="14" fillId="33" borderId="1" xfId="0" applyFont="true" applyBorder="true" applyAlignment="true" applyProtection="false">
      <alignment horizontal="center" vertical="center" textRotation="0" wrapText="true" indent="0" shrinkToFit="false"/>
      <protection locked="true" hidden="false"/>
    </xf>
    <xf numFmtId="164" fontId="8" fillId="34"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8" fillId="36" borderId="1" xfId="0" applyFont="true" applyBorder="true" applyAlignment="true" applyProtection="false">
      <alignment horizontal="center" vertical="center" textRotation="0" wrapText="true" indent="0" shrinkToFit="false"/>
      <protection locked="true" hidden="false"/>
    </xf>
    <xf numFmtId="164" fontId="14" fillId="37" borderId="1" xfId="0" applyFont="true" applyBorder="true" applyAlignment="true" applyProtection="false">
      <alignment horizontal="center" vertical="center" textRotation="0" wrapText="true" indent="0" shrinkToFit="false"/>
      <protection locked="true" hidden="false"/>
    </xf>
    <xf numFmtId="164" fontId="8" fillId="38" borderId="1" xfId="0" applyFont="true" applyBorder="true" applyAlignment="true" applyProtection="false">
      <alignment horizontal="center" vertical="center" textRotation="0" wrapText="true" indent="0" shrinkToFit="false"/>
      <protection locked="true" hidden="false"/>
    </xf>
    <xf numFmtId="164" fontId="14" fillId="39" borderId="1" xfId="0" applyFont="true" applyBorder="true" applyAlignment="true" applyProtection="false">
      <alignment horizontal="center" vertical="center" textRotation="0" wrapText="true" indent="0" shrinkToFit="false"/>
      <protection locked="true" hidden="false"/>
    </xf>
    <xf numFmtId="164" fontId="8" fillId="40" borderId="1" xfId="0" applyFont="true" applyBorder="true" applyAlignment="true" applyProtection="false">
      <alignment horizontal="center" vertical="center" textRotation="0" wrapText="true" indent="0" shrinkToFit="false"/>
      <protection locked="true" hidden="false"/>
    </xf>
    <xf numFmtId="164" fontId="14" fillId="41" borderId="1" xfId="0" applyFont="true" applyBorder="true" applyAlignment="true" applyProtection="false">
      <alignment horizontal="center" vertical="center" textRotation="0" wrapText="true" indent="0" shrinkToFit="false"/>
      <protection locked="true" hidden="false"/>
    </xf>
    <xf numFmtId="164" fontId="8" fillId="42" borderId="1" xfId="0" applyFont="true" applyBorder="true" applyAlignment="true" applyProtection="false">
      <alignment horizontal="center" vertical="center" textRotation="0" wrapText="true" indent="0" shrinkToFit="false"/>
      <protection locked="true" hidden="false"/>
    </xf>
    <xf numFmtId="164" fontId="14" fillId="43" borderId="1" xfId="0" applyFont="true" applyBorder="true" applyAlignment="true" applyProtection="false">
      <alignment horizontal="center" vertical="center" textRotation="0" wrapText="true" indent="0" shrinkToFit="false"/>
      <protection locked="true" hidden="false"/>
    </xf>
    <xf numFmtId="164" fontId="8" fillId="44" borderId="1" xfId="0" applyFont="true" applyBorder="true" applyAlignment="true" applyProtection="false">
      <alignment horizontal="center" vertical="center" textRotation="0" wrapText="true" indent="0" shrinkToFit="false"/>
      <protection locked="true" hidden="false"/>
    </xf>
    <xf numFmtId="164" fontId="14" fillId="45" borderId="1" xfId="0" applyFont="true" applyBorder="true" applyAlignment="true" applyProtection="false">
      <alignment horizontal="center" vertical="center" textRotation="0" wrapText="true" indent="0" shrinkToFit="false"/>
      <protection locked="true" hidden="false"/>
    </xf>
    <xf numFmtId="164" fontId="14" fillId="46" borderId="1" xfId="0" applyFont="true" applyBorder="true" applyAlignment="true" applyProtection="false">
      <alignment horizontal="center" vertical="center" textRotation="0" wrapText="true" indent="0" shrinkToFit="false"/>
      <protection locked="true" hidden="false"/>
    </xf>
    <xf numFmtId="164" fontId="8" fillId="47" borderId="1" xfId="0" applyFont="true" applyBorder="true" applyAlignment="true" applyProtection="false">
      <alignment horizontal="center" vertical="center" textRotation="0" wrapText="true" indent="0" shrinkToFit="false"/>
      <protection locked="true" hidden="false"/>
    </xf>
    <xf numFmtId="164" fontId="14" fillId="48" borderId="1" xfId="0" applyFont="true" applyBorder="true" applyAlignment="true" applyProtection="false">
      <alignment horizontal="center" vertical="center" textRotation="0" wrapText="true" indent="0" shrinkToFit="false"/>
      <protection locked="true" hidden="false"/>
    </xf>
    <xf numFmtId="164" fontId="8" fillId="49" borderId="1" xfId="0" applyFont="true" applyBorder="true" applyAlignment="true" applyProtection="false">
      <alignment horizontal="center" vertical="center" textRotation="0" wrapText="true" indent="0" shrinkToFit="false"/>
      <protection locked="true" hidden="false"/>
    </xf>
    <xf numFmtId="164" fontId="14" fillId="50" borderId="1" xfId="0" applyFont="true" applyBorder="true" applyAlignment="true" applyProtection="false">
      <alignment horizontal="center" vertical="center" textRotation="0" wrapText="true" indent="0" shrinkToFit="false"/>
      <protection locked="true" hidden="false"/>
    </xf>
    <xf numFmtId="164" fontId="8" fillId="51" borderId="1" xfId="0" applyFont="true" applyBorder="true" applyAlignment="true" applyProtection="false">
      <alignment horizontal="center" vertical="center" textRotation="0" wrapText="true" indent="0" shrinkToFit="false"/>
      <protection locked="true" hidden="false"/>
    </xf>
    <xf numFmtId="164" fontId="14" fillId="52" borderId="1" xfId="0" applyFont="true" applyBorder="true" applyAlignment="true" applyProtection="false">
      <alignment horizontal="center" vertical="center" textRotation="0" wrapText="true" indent="0" shrinkToFit="false"/>
      <protection locked="true" hidden="false"/>
    </xf>
    <xf numFmtId="164" fontId="8" fillId="53" borderId="1" xfId="0" applyFont="true" applyBorder="true" applyAlignment="true" applyProtection="false">
      <alignment horizontal="center" vertical="center" textRotation="0" wrapText="true" indent="0" shrinkToFit="false"/>
      <protection locked="true" hidden="false"/>
    </xf>
    <xf numFmtId="164" fontId="14" fillId="54" borderId="1" xfId="0" applyFont="true" applyBorder="true" applyAlignment="true" applyProtection="false">
      <alignment horizontal="center" vertical="center" textRotation="0" wrapText="true" indent="0" shrinkToFit="false"/>
      <protection locked="true" hidden="false"/>
    </xf>
    <xf numFmtId="164" fontId="8" fillId="55" borderId="1" xfId="0" applyFont="true" applyBorder="true" applyAlignment="true" applyProtection="false">
      <alignment horizontal="center" vertical="center" textRotation="0" wrapText="true" indent="0" shrinkToFit="false"/>
      <protection locked="true" hidden="false"/>
    </xf>
    <xf numFmtId="164" fontId="14" fillId="56" borderId="1" xfId="0" applyFont="true" applyBorder="true" applyAlignment="true" applyProtection="false">
      <alignment horizontal="center" vertical="center" textRotation="0" wrapText="true" indent="0" shrinkToFit="false"/>
      <protection locked="true" hidden="false"/>
    </xf>
    <xf numFmtId="164" fontId="14" fillId="57" borderId="1" xfId="0" applyFont="true" applyBorder="true" applyAlignment="true" applyProtection="false">
      <alignment horizontal="center" vertical="center" textRotation="0" wrapText="true" indent="0" shrinkToFit="false"/>
      <protection locked="true" hidden="false"/>
    </xf>
    <xf numFmtId="164" fontId="8" fillId="58" borderId="1" xfId="0" applyFont="true" applyBorder="true" applyAlignment="true" applyProtection="false">
      <alignment horizontal="center" vertical="center" textRotation="0" wrapText="true" indent="0" shrinkToFit="false"/>
      <protection locked="true" hidden="false"/>
    </xf>
    <xf numFmtId="164" fontId="14" fillId="59" borderId="1" xfId="0" applyFont="true" applyBorder="true" applyAlignment="true" applyProtection="false">
      <alignment horizontal="center" vertical="center" textRotation="0" wrapText="true" indent="0" shrinkToFit="false"/>
      <protection locked="true" hidden="false"/>
    </xf>
    <xf numFmtId="164" fontId="8" fillId="60" borderId="1" xfId="0" applyFont="true" applyBorder="true" applyAlignment="true" applyProtection="false">
      <alignment horizontal="center" vertical="center" textRotation="0" wrapText="true" indent="0" shrinkToFit="false"/>
      <protection locked="true" hidden="false"/>
    </xf>
    <xf numFmtId="164" fontId="8" fillId="61" borderId="1" xfId="0" applyFont="true" applyBorder="true" applyAlignment="true" applyProtection="false">
      <alignment horizontal="center" vertical="center" textRotation="0" wrapText="true" indent="0" shrinkToFit="false"/>
      <protection locked="true" hidden="false"/>
    </xf>
    <xf numFmtId="164" fontId="14" fillId="62" borderId="1" xfId="0" applyFont="true" applyBorder="true" applyAlignment="true" applyProtection="false">
      <alignment horizontal="center" vertical="center" textRotation="0" wrapText="true" indent="0" shrinkToFit="false"/>
      <protection locked="true" hidden="false"/>
    </xf>
    <xf numFmtId="164" fontId="8" fillId="63" borderId="1" xfId="0" applyFont="true" applyBorder="true" applyAlignment="true" applyProtection="false">
      <alignment horizontal="center" vertical="center" textRotation="0" wrapText="true" indent="0" shrinkToFit="false"/>
      <protection locked="true" hidden="false"/>
    </xf>
    <xf numFmtId="164" fontId="14" fillId="64" borderId="1" xfId="0" applyFont="true" applyBorder="true" applyAlignment="true" applyProtection="false">
      <alignment horizontal="center" vertical="center" textRotation="0" wrapText="true" indent="0" shrinkToFit="false"/>
      <protection locked="true" hidden="false"/>
    </xf>
    <xf numFmtId="164" fontId="8" fillId="65" borderId="1" xfId="0" applyFont="true" applyBorder="true" applyAlignment="true" applyProtection="false">
      <alignment horizontal="center" vertical="center" textRotation="0" wrapText="true" indent="0" shrinkToFit="false"/>
      <protection locked="true" hidden="false"/>
    </xf>
    <xf numFmtId="164" fontId="14" fillId="66" borderId="1" xfId="0" applyFont="true" applyBorder="true" applyAlignment="true" applyProtection="false">
      <alignment horizontal="center" vertical="center" textRotation="0" wrapText="true" indent="0" shrinkToFit="false"/>
      <protection locked="true" hidden="false"/>
    </xf>
    <xf numFmtId="164" fontId="8" fillId="67" borderId="1" xfId="0" applyFont="true" applyBorder="true" applyAlignment="true" applyProtection="false">
      <alignment horizontal="center" vertical="center" textRotation="0" wrapText="true" indent="0" shrinkToFit="false"/>
      <protection locked="true" hidden="false"/>
    </xf>
    <xf numFmtId="164" fontId="14" fillId="68" borderId="1" xfId="0" applyFont="true" applyBorder="true" applyAlignment="true" applyProtection="false">
      <alignment horizontal="center" vertical="center" textRotation="0" wrapText="true" indent="0" shrinkToFit="false"/>
      <protection locked="true" hidden="false"/>
    </xf>
    <xf numFmtId="164" fontId="8" fillId="69" borderId="1" xfId="0" applyFont="true" applyBorder="true" applyAlignment="true" applyProtection="false">
      <alignment horizontal="center" vertical="center" textRotation="0" wrapText="true" indent="0" shrinkToFit="false"/>
      <protection locked="true" hidden="false"/>
    </xf>
    <xf numFmtId="164" fontId="14" fillId="70" borderId="1" xfId="0" applyFont="true" applyBorder="true" applyAlignment="true" applyProtection="false">
      <alignment horizontal="center" vertical="center" textRotation="0" wrapText="true" indent="0" shrinkToFit="false"/>
      <protection locked="true" hidden="false"/>
    </xf>
    <xf numFmtId="164" fontId="8" fillId="71" borderId="1" xfId="0" applyFont="true" applyBorder="true" applyAlignment="true" applyProtection="false">
      <alignment horizontal="center" vertical="center" textRotation="0" wrapText="true" indent="0" shrinkToFit="false"/>
      <protection locked="true" hidden="false"/>
    </xf>
    <xf numFmtId="164" fontId="8" fillId="72" borderId="1" xfId="0" applyFont="true" applyBorder="true" applyAlignment="true" applyProtection="false">
      <alignment horizontal="center" vertical="center" textRotation="0" wrapText="true" indent="0" shrinkToFit="false"/>
      <protection locked="true" hidden="false"/>
    </xf>
    <xf numFmtId="164" fontId="14" fillId="73" borderId="1" xfId="0" applyFont="true" applyBorder="true" applyAlignment="true" applyProtection="false">
      <alignment horizontal="center" vertical="center" textRotation="0" wrapText="true" indent="0" shrinkToFit="false"/>
      <protection locked="true" hidden="false"/>
    </xf>
    <xf numFmtId="164" fontId="8" fillId="74" borderId="1" xfId="0" applyFont="true" applyBorder="true" applyAlignment="true" applyProtection="false">
      <alignment horizontal="center" vertical="center" textRotation="0" wrapText="true" indent="0" shrinkToFit="false"/>
      <protection locked="true" hidden="false"/>
    </xf>
    <xf numFmtId="164" fontId="8" fillId="75" borderId="1" xfId="0" applyFont="true" applyBorder="true" applyAlignment="true" applyProtection="false">
      <alignment horizontal="center" vertical="center" textRotation="0" wrapText="true" indent="0" shrinkToFit="false"/>
      <protection locked="true" hidden="false"/>
    </xf>
    <xf numFmtId="164" fontId="8" fillId="76" borderId="1" xfId="0" applyFont="true" applyBorder="true" applyAlignment="true" applyProtection="false">
      <alignment horizontal="center" vertical="center" textRotation="0" wrapText="true" indent="0" shrinkToFit="false"/>
      <protection locked="true" hidden="false"/>
    </xf>
    <xf numFmtId="164" fontId="14" fillId="77" borderId="1" xfId="0" applyFont="true" applyBorder="true" applyAlignment="true" applyProtection="false">
      <alignment horizontal="center" vertical="center" textRotation="0" wrapText="true" indent="0" shrinkToFit="false"/>
      <protection locked="true" hidden="false"/>
    </xf>
    <xf numFmtId="164" fontId="14" fillId="78" borderId="1" xfId="0" applyFont="true" applyBorder="true" applyAlignment="true" applyProtection="false">
      <alignment horizontal="center" vertical="center" textRotation="0" wrapText="true" indent="0" shrinkToFit="false"/>
      <protection locked="true" hidden="false"/>
    </xf>
    <xf numFmtId="164" fontId="8" fillId="79" borderId="1" xfId="0" applyFont="true" applyBorder="true" applyAlignment="true" applyProtection="false">
      <alignment horizontal="center" vertical="center" textRotation="0" wrapText="true" indent="0" shrinkToFit="false"/>
      <protection locked="true" hidden="false"/>
    </xf>
    <xf numFmtId="164" fontId="14" fillId="80" borderId="1" xfId="0" applyFont="true" applyBorder="true" applyAlignment="true" applyProtection="false">
      <alignment horizontal="center" vertical="center" textRotation="0" wrapText="true" indent="0" shrinkToFit="false"/>
      <protection locked="true" hidden="false"/>
    </xf>
    <xf numFmtId="164" fontId="8" fillId="81" borderId="1" xfId="0" applyFont="true" applyBorder="true" applyAlignment="true" applyProtection="false">
      <alignment horizontal="center" vertical="center" textRotation="0" wrapText="true" indent="0" shrinkToFit="false"/>
      <protection locked="true" hidden="false"/>
    </xf>
    <xf numFmtId="164" fontId="14" fillId="82" borderId="1" xfId="0" applyFont="true" applyBorder="true" applyAlignment="true" applyProtection="false">
      <alignment horizontal="center" vertical="center" textRotation="0" wrapText="true" indent="0" shrinkToFit="false"/>
      <protection locked="true" hidden="false"/>
    </xf>
    <xf numFmtId="164" fontId="8" fillId="83" borderId="1" xfId="0" applyFont="true" applyBorder="true" applyAlignment="true" applyProtection="false">
      <alignment horizontal="center" vertical="center" textRotation="0" wrapText="true" indent="0" shrinkToFit="false"/>
      <protection locked="true" hidden="false"/>
    </xf>
    <xf numFmtId="164" fontId="14" fillId="84" borderId="1" xfId="0" applyFont="true" applyBorder="true" applyAlignment="true" applyProtection="false">
      <alignment horizontal="center" vertical="center" textRotation="0" wrapText="true" indent="0" shrinkToFit="false"/>
      <protection locked="true" hidden="false"/>
    </xf>
    <xf numFmtId="164" fontId="8" fillId="85" borderId="1" xfId="0" applyFont="true" applyBorder="true" applyAlignment="true" applyProtection="false">
      <alignment horizontal="center" vertical="center" textRotation="0" wrapText="true" indent="0" shrinkToFit="false"/>
      <protection locked="true" hidden="false"/>
    </xf>
    <xf numFmtId="164" fontId="14" fillId="86" borderId="1" xfId="0" applyFont="true" applyBorder="true" applyAlignment="true" applyProtection="false">
      <alignment horizontal="center" vertical="center" textRotation="0" wrapText="true" indent="0" shrinkToFit="false"/>
      <protection locked="true" hidden="false"/>
    </xf>
    <xf numFmtId="164" fontId="8" fillId="87" borderId="1" xfId="0" applyFont="true" applyBorder="true" applyAlignment="true" applyProtection="false">
      <alignment horizontal="center" vertical="center" textRotation="0" wrapText="true" indent="0" shrinkToFit="false"/>
      <protection locked="true" hidden="false"/>
    </xf>
    <xf numFmtId="164" fontId="14" fillId="88" borderId="1" xfId="0" applyFont="true" applyBorder="true" applyAlignment="true" applyProtection="false">
      <alignment horizontal="center" vertical="center" textRotation="0" wrapText="true" indent="0" shrinkToFit="false"/>
      <protection locked="true" hidden="false"/>
    </xf>
    <xf numFmtId="164" fontId="8" fillId="89" borderId="1" xfId="0" applyFont="true" applyBorder="true" applyAlignment="true" applyProtection="false">
      <alignment horizontal="center" vertical="center" textRotation="0" wrapText="true" indent="0" shrinkToFit="false"/>
      <protection locked="true" hidden="false"/>
    </xf>
    <xf numFmtId="164" fontId="8" fillId="90" borderId="1" xfId="0" applyFont="true" applyBorder="true" applyAlignment="true" applyProtection="false">
      <alignment horizontal="center" vertical="center" textRotation="0" wrapText="true" indent="0" shrinkToFit="false"/>
      <protection locked="true" hidden="false"/>
    </xf>
    <xf numFmtId="164" fontId="8" fillId="91" borderId="1" xfId="0" applyFont="true" applyBorder="true" applyAlignment="true" applyProtection="false">
      <alignment horizontal="center" vertical="center" textRotation="0" wrapText="true" indent="0" shrinkToFit="false"/>
      <protection locked="true" hidden="false"/>
    </xf>
    <xf numFmtId="164" fontId="14" fillId="92" borderId="1" xfId="0" applyFont="true" applyBorder="true" applyAlignment="true" applyProtection="false">
      <alignment horizontal="center" vertical="center" textRotation="0" wrapText="true" indent="0" shrinkToFit="false"/>
      <protection locked="true" hidden="false"/>
    </xf>
    <xf numFmtId="164" fontId="8" fillId="93" borderId="1" xfId="0" applyFont="true" applyBorder="true" applyAlignment="true" applyProtection="false">
      <alignment horizontal="center" vertical="center" textRotation="0" wrapText="true" indent="0" shrinkToFit="false"/>
      <protection locked="true" hidden="false"/>
    </xf>
    <xf numFmtId="164" fontId="14" fillId="94" borderId="1" xfId="0" applyFont="true" applyBorder="true" applyAlignment="true" applyProtection="false">
      <alignment horizontal="center" vertical="center" textRotation="0" wrapText="true" indent="0" shrinkToFit="false"/>
      <protection locked="true" hidden="false"/>
    </xf>
    <xf numFmtId="164" fontId="14" fillId="95" borderId="1" xfId="0" applyFont="true" applyBorder="true" applyAlignment="true" applyProtection="false">
      <alignment horizontal="center" vertical="center" textRotation="0" wrapText="true" indent="0" shrinkToFit="false"/>
      <protection locked="true" hidden="false"/>
    </xf>
    <xf numFmtId="164" fontId="8" fillId="96" borderId="1" xfId="0" applyFont="true" applyBorder="true" applyAlignment="true" applyProtection="false">
      <alignment horizontal="center" vertical="center" textRotation="0" wrapText="true" indent="0" shrinkToFit="false"/>
      <protection locked="true" hidden="false"/>
    </xf>
    <xf numFmtId="164" fontId="8" fillId="97" borderId="1" xfId="0" applyFont="true" applyBorder="true" applyAlignment="true" applyProtection="false">
      <alignment horizontal="center" vertical="center" textRotation="0" wrapText="true" indent="0" shrinkToFit="false"/>
      <protection locked="true" hidden="false"/>
    </xf>
    <xf numFmtId="164" fontId="14" fillId="98" borderId="1" xfId="0" applyFont="true" applyBorder="true" applyAlignment="true" applyProtection="false">
      <alignment horizontal="center" vertical="center" textRotation="0" wrapText="true" indent="0" shrinkToFit="false"/>
      <protection locked="true" hidden="false"/>
    </xf>
    <xf numFmtId="164" fontId="8" fillId="99" borderId="1" xfId="0" applyFont="true" applyBorder="true" applyAlignment="true" applyProtection="false">
      <alignment horizontal="center" vertical="center" textRotation="0" wrapText="true" indent="0" shrinkToFit="false"/>
      <protection locked="true" hidden="false"/>
    </xf>
    <xf numFmtId="164" fontId="14" fillId="100" borderId="1" xfId="0" applyFont="true" applyBorder="true" applyAlignment="true" applyProtection="false">
      <alignment horizontal="center" vertical="center" textRotation="0" wrapText="true" indent="0" shrinkToFit="false"/>
      <protection locked="true" hidden="false"/>
    </xf>
    <xf numFmtId="164" fontId="8" fillId="101" borderId="1" xfId="0" applyFont="true" applyBorder="true" applyAlignment="true" applyProtection="false">
      <alignment horizontal="center" vertical="center" textRotation="0" wrapText="true" indent="0" shrinkToFit="false"/>
      <protection locked="true" hidden="false"/>
    </xf>
    <xf numFmtId="164" fontId="14" fillId="102" borderId="1" xfId="0" applyFont="true" applyBorder="true" applyAlignment="true" applyProtection="false">
      <alignment horizontal="center" vertical="center" textRotation="0" wrapText="true" indent="0" shrinkToFit="false"/>
      <protection locked="true" hidden="false"/>
    </xf>
    <xf numFmtId="164" fontId="14" fillId="103" borderId="1" xfId="0" applyFont="true" applyBorder="true" applyAlignment="true" applyProtection="false">
      <alignment horizontal="center" vertical="center" textRotation="0" wrapText="true" indent="0" shrinkToFit="false"/>
      <protection locked="true" hidden="false"/>
    </xf>
    <xf numFmtId="164" fontId="8" fillId="104" borderId="1" xfId="0" applyFont="true" applyBorder="true" applyAlignment="true" applyProtection="false">
      <alignment horizontal="center" vertical="center" textRotation="0" wrapText="true" indent="0" shrinkToFit="false"/>
      <protection locked="true" hidden="false"/>
    </xf>
    <xf numFmtId="164" fontId="14" fillId="105" borderId="1" xfId="0" applyFont="true" applyBorder="true" applyAlignment="true" applyProtection="false">
      <alignment horizontal="center" vertical="center" textRotation="0" wrapText="true" indent="0" shrinkToFit="false"/>
      <protection locked="true" hidden="false"/>
    </xf>
    <xf numFmtId="164" fontId="8" fillId="106" borderId="1" xfId="0" applyFont="true" applyBorder="true" applyAlignment="true" applyProtection="false">
      <alignment horizontal="center" vertical="center" textRotation="0" wrapText="true" indent="0" shrinkToFit="false"/>
      <protection locked="true" hidden="false"/>
    </xf>
    <xf numFmtId="164" fontId="14" fillId="107" borderId="1" xfId="0" applyFont="true" applyBorder="true" applyAlignment="true" applyProtection="false">
      <alignment horizontal="center" vertical="center" textRotation="0" wrapText="true" indent="0" shrinkToFit="false"/>
      <protection locked="true" hidden="false"/>
    </xf>
    <xf numFmtId="164" fontId="14" fillId="108" borderId="1" xfId="0" applyFont="true" applyBorder="true" applyAlignment="true" applyProtection="false">
      <alignment horizontal="center" vertical="center" textRotation="0" wrapText="true" indent="0" shrinkToFit="false"/>
      <protection locked="true" hidden="false"/>
    </xf>
    <xf numFmtId="164" fontId="8" fillId="109" borderId="1" xfId="0" applyFont="true" applyBorder="true" applyAlignment="true" applyProtection="false">
      <alignment horizontal="center" vertical="center" textRotation="0" wrapText="true" indent="0" shrinkToFit="false"/>
      <protection locked="true" hidden="false"/>
    </xf>
    <xf numFmtId="164" fontId="14" fillId="110" borderId="1" xfId="0" applyFont="true" applyBorder="true" applyAlignment="true" applyProtection="false">
      <alignment horizontal="center" vertical="center" textRotation="0" wrapText="true" indent="0" shrinkToFit="false"/>
      <protection locked="true" hidden="false"/>
    </xf>
    <xf numFmtId="164" fontId="8" fillId="111" borderId="1" xfId="0" applyFont="true" applyBorder="true" applyAlignment="true" applyProtection="false">
      <alignment horizontal="center" vertical="center" textRotation="0" wrapText="true" indent="0" shrinkToFit="false"/>
      <protection locked="true" hidden="false"/>
    </xf>
    <xf numFmtId="164" fontId="14" fillId="112" borderId="1" xfId="0" applyFont="true" applyBorder="true" applyAlignment="true" applyProtection="false">
      <alignment horizontal="center" vertical="center" textRotation="0" wrapText="true" indent="0" shrinkToFit="false"/>
      <protection locked="true" hidden="false"/>
    </xf>
    <xf numFmtId="164" fontId="8" fillId="113" borderId="1" xfId="0" applyFont="true" applyBorder="true" applyAlignment="true" applyProtection="false">
      <alignment horizontal="center" vertical="center" textRotation="0" wrapText="true" indent="0" shrinkToFit="false"/>
      <protection locked="true" hidden="false"/>
    </xf>
    <xf numFmtId="164" fontId="14" fillId="114" borderId="1" xfId="0" applyFont="true" applyBorder="true" applyAlignment="true" applyProtection="false">
      <alignment horizontal="center" vertical="center" textRotation="0" wrapText="true" indent="0" shrinkToFit="false"/>
      <protection locked="true" hidden="false"/>
    </xf>
    <xf numFmtId="164" fontId="8" fillId="115" borderId="1" xfId="0" applyFont="true" applyBorder="true" applyAlignment="true" applyProtection="false">
      <alignment horizontal="center" vertical="center" textRotation="0" wrapText="true" indent="0" shrinkToFit="false"/>
      <protection locked="true" hidden="false"/>
    </xf>
    <xf numFmtId="164" fontId="14" fillId="116" borderId="1" xfId="0" applyFont="true" applyBorder="true" applyAlignment="true" applyProtection="false">
      <alignment horizontal="center" vertical="center" textRotation="0" wrapText="true" indent="0" shrinkToFit="false"/>
      <protection locked="true" hidden="false"/>
    </xf>
    <xf numFmtId="164" fontId="8" fillId="117" borderId="1" xfId="0" applyFont="true" applyBorder="true" applyAlignment="true" applyProtection="false">
      <alignment horizontal="center" vertical="center" textRotation="0" wrapText="true" indent="0" shrinkToFit="false"/>
      <protection locked="true" hidden="false"/>
    </xf>
    <xf numFmtId="164" fontId="8" fillId="118" borderId="1" xfId="0" applyFont="true" applyBorder="true" applyAlignment="true" applyProtection="false">
      <alignment horizontal="center" vertical="center" textRotation="0" wrapText="true" indent="0" shrinkToFit="false"/>
      <protection locked="true" hidden="false"/>
    </xf>
    <xf numFmtId="164" fontId="14" fillId="119" borderId="1" xfId="0" applyFont="true" applyBorder="true" applyAlignment="true" applyProtection="false">
      <alignment horizontal="center" vertical="center" textRotation="0" wrapText="true" indent="0" shrinkToFit="false"/>
      <protection locked="true" hidden="false"/>
    </xf>
    <xf numFmtId="164" fontId="8" fillId="120" borderId="1" xfId="0" applyFont="true" applyBorder="true" applyAlignment="true" applyProtection="false">
      <alignment horizontal="center" vertical="center" textRotation="0" wrapText="true" indent="0" shrinkToFit="false"/>
      <protection locked="true" hidden="false"/>
    </xf>
    <xf numFmtId="164" fontId="8" fillId="121" borderId="1" xfId="0" applyFont="true" applyBorder="true" applyAlignment="true" applyProtection="false">
      <alignment horizontal="center" vertical="center" textRotation="0" wrapText="true" indent="0" shrinkToFit="false"/>
      <protection locked="true" hidden="false"/>
    </xf>
    <xf numFmtId="164" fontId="14" fillId="122" borderId="1" xfId="0" applyFont="true" applyBorder="true" applyAlignment="true" applyProtection="false">
      <alignment horizontal="center" vertical="center" textRotation="0" wrapText="true" indent="0" shrinkToFit="false"/>
      <protection locked="true" hidden="false"/>
    </xf>
    <xf numFmtId="164" fontId="8" fillId="123" borderId="1" xfId="0" applyFont="true" applyBorder="true" applyAlignment="true" applyProtection="false">
      <alignment horizontal="center" vertical="center" textRotation="0" wrapText="true" indent="0" shrinkToFit="false"/>
      <protection locked="true" hidden="false"/>
    </xf>
    <xf numFmtId="164" fontId="8" fillId="124" borderId="1" xfId="0" applyFont="true" applyBorder="true" applyAlignment="true" applyProtection="false">
      <alignment horizontal="center" vertical="center" textRotation="0" wrapText="true" indent="0" shrinkToFit="false"/>
      <protection locked="true" hidden="false"/>
    </xf>
    <xf numFmtId="164" fontId="14" fillId="125" borderId="1" xfId="0" applyFont="true" applyBorder="true" applyAlignment="true" applyProtection="false">
      <alignment horizontal="center" vertical="center" textRotation="0" wrapText="true" indent="0" shrinkToFit="false"/>
      <protection locked="true" hidden="false"/>
    </xf>
    <xf numFmtId="164" fontId="14" fillId="126" borderId="1" xfId="0" applyFont="true" applyBorder="true" applyAlignment="true" applyProtection="false">
      <alignment horizontal="center" vertical="center" textRotation="0" wrapText="true" indent="0" shrinkToFit="false"/>
      <protection locked="true" hidden="false"/>
    </xf>
    <xf numFmtId="164" fontId="14" fillId="127" borderId="1" xfId="0" applyFont="true" applyBorder="true" applyAlignment="true" applyProtection="false">
      <alignment horizontal="center" vertical="center" textRotation="0" wrapText="true" indent="0" shrinkToFit="false"/>
      <protection locked="true" hidden="false"/>
    </xf>
    <xf numFmtId="164" fontId="8" fillId="128" borderId="1" xfId="0" applyFont="true" applyBorder="true" applyAlignment="true" applyProtection="false">
      <alignment horizontal="center" vertical="center" textRotation="0" wrapText="true" indent="0" shrinkToFit="false"/>
      <protection locked="true" hidden="false"/>
    </xf>
    <xf numFmtId="164" fontId="8" fillId="129" borderId="1" xfId="0" applyFont="true" applyBorder="true" applyAlignment="true" applyProtection="false">
      <alignment horizontal="center" vertical="center" textRotation="0" wrapText="true" indent="0" shrinkToFit="false"/>
      <protection locked="true" hidden="false"/>
    </xf>
    <xf numFmtId="164" fontId="8" fillId="130" borderId="1" xfId="0" applyFont="true" applyBorder="true" applyAlignment="true" applyProtection="false">
      <alignment horizontal="center" vertical="center" textRotation="0" wrapText="true" indent="0" shrinkToFit="false"/>
      <protection locked="true" hidden="false"/>
    </xf>
    <xf numFmtId="164" fontId="14" fillId="131" borderId="1" xfId="0" applyFont="true" applyBorder="true" applyAlignment="true" applyProtection="false">
      <alignment horizontal="center" vertical="center" textRotation="0" wrapText="true" indent="0" shrinkToFit="false"/>
      <protection locked="true" hidden="false"/>
    </xf>
    <xf numFmtId="164" fontId="14" fillId="132" borderId="1" xfId="0" applyFont="true" applyBorder="true" applyAlignment="true" applyProtection="false">
      <alignment horizontal="center" vertical="center" textRotation="0" wrapText="true" indent="0" shrinkToFit="false"/>
      <protection locked="true" hidden="false"/>
    </xf>
    <xf numFmtId="164" fontId="14" fillId="133" borderId="1" xfId="0" applyFont="true" applyBorder="true" applyAlignment="true" applyProtection="false">
      <alignment horizontal="center" vertical="center" textRotation="0" wrapText="tru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7" fillId="134"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1">
    <dxf>
      <font>
        <name val="Arial"/>
        <charset val="1"/>
        <family val="0"/>
        <b val="1"/>
        <color rgb="FF9C5700"/>
      </font>
      <fill>
        <patternFill>
          <bgColor rgb="FFFFEB9C"/>
        </patternFill>
      </fill>
    </dxf>
    <dxf>
      <font>
        <name val="Arial"/>
        <charset val="1"/>
        <family val="0"/>
        <b val="1"/>
        <color rgb="FF276221"/>
      </font>
      <fill>
        <patternFill>
          <bgColor rgb="FFC6EFCE"/>
        </patternFill>
      </fill>
    </dxf>
    <dxf>
      <fill>
        <patternFill patternType="solid">
          <fgColor rgb="FF1F3864"/>
          <bgColor rgb="FF000000"/>
        </patternFill>
      </fill>
    </dxf>
    <dxf>
      <fill>
        <patternFill patternType="solid">
          <fgColor rgb="FFEEF3FB"/>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26"/>
          <bgColor rgb="FF000000"/>
        </patternFill>
      </fill>
    </dxf>
    <dxf>
      <fill>
        <patternFill patternType="solid">
          <fgColor rgb="FF0000FF"/>
          <bgColor rgb="FF000000"/>
        </patternFill>
      </fill>
    </dxf>
    <dxf>
      <fill>
        <patternFill patternType="solid">
          <fgColor rgb="FF007700"/>
          <bgColor rgb="FF000000"/>
        </patternFill>
      </fill>
    </dxf>
    <dxf>
      <fill>
        <patternFill patternType="solid">
          <fgColor rgb="FF00AA84"/>
          <bgColor rgb="FF000000"/>
        </patternFill>
      </fill>
    </dxf>
    <dxf>
      <fill>
        <patternFill patternType="solid">
          <fgColor rgb="FF00C760"/>
          <bgColor rgb="FF000000"/>
        </patternFill>
      </fill>
    </dxf>
    <dxf>
      <fill>
        <patternFill patternType="solid">
          <fgColor rgb="FF00CC33"/>
          <bgColor rgb="FF000000"/>
        </patternFill>
      </fill>
    </dxf>
    <dxf>
      <fill>
        <patternFill patternType="solid">
          <fgColor rgb="FF00FFA2"/>
          <bgColor rgb="FF000000"/>
        </patternFill>
      </fill>
    </dxf>
    <dxf>
      <fill>
        <patternFill patternType="solid">
          <fgColor rgb="FF010C13"/>
          <bgColor rgb="FF000000"/>
        </patternFill>
      </fill>
    </dxf>
    <dxf>
      <fill>
        <patternFill patternType="solid">
          <fgColor rgb="FF08E327"/>
          <bgColor rgb="FF000000"/>
        </patternFill>
      </fill>
    </dxf>
    <dxf>
      <fill>
        <patternFill patternType="solid">
          <fgColor rgb="FF090909"/>
          <bgColor rgb="FF000000"/>
        </patternFill>
      </fill>
    </dxf>
    <dxf>
      <fill>
        <patternFill patternType="solid">
          <fgColor rgb="FF0C2388"/>
          <bgColor rgb="FF000000"/>
        </patternFill>
      </fill>
    </dxf>
    <dxf>
      <fill>
        <patternFill patternType="solid">
          <fgColor rgb="FF0E3D6C"/>
          <bgColor rgb="FF000000"/>
        </patternFill>
      </fill>
    </dxf>
    <dxf>
      <fill>
        <patternFill patternType="solid">
          <fgColor rgb="FF101A25"/>
          <bgColor rgb="FF000000"/>
        </patternFill>
      </fill>
    </dxf>
    <dxf>
      <fill>
        <patternFill patternType="solid">
          <fgColor rgb="FF1748BA"/>
          <bgColor rgb="FF000000"/>
        </patternFill>
      </fill>
    </dxf>
    <dxf>
      <fill>
        <patternFill patternType="solid">
          <fgColor rgb="FF1A0A53"/>
          <bgColor rgb="FF000000"/>
        </patternFill>
      </fill>
    </dxf>
    <dxf>
      <fill>
        <patternFill patternType="solid">
          <fgColor rgb="FF1ABC83"/>
          <bgColor rgb="FF000000"/>
        </patternFill>
      </fill>
    </dxf>
    <dxf>
      <fill>
        <patternFill patternType="solid">
          <fgColor rgb="FF1F5A94"/>
          <bgColor rgb="FF000000"/>
        </patternFill>
      </fill>
    </dxf>
    <dxf>
      <fill>
        <patternFill patternType="solid">
          <fgColor rgb="FF2240AF"/>
          <bgColor rgb="FF000000"/>
        </patternFill>
      </fill>
    </dxf>
    <dxf>
      <fill>
        <patternFill patternType="solid">
          <fgColor rgb="FF27B2D0"/>
          <bgColor rgb="FF000000"/>
        </patternFill>
      </fill>
    </dxf>
    <dxf>
      <fill>
        <patternFill patternType="solid">
          <fgColor rgb="FF2C3662"/>
          <bgColor rgb="FF000000"/>
        </patternFill>
      </fill>
    </dxf>
    <dxf>
      <fill>
        <patternFill patternType="solid">
          <fgColor rgb="FF324B4F"/>
          <bgColor rgb="FF000000"/>
        </patternFill>
      </fill>
    </dxf>
    <dxf>
      <fill>
        <patternFill patternType="solid">
          <fgColor rgb="FF36B7B2"/>
          <bgColor rgb="FF000000"/>
        </patternFill>
      </fill>
    </dxf>
    <dxf>
      <fill>
        <patternFill patternType="solid">
          <fgColor rgb="FF413B53"/>
          <bgColor rgb="FF000000"/>
        </patternFill>
      </fill>
    </dxf>
    <dxf>
      <fill>
        <patternFill patternType="solid">
          <fgColor rgb="FF444444"/>
          <bgColor rgb="FF000000"/>
        </patternFill>
      </fill>
    </dxf>
    <dxf>
      <fill>
        <patternFill patternType="solid">
          <fgColor rgb="FF560896"/>
          <bgColor rgb="FF000000"/>
        </patternFill>
      </fill>
    </dxf>
    <dxf>
      <fill>
        <patternFill patternType="solid">
          <fgColor rgb="FF5D5D5D"/>
          <bgColor rgb="FF000000"/>
        </patternFill>
      </fill>
    </dxf>
    <dxf>
      <fill>
        <patternFill patternType="solid">
          <fgColor rgb="FF603BA0"/>
          <bgColor rgb="FF000000"/>
        </patternFill>
      </fill>
    </dxf>
    <dxf>
      <fill>
        <patternFill patternType="solid">
          <fgColor rgb="FF60433F"/>
          <bgColor rgb="FF000000"/>
        </patternFill>
      </fill>
    </dxf>
    <dxf>
      <fill>
        <patternFill patternType="solid">
          <fgColor rgb="FF616161"/>
          <bgColor rgb="FF000000"/>
        </patternFill>
      </fill>
    </dxf>
    <dxf>
      <fill>
        <patternFill patternType="solid">
          <fgColor rgb="FF61B0FF"/>
          <bgColor rgb="FF000000"/>
        </patternFill>
      </fill>
    </dxf>
    <dxf>
      <fill>
        <patternFill patternType="solid">
          <fgColor rgb="FF64B0FF"/>
          <bgColor rgb="FF000000"/>
        </patternFill>
      </fill>
    </dxf>
    <dxf>
      <fill>
        <patternFill patternType="solid">
          <fgColor rgb="FF66676C"/>
          <bgColor rgb="FF000000"/>
        </patternFill>
      </fill>
    </dxf>
    <dxf>
      <fill>
        <patternFill patternType="solid">
          <fgColor rgb="FF696969"/>
          <bgColor rgb="FF000000"/>
        </patternFill>
      </fill>
    </dxf>
    <dxf>
      <fill>
        <patternFill patternType="solid">
          <fgColor rgb="FF6E1C20"/>
          <bgColor rgb="FF000000"/>
        </patternFill>
      </fill>
    </dxf>
    <dxf>
      <fill>
        <patternFill patternType="solid">
          <fgColor rgb="FF725B4D"/>
          <bgColor rgb="FF000000"/>
        </patternFill>
      </fill>
    </dxf>
    <dxf>
      <fill>
        <patternFill patternType="solid">
          <fgColor rgb="FF878A8F"/>
          <bgColor rgb="FF000000"/>
        </patternFill>
      </fill>
    </dxf>
    <dxf>
      <fill>
        <patternFill patternType="solid">
          <fgColor rgb="FF8F949B"/>
          <bgColor rgb="FF000000"/>
        </patternFill>
      </fill>
    </dxf>
    <dxf>
      <fill>
        <patternFill patternType="solid">
          <fgColor rgb="FF930101"/>
          <bgColor rgb="FF000000"/>
        </patternFill>
      </fill>
    </dxf>
    <dxf>
      <fill>
        <patternFill patternType="solid">
          <fgColor rgb="FF93969C"/>
          <bgColor rgb="FF000000"/>
        </patternFill>
      </fill>
    </dxf>
    <dxf>
      <fill>
        <patternFill patternType="solid">
          <fgColor rgb="FF969799"/>
          <bgColor rgb="FF000000"/>
        </patternFill>
      </fill>
    </dxf>
    <dxf>
      <fill>
        <patternFill patternType="solid">
          <fgColor rgb="FF96D35F"/>
          <bgColor rgb="FF000000"/>
        </patternFill>
      </fill>
    </dxf>
    <dxf>
      <fill>
        <patternFill patternType="solid">
          <fgColor rgb="FF981B70"/>
          <bgColor rgb="FF000000"/>
        </patternFill>
      </fill>
    </dxf>
    <dxf>
      <fill>
        <patternFill patternType="solid">
          <fgColor rgb="FF98FF98"/>
          <bgColor rgb="FF000000"/>
        </patternFill>
      </fill>
    </dxf>
    <dxf>
      <fill>
        <patternFill patternType="solid">
          <fgColor rgb="FF990000"/>
          <bgColor rgb="FF000000"/>
        </patternFill>
      </fill>
    </dxf>
    <dxf>
      <fill>
        <patternFill patternType="solid">
          <fgColor rgb="FF999999"/>
          <bgColor rgb="FF000000"/>
        </patternFill>
      </fill>
    </dxf>
    <dxf>
      <fill>
        <patternFill patternType="solid">
          <fgColor rgb="FF9E6A4B"/>
          <bgColor rgb="FF000000"/>
        </patternFill>
      </fill>
    </dxf>
    <dxf>
      <fill>
        <patternFill patternType="solid">
          <fgColor rgb="FFA366CC"/>
          <bgColor rgb="FF000000"/>
        </patternFill>
      </fill>
    </dxf>
    <dxf>
      <fill>
        <patternFill patternType="solid">
          <fgColor rgb="FFADADAD"/>
          <bgColor rgb="FF000000"/>
        </patternFill>
      </fill>
    </dxf>
    <dxf>
      <fill>
        <patternFill patternType="solid">
          <fgColor rgb="FFB091EF"/>
          <bgColor rgb="FF000000"/>
        </patternFill>
      </fill>
    </dxf>
    <dxf>
      <fill>
        <patternFill patternType="solid">
          <fgColor rgb="FFB19870"/>
          <bgColor rgb="FF000000"/>
        </patternFill>
      </fill>
    </dxf>
    <dxf>
      <fill>
        <patternFill patternType="solid">
          <fgColor rgb="FFB37A56"/>
          <bgColor rgb="FF000000"/>
        </patternFill>
      </fill>
    </dxf>
    <dxf>
      <fill>
        <patternFill patternType="solid">
          <fgColor rgb="FFB4F5FE"/>
          <bgColor rgb="FF000000"/>
        </patternFill>
      </fill>
    </dxf>
    <dxf>
      <fill>
        <patternFill patternType="solid">
          <fgColor rgb="FFB6825D"/>
          <bgColor rgb="FF000000"/>
        </patternFill>
      </fill>
    </dxf>
    <dxf>
      <fill>
        <patternFill patternType="solid">
          <fgColor rgb="FFBB762B"/>
          <bgColor rgb="FF000000"/>
        </patternFill>
      </fill>
    </dxf>
    <dxf>
      <fill>
        <patternFill patternType="solid">
          <fgColor rgb="FFBEBBC0"/>
          <bgColor rgb="FF000000"/>
        </patternFill>
      </fill>
    </dxf>
    <dxf>
      <fill>
        <patternFill patternType="solid">
          <fgColor rgb="FFBF5043"/>
          <bgColor rgb="FF000000"/>
        </patternFill>
      </fill>
    </dxf>
    <dxf>
      <fill>
        <patternFill patternType="solid">
          <fgColor rgb="FFC4AC99"/>
          <bgColor rgb="FF000000"/>
        </patternFill>
      </fill>
    </dxf>
    <dxf>
      <fill>
        <patternFill patternType="solid">
          <fgColor rgb="FFD32F3C"/>
          <bgColor rgb="FF000000"/>
        </patternFill>
      </fill>
    </dxf>
    <dxf>
      <fill>
        <patternFill patternType="solid">
          <fgColor rgb="FFD3EFFF"/>
          <bgColor rgb="FF000000"/>
        </patternFill>
      </fill>
    </dxf>
    <dxf>
      <fill>
        <patternFill patternType="solid">
          <fgColor rgb="FFD5DFE7"/>
          <bgColor rgb="FF000000"/>
        </patternFill>
      </fill>
    </dxf>
    <dxf>
      <fill>
        <patternFill patternType="solid">
          <fgColor rgb="FFD61212"/>
          <bgColor rgb="FF000000"/>
        </patternFill>
      </fill>
    </dxf>
    <dxf>
      <fill>
        <patternFill patternType="solid">
          <fgColor rgb="FFDFD1C4"/>
          <bgColor rgb="FF000000"/>
        </patternFill>
      </fill>
    </dxf>
    <dxf>
      <fill>
        <patternFill patternType="solid">
          <fgColor rgb="FFE0E7F0"/>
          <bgColor rgb="FF000000"/>
        </patternFill>
      </fill>
    </dxf>
    <dxf>
      <fill>
        <patternFill patternType="solid">
          <fgColor rgb="FFE6BCE1"/>
          <bgColor rgb="FF000000"/>
        </patternFill>
      </fill>
    </dxf>
    <dxf>
      <fill>
        <patternFill patternType="solid">
          <fgColor rgb="FFE9E9E7"/>
          <bgColor rgb="FF000000"/>
        </patternFill>
      </fill>
    </dxf>
    <dxf>
      <fill>
        <patternFill patternType="solid">
          <fgColor rgb="FFEA140E"/>
          <bgColor rgb="FF000000"/>
        </patternFill>
      </fill>
    </dxf>
    <dxf>
      <fill>
        <patternFill patternType="solid">
          <fgColor rgb="FFEFD8BE"/>
          <bgColor rgb="FF000000"/>
        </patternFill>
      </fill>
    </dxf>
    <dxf>
      <fill>
        <patternFill patternType="solid">
          <fgColor rgb="FFF4E0B8"/>
          <bgColor rgb="FF000000"/>
        </patternFill>
      </fill>
    </dxf>
    <dxf>
      <fill>
        <patternFill patternType="solid">
          <fgColor rgb="FFF5EC00"/>
          <bgColor rgb="FF000000"/>
        </patternFill>
      </fill>
    </dxf>
    <dxf>
      <fill>
        <patternFill patternType="solid">
          <fgColor rgb="FFF6D701"/>
          <bgColor rgb="FF000000"/>
        </patternFill>
      </fill>
    </dxf>
    <dxf>
      <fill>
        <patternFill patternType="solid">
          <fgColor rgb="FFF7F7F8"/>
          <bgColor rgb="FF000000"/>
        </patternFill>
      </fill>
    </dxf>
    <dxf>
      <fill>
        <patternFill patternType="solid">
          <fgColor rgb="FFF97101"/>
          <bgColor rgb="FF000000"/>
        </patternFill>
      </fill>
    </dxf>
    <dxf>
      <fill>
        <patternFill patternType="solid">
          <fgColor rgb="FFF9B0BD"/>
          <bgColor rgb="FF000000"/>
        </patternFill>
      </fill>
    </dxf>
    <dxf>
      <fill>
        <patternFill patternType="solid">
          <fgColor rgb="FFF9E069"/>
          <bgColor rgb="FF000000"/>
        </patternFill>
      </fill>
    </dxf>
    <dxf>
      <fill>
        <patternFill patternType="solid">
          <fgColor rgb="FFFA7291"/>
          <bgColor rgb="FF000000"/>
        </patternFill>
      </fill>
    </dxf>
    <dxf>
      <fill>
        <patternFill patternType="solid">
          <fgColor rgb="FFFD7C18"/>
          <bgColor rgb="FF000000"/>
        </patternFill>
      </fill>
    </dxf>
    <dxf>
      <fill>
        <patternFill patternType="solid">
          <fgColor rgb="FFFDD528"/>
          <bgColor rgb="FF000000"/>
        </patternFill>
      </fill>
    </dxf>
    <dxf>
      <fill>
        <patternFill patternType="solid">
          <fgColor rgb="FFFEC600"/>
          <bgColor rgb="FF000000"/>
        </patternFill>
      </fill>
    </dxf>
    <dxf>
      <fill>
        <patternFill patternType="solid">
          <fgColor rgb="FFFEE7BF"/>
          <bgColor rgb="FF000000"/>
        </patternFill>
      </fill>
    </dxf>
    <dxf>
      <fill>
        <patternFill patternType="solid">
          <fgColor rgb="FFFF0000"/>
          <bgColor rgb="FF000000"/>
        </patternFill>
      </fill>
    </dxf>
    <dxf>
      <fill>
        <patternFill patternType="solid">
          <fgColor rgb="FFFF8800"/>
          <bgColor rgb="FF000000"/>
        </patternFill>
      </fill>
    </dxf>
    <dxf>
      <fill>
        <patternFill patternType="solid">
          <fgColor rgb="FFFFA500"/>
          <bgColor rgb="FF000000"/>
        </patternFill>
      </fill>
    </dxf>
    <dxf>
      <fill>
        <patternFill patternType="solid">
          <fgColor rgb="FFFFA7F5"/>
          <bgColor rgb="FF000000"/>
        </patternFill>
      </fill>
    </dxf>
    <dxf>
      <fill>
        <patternFill patternType="solid">
          <fgColor rgb="FFFFC2F4"/>
          <bgColor rgb="FF000000"/>
        </patternFill>
      </fill>
    </dxf>
    <dxf>
      <fill>
        <patternFill patternType="solid">
          <fgColor rgb="FFE0E0E0"/>
          <bgColor rgb="FF000000"/>
        </patternFill>
      </fill>
    </dxf>
    <dxf>
      <fill>
        <patternFill patternType="solid">
          <fgColor rgb="FFE0E0E4"/>
          <bgColor rgb="FF000000"/>
        </patternFill>
      </fill>
    </dxf>
    <dxf>
      <fill>
        <patternFill patternType="solid">
          <fgColor rgb="FFE0E0FF"/>
          <bgColor rgb="FF000000"/>
        </patternFill>
      </fill>
    </dxf>
    <dxf>
      <fill>
        <patternFill patternType="solid">
          <fgColor rgb="FFE0E1E2"/>
          <bgColor rgb="FF000000"/>
        </patternFill>
      </fill>
    </dxf>
    <dxf>
      <fill>
        <patternFill patternType="solid">
          <fgColor rgb="FFE0EEE0"/>
          <bgColor rgb="FF000000"/>
        </patternFill>
      </fill>
    </dxf>
    <dxf>
      <fill>
        <patternFill patternType="solid">
          <fgColor rgb="FFE0F4F0"/>
          <bgColor rgb="FF000000"/>
        </patternFill>
      </fill>
    </dxf>
    <dxf>
      <fill>
        <patternFill patternType="solid">
          <fgColor rgb="FFE0F8E6"/>
          <bgColor rgb="FF000000"/>
        </patternFill>
      </fill>
    </dxf>
    <dxf>
      <fill>
        <patternFill patternType="solid">
          <fgColor rgb="FFE0F8EB"/>
          <bgColor rgb="FF000000"/>
        </patternFill>
      </fill>
    </dxf>
    <dxf>
      <fill>
        <patternFill patternType="solid">
          <fgColor rgb="FFE0FFF3"/>
          <bgColor rgb="FF000000"/>
        </patternFill>
      </fill>
    </dxf>
    <dxf>
      <fill>
        <patternFill patternType="solid">
          <fgColor rgb="FFE1E1E1"/>
          <bgColor rgb="FF000000"/>
        </patternFill>
      </fill>
    </dxf>
    <dxf>
      <fill>
        <patternFill patternType="solid">
          <fgColor rgb="FFE1E4F0"/>
          <bgColor rgb="FF000000"/>
        </patternFill>
      </fill>
    </dxf>
    <dxf>
      <fill>
        <patternFill patternType="solid">
          <fgColor rgb="FFE1FBE5"/>
          <bgColor rgb="FF000000"/>
        </patternFill>
      </fill>
    </dxf>
    <dxf>
      <fill>
        <patternFill patternType="solid">
          <fgColor rgb="FFE2E3E4"/>
          <bgColor rgb="FF000000"/>
        </patternFill>
      </fill>
    </dxf>
    <dxf>
      <fill>
        <patternFill patternType="solid">
          <fgColor rgb="FFE2E7ED"/>
          <bgColor rgb="FF000000"/>
        </patternFill>
      </fill>
    </dxf>
    <dxf>
      <fill>
        <patternFill patternType="solid">
          <fgColor rgb="FFE3E1EA"/>
          <bgColor rgb="FF000000"/>
        </patternFill>
      </fill>
    </dxf>
    <dxf>
      <fill>
        <patternFill patternType="solid">
          <fgColor rgb="FFE3E9F6"/>
          <bgColor rgb="FF000000"/>
        </patternFill>
      </fill>
    </dxf>
    <dxf>
      <fill>
        <patternFill patternType="solid">
          <fgColor rgb="FFE3F6F0"/>
          <bgColor rgb="FF000000"/>
        </patternFill>
      </fill>
    </dxf>
    <dxf>
      <fill>
        <patternFill patternType="solid">
          <fgColor rgb="FFE4E8F5"/>
          <bgColor rgb="FF000000"/>
        </patternFill>
      </fill>
    </dxf>
    <dxf>
      <fill>
        <patternFill patternType="solid">
          <fgColor rgb="FFE4EBF2"/>
          <bgColor rgb="FF000000"/>
        </patternFill>
      </fill>
    </dxf>
    <dxf>
      <fill>
        <patternFill patternType="solid">
          <fgColor rgb="FFE5E6EC"/>
          <bgColor rgb="FF000000"/>
        </patternFill>
      </fill>
    </dxf>
    <dxf>
      <fill>
        <patternFill patternType="solid">
          <fgColor rgb="FFE5F5F9"/>
          <bgColor rgb="FF000000"/>
        </patternFill>
      </fill>
    </dxf>
    <dxf>
      <fill>
        <patternFill patternType="solid">
          <fgColor rgb="FFE6E9E9"/>
          <bgColor rgb="FF000000"/>
        </patternFill>
      </fill>
    </dxf>
    <dxf>
      <fill>
        <patternFill patternType="solid">
          <fgColor rgb="FFE6F6F5"/>
          <bgColor rgb="FF000000"/>
        </patternFill>
      </fill>
    </dxf>
    <dxf>
      <fill>
        <patternFill patternType="solid">
          <fgColor rgb="FFE8E7EA"/>
          <bgColor rgb="FF000000"/>
        </patternFill>
      </fill>
    </dxf>
    <dxf>
      <fill>
        <patternFill patternType="solid">
          <fgColor rgb="FFE8E8E8"/>
          <bgColor rgb="FF000000"/>
        </patternFill>
      </fill>
    </dxf>
    <dxf>
      <fill>
        <patternFill patternType="solid">
          <fgColor rgb="FFEAE1F2"/>
          <bgColor rgb="FF000000"/>
        </patternFill>
      </fill>
    </dxf>
    <dxf>
      <fill>
        <patternFill patternType="solid">
          <fgColor rgb="FFEBE7F3"/>
          <bgColor rgb="FF000000"/>
        </patternFill>
      </fill>
    </dxf>
    <dxf>
      <fill>
        <patternFill patternType="solid">
          <fgColor rgb="FFEBE8E7"/>
          <bgColor rgb="FF000000"/>
        </patternFill>
      </fill>
    </dxf>
    <dxf>
      <fill>
        <patternFill patternType="solid">
          <fgColor rgb="FFEBEBEB"/>
          <bgColor rgb="FF000000"/>
        </patternFill>
      </fill>
    </dxf>
    <dxf>
      <fill>
        <patternFill patternType="solid">
          <fgColor rgb="FFECECEC"/>
          <bgColor rgb="FF000000"/>
        </patternFill>
      </fill>
    </dxf>
    <dxf>
      <fill>
        <patternFill patternType="solid">
          <fgColor rgb="FFECECED"/>
          <bgColor rgb="FF000000"/>
        </patternFill>
      </fill>
    </dxf>
    <dxf>
      <fill>
        <patternFill patternType="solid">
          <fgColor rgb="FFECF5FF"/>
          <bgColor rgb="FF000000"/>
        </patternFill>
      </fill>
    </dxf>
    <dxf>
      <fill>
        <patternFill patternType="solid">
          <fgColor rgb="FFEDE3E4"/>
          <bgColor rgb="FF000000"/>
        </patternFill>
      </fill>
    </dxf>
    <dxf>
      <fill>
        <patternFill patternType="solid">
          <fgColor rgb="FFEDEDED"/>
          <bgColor rgb="FF000000"/>
        </patternFill>
      </fill>
    </dxf>
    <dxf>
      <fill>
        <patternFill patternType="solid">
          <fgColor rgb="FFEEEBE9"/>
          <bgColor rgb="FF000000"/>
        </patternFill>
      </fill>
    </dxf>
    <dxf>
      <fill>
        <patternFill patternType="solid">
          <fgColor rgb="FFF0F0F1"/>
          <bgColor rgb="FF000000"/>
        </patternFill>
      </fill>
    </dxf>
    <dxf>
      <fill>
        <patternFill patternType="solid">
          <fgColor rgb="FFF1F2F3"/>
          <bgColor rgb="FF000000"/>
        </patternFill>
      </fill>
    </dxf>
    <dxf>
      <fill>
        <patternFill patternType="solid">
          <fgColor rgb="FFF2E0E0"/>
          <bgColor rgb="FF000000"/>
        </patternFill>
      </fill>
    </dxf>
    <dxf>
      <fill>
        <patternFill patternType="solid">
          <fgColor rgb="FFF2E3ED"/>
          <bgColor rgb="FF000000"/>
        </patternFill>
      </fill>
    </dxf>
    <dxf>
      <fill>
        <patternFill patternType="solid">
          <fgColor rgb="FFF2F2F2"/>
          <bgColor rgb="FF000000"/>
        </patternFill>
      </fill>
    </dxf>
    <dxf>
      <fill>
        <patternFill patternType="solid">
          <fgColor rgb="FFF2F2F3"/>
          <bgColor rgb="FF000000"/>
        </patternFill>
      </fill>
    </dxf>
    <dxf>
      <fill>
        <patternFill patternType="solid">
          <fgColor rgb="FFF2F9EB"/>
          <bgColor rgb="FF000000"/>
        </patternFill>
      </fill>
    </dxf>
    <dxf>
      <fill>
        <patternFill patternType="solid">
          <fgColor rgb="FFF2FFF2"/>
          <bgColor rgb="FF000000"/>
        </patternFill>
      </fill>
    </dxf>
    <dxf>
      <fill>
        <patternFill patternType="solid">
          <fgColor rgb="FFF3ECF8"/>
          <bgColor rgb="FF000000"/>
        </patternFill>
      </fill>
    </dxf>
    <dxf>
      <fill>
        <patternFill patternType="solid">
          <fgColor rgb="FFF3EDE9"/>
          <bgColor rgb="FF000000"/>
        </patternFill>
      </fill>
    </dxf>
    <dxf>
      <fill>
        <patternFill patternType="solid">
          <fgColor rgb="FFF5EFEA"/>
          <bgColor rgb="FF000000"/>
        </patternFill>
      </fill>
    </dxf>
    <dxf>
      <fill>
        <patternFill patternType="solid">
          <fgColor rgb="FFF5F1FD"/>
          <bgColor rgb="FF000000"/>
        </patternFill>
      </fill>
    </dxf>
    <dxf>
      <fill>
        <patternFill patternType="solid">
          <fgColor rgb="FFF5F2ED"/>
          <bgColor rgb="FF000000"/>
        </patternFill>
      </fill>
    </dxf>
    <dxf>
      <fill>
        <patternFill patternType="solid">
          <fgColor rgb="FFF5F5F5"/>
          <bgColor rgb="FF000000"/>
        </patternFill>
      </fill>
    </dxf>
    <dxf>
      <fill>
        <patternFill patternType="solid">
          <fgColor rgb="FFF6EEE5"/>
          <bgColor rgb="FF000000"/>
        </patternFill>
      </fill>
    </dxf>
    <dxf>
      <fill>
        <patternFill patternType="solid">
          <fgColor rgb="FFF6F0EB"/>
          <bgColor rgb="FF000000"/>
        </patternFill>
      </fill>
    </dxf>
    <dxf>
      <fill>
        <patternFill patternType="solid">
          <fgColor rgb="FFF6FDFE"/>
          <bgColor rgb="FF000000"/>
        </patternFill>
      </fill>
    </dxf>
    <dxf>
      <fill>
        <patternFill patternType="solid">
          <fgColor rgb="FFF7EAE8"/>
          <bgColor rgb="FF000000"/>
        </patternFill>
      </fill>
    </dxf>
    <dxf>
      <fill>
        <patternFill patternType="solid">
          <fgColor rgb="FFF7F5F2"/>
          <bgColor rgb="FF000000"/>
        </patternFill>
      </fill>
    </dxf>
    <dxf>
      <fill>
        <patternFill patternType="solid">
          <fgColor rgb="FFF7F6F7"/>
          <bgColor rgb="FF000000"/>
        </patternFill>
      </fill>
    </dxf>
    <dxf>
      <fill>
        <patternFill patternType="solid">
          <fgColor rgb="FFF9E6E7"/>
          <bgColor rgb="FF000000"/>
        </patternFill>
      </fill>
    </dxf>
    <dxf>
      <fill>
        <patternFill patternType="solid">
          <fgColor rgb="FFF9FBFC"/>
          <bgColor rgb="FF000000"/>
        </patternFill>
      </fill>
    </dxf>
    <dxf>
      <fill>
        <patternFill patternType="solid">
          <fgColor rgb="FFF9FDFF"/>
          <bgColor rgb="FF000000"/>
        </patternFill>
      </fill>
    </dxf>
    <dxf>
      <fill>
        <patternFill patternType="solid">
          <fgColor rgb="FFFAE2E2"/>
          <bgColor rgb="FF000000"/>
        </patternFill>
      </fill>
    </dxf>
    <dxf>
      <fill>
        <patternFill patternType="solid">
          <fgColor rgb="FFFBF9F7"/>
          <bgColor rgb="FF000000"/>
        </patternFill>
      </fill>
    </dxf>
    <dxf>
      <fill>
        <patternFill patternType="solid">
          <fgColor rgb="FFFBFCFD"/>
          <bgColor rgb="FF000000"/>
        </patternFill>
      </fill>
    </dxf>
    <dxf>
      <fill>
        <patternFill patternType="solid">
          <fgColor rgb="FFFCE2E2"/>
          <bgColor rgb="FF000000"/>
        </patternFill>
      </fill>
    </dxf>
    <dxf>
      <fill>
        <patternFill patternType="solid">
          <fgColor rgb="FFFCF6FB"/>
          <bgColor rgb="FF000000"/>
        </patternFill>
      </fill>
    </dxf>
    <dxf>
      <fill>
        <patternFill patternType="solid">
          <fgColor rgb="FFFCFCFC"/>
          <bgColor rgb="FF000000"/>
        </patternFill>
      </fill>
    </dxf>
    <dxf>
      <fill>
        <patternFill patternType="solid">
          <fgColor rgb="FFFDFAE0"/>
          <bgColor rgb="FF000000"/>
        </patternFill>
      </fill>
    </dxf>
    <dxf>
      <fill>
        <patternFill patternType="solid">
          <fgColor rgb="FFFDFAF7"/>
          <bgColor rgb="FF000000"/>
        </patternFill>
      </fill>
    </dxf>
    <dxf>
      <fill>
        <patternFill patternType="solid">
          <fgColor rgb="FFFDFBF6"/>
          <bgColor rgb="FF000000"/>
        </patternFill>
      </fill>
    </dxf>
    <dxf>
      <fill>
        <patternFill patternType="solid">
          <fgColor rgb="FFFDFCE0"/>
          <bgColor rgb="FF000000"/>
        </patternFill>
      </fill>
    </dxf>
    <dxf>
      <fill>
        <patternFill patternType="solid">
          <fgColor rgb="FFFEEDE0"/>
          <bgColor rgb="FF000000"/>
        </patternFill>
      </fill>
    </dxf>
    <dxf>
      <fill>
        <patternFill patternType="solid">
          <fgColor rgb="FFFEEEF1"/>
          <bgColor rgb="FF000000"/>
        </patternFill>
      </fill>
    </dxf>
    <dxf>
      <fill>
        <patternFill patternType="solid">
          <fgColor rgb="FFFEEFE3"/>
          <bgColor rgb="FF000000"/>
        </patternFill>
      </fill>
    </dxf>
    <dxf>
      <fill>
        <patternFill patternType="solid">
          <fgColor rgb="FFFEF5F7"/>
          <bgColor rgb="FF000000"/>
        </patternFill>
      </fill>
    </dxf>
    <dxf>
      <fill>
        <patternFill patternType="solid">
          <fgColor rgb="FFFEF8E0"/>
          <bgColor rgb="FF000000"/>
        </patternFill>
      </fill>
    </dxf>
    <dxf>
      <fill>
        <patternFill patternType="solid">
          <fgColor rgb="FFFEF9E5"/>
          <bgColor rgb="FF000000"/>
        </patternFill>
      </fill>
    </dxf>
    <dxf>
      <fill>
        <patternFill patternType="solid">
          <fgColor rgb="FFFEFBED"/>
          <bgColor rgb="FF000000"/>
        </patternFill>
      </fill>
    </dxf>
    <dxf>
      <fill>
        <patternFill patternType="solid">
          <fgColor rgb="FFFEFCF7"/>
          <bgColor rgb="FF000000"/>
        </patternFill>
      </fill>
    </dxf>
    <dxf>
      <fill>
        <patternFill patternType="solid">
          <fgColor rgb="FFFEFEFE"/>
          <bgColor rgb="FF000000"/>
        </patternFill>
      </fill>
    </dxf>
    <dxf>
      <fill>
        <patternFill patternType="solid">
          <fgColor rgb="FFFFE0E0"/>
          <bgColor rgb="FF000000"/>
        </patternFill>
      </fill>
    </dxf>
    <dxf>
      <fill>
        <patternFill patternType="solid">
          <fgColor rgb="FFFFF0E0"/>
          <bgColor rgb="FF000000"/>
        </patternFill>
      </fill>
    </dxf>
    <dxf>
      <fill>
        <patternFill patternType="solid">
          <fgColor rgb="FFFFF4E0"/>
          <bgColor rgb="FF000000"/>
        </patternFill>
      </fill>
    </dxf>
    <dxf>
      <fill>
        <patternFill patternType="solid">
          <fgColor rgb="FFFFF4FD"/>
          <bgColor rgb="FF000000"/>
        </patternFill>
      </fill>
    </dxf>
    <dxf>
      <fill>
        <patternFill patternType="solid">
          <fgColor rgb="FFFFF7FD"/>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92D050"/>
          <bgColor rgb="FF000000"/>
        </patternFill>
      </fill>
    </dxf>
    <dxf>
      <fill>
        <patternFill patternType="solid">
          <fgColor rgb="FFBDD7EE"/>
          <bgColor rgb="FF000000"/>
        </patternFill>
      </fill>
    </dxf>
    <dxf>
      <fill>
        <patternFill patternType="solid">
          <fgColor rgb="FFF4B8B8"/>
          <bgColor rgb="FF000000"/>
        </patternFill>
      </fill>
    </dxf>
    <dxf>
      <fill>
        <patternFill patternType="solid">
          <fgColor rgb="FF276221"/>
          <bgColor rgb="FF000000"/>
        </patternFill>
      </fill>
    </dxf>
    <dxf>
      <fill>
        <patternFill patternType="solid">
          <fgColor rgb="FFFFCC66"/>
          <bgColor rgb="FF000000"/>
        </patternFill>
      </fill>
    </dxf>
    <dxf>
      <fill>
        <patternFill patternType="solid">
          <fgColor rgb="FF7F4F00"/>
          <bgColor rgb="FF000000"/>
        </patternFill>
      </fill>
    </dxf>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color rgb="FF7F4F00"/>
      </font>
      <fill>
        <patternFill>
          <bgColor rgb="FFFFCC66"/>
        </patternFill>
      </fill>
    </dxf>
  </dxfs>
  <colors>
    <indexedColors>
      <rgbColor rgb="FF000000"/>
      <rgbColor rgb="FFFFFFFF"/>
      <rgbColor rgb="FFFF0000"/>
      <rgbColor rgb="FF01E75D"/>
      <rgbColor rgb="FF0000FF"/>
      <rgbColor rgb="FFFEDB68"/>
      <rgbColor rgb="FFFEEFEC"/>
      <rgbColor rgb="FFE9ECE8"/>
      <rgbColor rgb="FF880701"/>
      <rgbColor rgb="FF12670F"/>
      <rgbColor rgb="FF030413"/>
      <rgbColor rgb="FFAF733E"/>
      <rgbColor rgb="FF6F138D"/>
      <rgbColor rgb="FFEEF4FC"/>
      <rgbColor rgb="FFBDB2B2"/>
      <rgbColor rgb="FFE2E6F9"/>
      <rgbColor rgb="FFE1E2E6"/>
      <rgbColor rgb="FFDF1D18"/>
      <rgbColor rgb="FFFDFCE0"/>
      <rgbColor rgb="FFDCF6FC"/>
      <rgbColor rgb="FFFFF7FD"/>
      <rgbColor rgb="FFE38475"/>
      <rgbColor rgb="FFF4F2F9"/>
      <rgbColor rgb="FFBDD7EE"/>
      <rgbColor rgb="FFFBFEFE"/>
      <rgbColor rgb="FFFFF2CC"/>
      <rgbColor rgb="FFF9E1C0"/>
      <rgbColor rgb="FFEAE7F2"/>
      <rgbColor rgb="FFF7F8F7"/>
      <rgbColor rgb="FF9C0006"/>
      <rgbColor rgb="FFF6F1EC"/>
      <rgbColor rgb="FFFEFCF7"/>
      <rgbColor rgb="FFEDEDED"/>
      <rgbColor rgb="FFE1FDEF"/>
      <rgbColor rgb="FFC2F6C9"/>
      <rgbColor rgb="FFFFEB9C"/>
      <rgbColor rgb="FFB8CCE4"/>
      <rgbColor rgb="FFF7B6B9"/>
      <rgbColor rgb="FFFDBBF3"/>
      <rgbColor rgb="FFFFC7CE"/>
      <rgbColor rgb="FFF2E3E9"/>
      <rgbColor rgb="FF3EB3F4"/>
      <rgbColor rgb="FF93D154"/>
      <rgbColor rgb="FFFEDF01"/>
      <rgbColor rgb="FFFF8701"/>
      <rgbColor rgb="FFFEE2E2"/>
      <rgbColor rgb="FF666260"/>
      <rgbColor rgb="FF968CBE"/>
      <rgbColor rgb="FF163368"/>
      <rgbColor rgb="FFE4EAF6"/>
      <rgbColor rgb="FFFEFAE9"/>
      <rgbColor rgb="FFFFF3E0"/>
      <rgbColor rgb="FF925900"/>
      <rgbColor rgb="FFF9E9E8"/>
      <rgbColor rgb="FF1E4FA2"/>
      <rgbColor rgb="FF3E45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8" min="3" style="0" width="10"/>
  </cols>
  <sheetData>
    <row r="1" customFormat="false" ht="36"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f aca="false">COUNTA(Catalog!C3:C1000)-COUNTIF(Catalog!T3:T1000,"~[DISCONTINUED~]*")</f>
        <v>227</v>
      </c>
    </row>
    <row r="5" customFormat="false" ht="18" hidden="false" customHeight="true" outlineLevel="0" collapsed="false">
      <c r="A5" s="3" t="s">
        <v>3</v>
      </c>
      <c r="B5" s="5" t="n">
        <f aca="false">COUNTIF(Catalog!R3:R1000,"S")</f>
        <v>0</v>
      </c>
    </row>
    <row r="6" customFormat="false" ht="18" hidden="false" customHeight="true" outlineLevel="0" collapsed="false">
      <c r="A6" s="3" t="s">
        <v>4</v>
      </c>
      <c r="B6" s="6" t="n">
        <f aca="false">COUNTIF(Catalog!R3:R1000,"A")</f>
        <v>75</v>
      </c>
    </row>
    <row r="7" customFormat="false" ht="18" hidden="false" customHeight="true" outlineLevel="0" collapsed="false">
      <c r="A7" s="3" t="s">
        <v>5</v>
      </c>
      <c r="B7" s="7" t="n">
        <f aca="false">COUNTIF(Catalog!R3:R1000,"B")</f>
        <v>38</v>
      </c>
    </row>
    <row r="8" customFormat="false" ht="18" hidden="false" customHeight="true" outlineLevel="0" collapsed="false">
      <c r="A8" s="3" t="s">
        <v>6</v>
      </c>
      <c r="B8" s="8" t="n">
        <f aca="false">COUNTIF(Catalog!R3:R1000,"C")</f>
        <v>114</v>
      </c>
    </row>
    <row r="9" customFormat="false" ht="18" hidden="false" customHeight="true" outlineLevel="0" collapsed="false">
      <c r="A9" s="3" t="s">
        <v>7</v>
      </c>
      <c r="B9" s="9" t="n">
        <f aca="false">COUNTIF(Catalog!J3:J1000,"Yes")</f>
        <v>227</v>
      </c>
    </row>
    <row r="11" customFormat="false" ht="18" hidden="false" customHeight="true" outlineLevel="0" collapsed="false">
      <c r="A11" s="2" t="s">
        <v>8</v>
      </c>
      <c r="B11" s="2"/>
      <c r="C11" s="2"/>
      <c r="D11" s="2"/>
      <c r="E11" s="2"/>
      <c r="F11" s="2"/>
      <c r="G11" s="2"/>
      <c r="H11" s="2"/>
    </row>
    <row r="12" customFormat="false" ht="18" hidden="false" customHeight="true" outlineLevel="0" collapsed="false">
      <c r="A12" s="10" t="s">
        <v>9</v>
      </c>
      <c r="B12" s="11" t="s">
        <v>10</v>
      </c>
      <c r="C12" s="11"/>
      <c r="D12" s="11"/>
      <c r="E12" s="11"/>
      <c r="F12" s="11"/>
      <c r="G12" s="11"/>
      <c r="H12" s="11"/>
    </row>
    <row r="13" customFormat="false" ht="18" hidden="false" customHeight="true" outlineLevel="0" collapsed="false">
      <c r="A13" s="12" t="s">
        <v>11</v>
      </c>
      <c r="B13" s="11" t="s">
        <v>12</v>
      </c>
      <c r="C13" s="11"/>
      <c r="D13" s="11"/>
      <c r="E13" s="11"/>
      <c r="F13" s="11"/>
      <c r="G13" s="11"/>
      <c r="H13" s="11"/>
    </row>
    <row r="14" customFormat="false" ht="18" hidden="false" customHeight="true" outlineLevel="0" collapsed="false">
      <c r="A14" s="13" t="s">
        <v>13</v>
      </c>
      <c r="B14" s="11" t="s">
        <v>14</v>
      </c>
      <c r="C14" s="11"/>
      <c r="D14" s="11"/>
      <c r="E14" s="11"/>
      <c r="F14" s="11"/>
      <c r="G14" s="11"/>
      <c r="H14" s="11"/>
    </row>
    <row r="15" customFormat="false" ht="18" hidden="false" customHeight="true" outlineLevel="0" collapsed="false">
      <c r="A15" s="14" t="s">
        <v>15</v>
      </c>
      <c r="B15" s="11" t="s">
        <v>16</v>
      </c>
      <c r="C15" s="11"/>
      <c r="D15" s="11"/>
      <c r="E15" s="11"/>
      <c r="F15" s="11"/>
      <c r="G15" s="11"/>
      <c r="H15" s="11"/>
    </row>
    <row r="17" customFormat="false" ht="18" hidden="false" customHeight="true" outlineLevel="0" collapsed="false">
      <c r="A17" s="2" t="s">
        <v>17</v>
      </c>
      <c r="B17" s="2"/>
      <c r="C17" s="2"/>
      <c r="D17" s="2"/>
      <c r="E17" s="2"/>
      <c r="F17" s="2"/>
      <c r="G17" s="2"/>
      <c r="H17" s="2"/>
    </row>
    <row r="18" customFormat="false" ht="15" hidden="false" customHeight="true" outlineLevel="0" collapsed="false">
      <c r="A18" s="15" t="s">
        <v>18</v>
      </c>
      <c r="B18" s="15"/>
      <c r="C18" s="15"/>
      <c r="D18" s="15"/>
      <c r="E18" s="15"/>
      <c r="F18" s="15"/>
      <c r="G18" s="15"/>
      <c r="H18" s="15"/>
    </row>
    <row r="19" customFormat="false" ht="18" hidden="false" customHeight="true" outlineLevel="0" collapsed="false">
      <c r="A19" s="3" t="s">
        <v>19</v>
      </c>
      <c r="B19" s="16" t="str">
        <f aca="false">Config!$B$5</f>
        <v>2026-10-08</v>
      </c>
    </row>
    <row r="21" customFormat="false" ht="18" hidden="false" customHeight="true" outlineLevel="0" collapsed="false">
      <c r="A21" s="2" t="s">
        <v>20</v>
      </c>
      <c r="B21" s="2"/>
      <c r="C21" s="2"/>
      <c r="D21" s="2"/>
      <c r="E21" s="2"/>
      <c r="F21" s="2"/>
      <c r="G21" s="2"/>
      <c r="H21" s="2"/>
    </row>
    <row r="22" customFormat="false" ht="19.5" hidden="false" customHeight="true" outlineLevel="0" collapsed="false">
      <c r="A22" s="17" t="str">
        <f aca="false">IF(COUNTIF(Catalog!J3:J1000,"Yes")&gt;0,"⚠  One or more filaments require the AMS Adapter Ring — see Catalog column J","✓  No filaments in this catalog require the AMS Adapter Ring")</f>
        <v>⚠  One or more filaments require the AMS Adapter Ring — see Catalog column J</v>
      </c>
      <c r="B22" s="17"/>
      <c r="C22" s="17"/>
      <c r="D22" s="17"/>
      <c r="E22" s="17"/>
      <c r="F22" s="17"/>
      <c r="G22" s="17"/>
      <c r="H22" s="17"/>
    </row>
    <row r="24" customFormat="false" ht="18" hidden="false" customHeight="true" outlineLevel="0" collapsed="false">
      <c r="A24" s="2" t="s">
        <v>21</v>
      </c>
      <c r="B24" s="2"/>
      <c r="C24" s="2"/>
      <c r="D24" s="2"/>
      <c r="E24" s="2"/>
      <c r="F24" s="2"/>
      <c r="G24" s="2"/>
      <c r="H24" s="2"/>
    </row>
    <row r="25" customFormat="false" ht="21.75" hidden="false" customHeight="true" outlineLevel="0" collapsed="false">
      <c r="A25" s="18" t="s">
        <v>22</v>
      </c>
      <c r="B25" s="18" t="s">
        <v>23</v>
      </c>
    </row>
    <row r="26" customFormat="false" ht="18" hidden="false" customHeight="true" outlineLevel="0" collapsed="false">
      <c r="A26" s="19" t="s">
        <v>24</v>
      </c>
      <c r="B26" s="20" t="n">
        <f aca="false">COUNTIF(Catalog!A3:A700,"ASA")</f>
        <v>6</v>
      </c>
    </row>
    <row r="27" customFormat="false" ht="18" hidden="false" customHeight="true" outlineLevel="0" collapsed="false">
      <c r="A27" s="19" t="s">
        <v>25</v>
      </c>
      <c r="B27" s="20" t="n">
        <f aca="false">COUNTIF(Catalog!A3:A700,"ASA-CF")</f>
        <v>6</v>
      </c>
    </row>
    <row r="28" customFormat="false" ht="18" hidden="false" customHeight="true" outlineLevel="0" collapsed="false">
      <c r="A28" s="19" t="s">
        <v>26</v>
      </c>
      <c r="B28" s="20" t="n">
        <f aca="false">COUNTIF(Catalog!A3:A700,"PETG (Rapid)")</f>
        <v>12</v>
      </c>
    </row>
    <row r="29" customFormat="false" ht="18" hidden="false" customHeight="true" outlineLevel="0" collapsed="false">
      <c r="A29" s="19" t="s">
        <v>27</v>
      </c>
      <c r="B29" s="20" t="n">
        <f aca="false">COUNTIF(Catalog!A3:A700,"PETG Pro")</f>
        <v>7</v>
      </c>
    </row>
    <row r="30" customFormat="false" ht="18" hidden="false" customHeight="true" outlineLevel="0" collapsed="false">
      <c r="A30" s="19" t="s">
        <v>28</v>
      </c>
      <c r="B30" s="20" t="n">
        <f aca="false">COUNTIF(Catalog!A3:A700,"PETG Translucent")</f>
        <v>11</v>
      </c>
    </row>
    <row r="31" customFormat="false" ht="18" hidden="false" customHeight="true" outlineLevel="0" collapsed="false">
      <c r="A31" s="19" t="s">
        <v>29</v>
      </c>
      <c r="B31" s="20" t="n">
        <f aca="false">COUNTIF(Catalog!A3:A700,"PETG-CF")</f>
        <v>5</v>
      </c>
    </row>
    <row r="32" customFormat="false" ht="18" hidden="false" customHeight="true" outlineLevel="0" collapsed="false">
      <c r="A32" s="19" t="s">
        <v>30</v>
      </c>
      <c r="B32" s="20" t="n">
        <f aca="false">COUNTIF(Catalog!A3:A700,"PLA")</f>
        <v>18</v>
      </c>
    </row>
    <row r="33" customFormat="false" ht="18" hidden="false" customHeight="true" outlineLevel="0" collapsed="false">
      <c r="A33" s="19" t="s">
        <v>31</v>
      </c>
      <c r="B33" s="20" t="n">
        <f aca="false">COUNTIF(Catalog!A3:A700,"PLA (RFID) emoji Brand Edition")</f>
        <v>17</v>
      </c>
    </row>
    <row r="34" customFormat="false" ht="18" hidden="false" customHeight="true" outlineLevel="0" collapsed="false">
      <c r="A34" s="19" t="s">
        <v>32</v>
      </c>
      <c r="B34" s="20" t="n">
        <f aca="false">COUNTIF(Catalog!A3:A700,"PLA Basic")</f>
        <v>19</v>
      </c>
    </row>
    <row r="35" customFormat="false" ht="18" hidden="false" customHeight="true" outlineLevel="0" collapsed="false">
      <c r="A35" s="19" t="s">
        <v>33</v>
      </c>
      <c r="B35" s="20" t="n">
        <f aca="false">COUNTIF(Catalog!A3:A700,"PLA CMYK")</f>
        <v>4</v>
      </c>
    </row>
    <row r="36" customFormat="false" ht="18" hidden="false" customHeight="true" outlineLevel="0" collapsed="false">
      <c r="A36" s="19" t="s">
        <v>34</v>
      </c>
      <c r="B36" s="20" t="n">
        <f aca="false">COUNTIF(Catalog!A3:A700,"PLA Galaxy")</f>
        <v>3</v>
      </c>
    </row>
    <row r="37" customFormat="false" ht="18" hidden="false" customHeight="true" outlineLevel="0" collapsed="false">
      <c r="A37" s="19" t="s">
        <v>35</v>
      </c>
      <c r="B37" s="20" t="n">
        <f aca="false">COUNTIF(Catalog!A3:A700,"PLA Glow")</f>
        <v>5</v>
      </c>
    </row>
    <row r="38" customFormat="false" ht="18" hidden="false" customHeight="true" outlineLevel="0" collapsed="false">
      <c r="A38" s="19" t="s">
        <v>36</v>
      </c>
      <c r="B38" s="20" t="n">
        <f aca="false">COUNTIF(Catalog!A3:A700,"PLA Marble")</f>
        <v>3</v>
      </c>
    </row>
    <row r="39" customFormat="false" ht="18" hidden="false" customHeight="true" outlineLevel="0" collapsed="false">
      <c r="A39" s="19" t="s">
        <v>37</v>
      </c>
      <c r="B39" s="20" t="n">
        <f aca="false">COUNTIF(Catalog!A3:A700,"PLA Matte")</f>
        <v>9</v>
      </c>
    </row>
    <row r="40" customFormat="false" ht="18" hidden="false" customHeight="true" outlineLevel="0" collapsed="false">
      <c r="A40" s="19" t="s">
        <v>38</v>
      </c>
      <c r="B40" s="20" t="n">
        <f aca="false">COUNTIF(Catalog!A3:A700,"PLA Metallic")</f>
        <v>4</v>
      </c>
    </row>
    <row r="41" customFormat="false" ht="18" hidden="false" customHeight="true" outlineLevel="0" collapsed="false">
      <c r="A41" s="19" t="s">
        <v>39</v>
      </c>
      <c r="B41" s="20" t="n">
        <f aca="false">COUNTIF(Catalog!A3:A700,"PLA Plus")</f>
        <v>17</v>
      </c>
    </row>
    <row r="42" customFormat="false" ht="18" hidden="false" customHeight="true" outlineLevel="0" collapsed="false">
      <c r="A42" s="19" t="s">
        <v>40</v>
      </c>
      <c r="B42" s="20" t="n">
        <f aca="false">COUNTIF(Catalog!A3:A700,"PLA Pro")</f>
        <v>14</v>
      </c>
    </row>
    <row r="43" customFormat="false" ht="18" hidden="false" customHeight="true" outlineLevel="0" collapsed="false">
      <c r="A43" s="19" t="s">
        <v>41</v>
      </c>
      <c r="B43" s="20" t="n">
        <f aca="false">COUNTIF(Catalog!A3:A700,"PLA Silk")</f>
        <v>16</v>
      </c>
    </row>
    <row r="44" customFormat="false" ht="18" hidden="false" customHeight="true" outlineLevel="0" collapsed="false">
      <c r="A44" s="19" t="s">
        <v>42</v>
      </c>
      <c r="B44" s="20" t="n">
        <f aca="false">COUNTIF(Catalog!A3:A700,"PLA Sparkle")</f>
        <v>7</v>
      </c>
    </row>
    <row r="45" customFormat="false" ht="18" hidden="false" customHeight="true" outlineLevel="0" collapsed="false">
      <c r="A45" s="19" t="s">
        <v>43</v>
      </c>
      <c r="B45" s="20" t="n">
        <f aca="false">COUNTIF(Catalog!A3:A700,"PLA Wood")</f>
        <v>4</v>
      </c>
    </row>
    <row r="46" customFormat="false" ht="18" hidden="false" customHeight="true" outlineLevel="0" collapsed="false">
      <c r="A46" s="19" t="s">
        <v>44</v>
      </c>
      <c r="B46" s="20" t="n">
        <f aca="false">COUNTIF(Catalog!A3:A700,"PLA-CF")</f>
        <v>7</v>
      </c>
    </row>
    <row r="47" customFormat="false" ht="18" hidden="false" customHeight="true" outlineLevel="0" collapsed="false">
      <c r="A47" s="19" t="s">
        <v>45</v>
      </c>
      <c r="B47" s="20" t="n">
        <f aca="false">COUNTIF(Catalog!A3:A700,"Rapid PLA Plus")</f>
        <v>26</v>
      </c>
    </row>
    <row r="48" customFormat="false" ht="18" hidden="false" customHeight="true" outlineLevel="0" collapsed="false">
      <c r="A48" s="19" t="s">
        <v>46</v>
      </c>
      <c r="B48" s="20" t="n">
        <f aca="false">COUNTIF(Catalog!A3:A700,"TPU 95A")</f>
        <v>7</v>
      </c>
    </row>
  </sheetData>
  <mergeCells count="12">
    <mergeCell ref="A1:H1"/>
    <mergeCell ref="A3:H3"/>
    <mergeCell ref="A11:H11"/>
    <mergeCell ref="B12:H12"/>
    <mergeCell ref="B13:H13"/>
    <mergeCell ref="B14:H14"/>
    <mergeCell ref="B15:H15"/>
    <mergeCell ref="A17:H17"/>
    <mergeCell ref="A18:H18"/>
    <mergeCell ref="A21:H21"/>
    <mergeCell ref="A22:H22"/>
    <mergeCell ref="A24:H24"/>
  </mergeCells>
  <conditionalFormatting sqref="A22:H22">
    <cfRule type="expression" priority="2" aboveAverage="0" equalAverage="0" bottom="0" percent="0" rank="0" text="" dxfId="0">
      <formula>NOT(ISERROR(SEARCH("⚠",A22)))</formula>
    </cfRule>
    <cfRule type="expression" priority="3" aboveAverage="0" equalAverage="0" bottom="0" percent="0" rank="0" text="" dxfId="1">
      <formula>NOT(ISERROR(SEARCH("✓",A22)))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18"/>
    <col collapsed="false" customWidth="true" hidden="false" outlineLevel="0" max="3" min="3" style="0" width="22"/>
    <col collapsed="false" customWidth="true" hidden="false" outlineLevel="0" max="4" min="4" style="0" width="18"/>
    <col collapsed="false" customWidth="true" hidden="false" outlineLevel="0" max="6" min="5" style="0" width="10"/>
    <col collapsed="false" customWidth="true" hidden="false" outlineLevel="0" max="7" min="7" style="0" width="9"/>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1" min="11" style="0" width="15"/>
    <col collapsed="false" customWidth="true" hidden="false" outlineLevel="0" max="12" min="12" style="0" width="14"/>
    <col collapsed="false" customWidth="true" hidden="false" outlineLevel="0" max="13" min="13" style="0" width="16"/>
    <col collapsed="false" customWidth="true" hidden="false" outlineLevel="1" max="17" min="14" style="0" width="9"/>
    <col collapsed="false" customWidth="true" hidden="false" outlineLevel="0" max="18" min="18" style="0" width="9"/>
    <col collapsed="false" customWidth="true" hidden="false" outlineLevel="0" max="20" min="19" style="0" width="48"/>
  </cols>
  <sheetData>
    <row r="1" customFormat="false" ht="30" hidden="false" customHeight="true" outlineLevel="0" collapsed="false">
      <c r="A1" s="21" t="s">
        <v>47</v>
      </c>
      <c r="B1" s="21"/>
      <c r="C1" s="21"/>
      <c r="D1" s="21"/>
      <c r="E1" s="21"/>
      <c r="F1" s="21"/>
      <c r="G1" s="21"/>
      <c r="H1" s="21"/>
      <c r="I1" s="21"/>
      <c r="J1" s="21"/>
      <c r="K1" s="21"/>
      <c r="L1" s="21"/>
      <c r="M1" s="21"/>
      <c r="N1" s="21"/>
      <c r="O1" s="21"/>
      <c r="P1" s="21"/>
      <c r="Q1" s="21"/>
      <c r="R1" s="21"/>
      <c r="S1" s="21"/>
      <c r="T1" s="21"/>
    </row>
    <row r="2" customFormat="false" ht="33.75" hidden="false" customHeight="true" outlineLevel="0" collapsed="false">
      <c r="A2" s="22" t="s">
        <v>22</v>
      </c>
      <c r="B2" s="22" t="s">
        <v>48</v>
      </c>
      <c r="C2" s="22" t="s">
        <v>49</v>
      </c>
      <c r="D2" s="22" t="s">
        <v>50</v>
      </c>
      <c r="E2" s="22" t="s">
        <v>51</v>
      </c>
      <c r="F2" s="22" t="s">
        <v>52</v>
      </c>
      <c r="G2" s="22" t="s">
        <v>53</v>
      </c>
      <c r="H2" s="22" t="s">
        <v>54</v>
      </c>
      <c r="I2" s="22" t="s">
        <v>55</v>
      </c>
      <c r="J2" s="22" t="s">
        <v>56</v>
      </c>
      <c r="K2" s="22" t="s">
        <v>57</v>
      </c>
      <c r="L2" s="22" t="s">
        <v>58</v>
      </c>
      <c r="M2" s="22" t="s">
        <v>59</v>
      </c>
      <c r="N2" s="22" t="s">
        <v>60</v>
      </c>
      <c r="O2" s="22" t="s">
        <v>61</v>
      </c>
      <c r="P2" s="22" t="s">
        <v>62</v>
      </c>
      <c r="Q2" s="22" t="s">
        <v>63</v>
      </c>
      <c r="R2" s="22" t="s">
        <v>64</v>
      </c>
      <c r="S2" s="22" t="s">
        <v>65</v>
      </c>
      <c r="T2" s="22" t="s">
        <v>66</v>
      </c>
    </row>
    <row r="3" customFormat="false" ht="19.5" hidden="false" customHeight="true" outlineLevel="0" collapsed="false">
      <c r="A3" s="23" t="s">
        <v>24</v>
      </c>
      <c r="B3" s="23" t="s">
        <v>67</v>
      </c>
      <c r="C3" s="23" t="s">
        <v>68</v>
      </c>
      <c r="D3" s="23" t="s">
        <v>69</v>
      </c>
      <c r="E3" s="24"/>
      <c r="F3" s="25" t="s">
        <v>70</v>
      </c>
      <c r="G3" s="16" t="s">
        <v>71</v>
      </c>
      <c r="H3" s="16" t="s">
        <v>72</v>
      </c>
      <c r="I3" s="16" t="s">
        <v>73</v>
      </c>
      <c r="J3" s="16" t="s">
        <v>74</v>
      </c>
      <c r="K3" s="16" t="s">
        <v>75</v>
      </c>
      <c r="L3" s="16" t="s">
        <v>76</v>
      </c>
      <c r="M3" s="16" t="s">
        <v>77</v>
      </c>
      <c r="N3" s="16" t="s">
        <v>78</v>
      </c>
      <c r="O3" s="16" t="s">
        <v>79</v>
      </c>
      <c r="P3" s="16" t="s">
        <v>78</v>
      </c>
      <c r="Q3" s="16" t="s">
        <v>78</v>
      </c>
      <c r="R3" s="16" t="s">
        <v>80</v>
      </c>
      <c r="S3" s="23" t="s">
        <v>81</v>
      </c>
      <c r="T3" s="23" t="s">
        <v>82</v>
      </c>
    </row>
    <row r="4" customFormat="false" ht="19.5" hidden="false" customHeight="true" outlineLevel="0" collapsed="false">
      <c r="A4" s="26" t="s">
        <v>24</v>
      </c>
      <c r="B4" s="26" t="s">
        <v>83</v>
      </c>
      <c r="C4" s="26" t="s">
        <v>68</v>
      </c>
      <c r="D4" s="26" t="s">
        <v>84</v>
      </c>
      <c r="E4" s="27"/>
      <c r="F4" s="28" t="s">
        <v>85</v>
      </c>
      <c r="G4" s="29" t="s">
        <v>71</v>
      </c>
      <c r="H4" s="29" t="s">
        <v>72</v>
      </c>
      <c r="I4" s="29" t="s">
        <v>73</v>
      </c>
      <c r="J4" s="29" t="s">
        <v>74</v>
      </c>
      <c r="K4" s="29" t="s">
        <v>75</v>
      </c>
      <c r="L4" s="29" t="s">
        <v>76</v>
      </c>
      <c r="M4" s="29" t="s">
        <v>77</v>
      </c>
      <c r="N4" s="29" t="s">
        <v>78</v>
      </c>
      <c r="O4" s="29" t="s">
        <v>79</v>
      </c>
      <c r="P4" s="29" t="s">
        <v>78</v>
      </c>
      <c r="Q4" s="29" t="s">
        <v>78</v>
      </c>
      <c r="R4" s="29" t="s">
        <v>80</v>
      </c>
      <c r="S4" s="26" t="s">
        <v>81</v>
      </c>
      <c r="T4" s="26" t="s">
        <v>82</v>
      </c>
    </row>
    <row r="5" customFormat="false" ht="19.5" hidden="false" customHeight="true" outlineLevel="0" collapsed="false">
      <c r="A5" s="23" t="s">
        <v>24</v>
      </c>
      <c r="B5" s="23" t="s">
        <v>86</v>
      </c>
      <c r="C5" s="23" t="s">
        <v>68</v>
      </c>
      <c r="D5" s="23" t="s">
        <v>87</v>
      </c>
      <c r="E5" s="30"/>
      <c r="F5" s="31" t="s">
        <v>88</v>
      </c>
      <c r="G5" s="16" t="s">
        <v>71</v>
      </c>
      <c r="H5" s="16" t="s">
        <v>72</v>
      </c>
      <c r="I5" s="16" t="s">
        <v>73</v>
      </c>
      <c r="J5" s="16" t="s">
        <v>74</v>
      </c>
      <c r="K5" s="16" t="s">
        <v>75</v>
      </c>
      <c r="L5" s="16" t="s">
        <v>76</v>
      </c>
      <c r="M5" s="16" t="s">
        <v>77</v>
      </c>
      <c r="N5" s="16" t="s">
        <v>78</v>
      </c>
      <c r="O5" s="16" t="s">
        <v>79</v>
      </c>
      <c r="P5" s="16" t="s">
        <v>78</v>
      </c>
      <c r="Q5" s="16" t="s">
        <v>78</v>
      </c>
      <c r="R5" s="16" t="s">
        <v>80</v>
      </c>
      <c r="S5" s="23" t="s">
        <v>81</v>
      </c>
      <c r="T5" s="23" t="s">
        <v>89</v>
      </c>
    </row>
    <row r="6" customFormat="false" ht="19.5" hidden="false" customHeight="true" outlineLevel="0" collapsed="false">
      <c r="A6" s="26" t="s">
        <v>24</v>
      </c>
      <c r="B6" s="26" t="s">
        <v>90</v>
      </c>
      <c r="C6" s="26" t="s">
        <v>68</v>
      </c>
      <c r="D6" s="26" t="s">
        <v>91</v>
      </c>
      <c r="E6" s="32"/>
      <c r="F6" s="33" t="s">
        <v>92</v>
      </c>
      <c r="G6" s="29" t="s">
        <v>71</v>
      </c>
      <c r="H6" s="29" t="s">
        <v>72</v>
      </c>
      <c r="I6" s="29" t="s">
        <v>73</v>
      </c>
      <c r="J6" s="29" t="s">
        <v>74</v>
      </c>
      <c r="K6" s="29" t="s">
        <v>75</v>
      </c>
      <c r="L6" s="29" t="s">
        <v>76</v>
      </c>
      <c r="M6" s="29" t="s">
        <v>77</v>
      </c>
      <c r="N6" s="29" t="s">
        <v>78</v>
      </c>
      <c r="O6" s="29" t="s">
        <v>79</v>
      </c>
      <c r="P6" s="29" t="s">
        <v>78</v>
      </c>
      <c r="Q6" s="29" t="s">
        <v>78</v>
      </c>
      <c r="R6" s="29" t="s">
        <v>93</v>
      </c>
      <c r="S6" s="26" t="s">
        <v>94</v>
      </c>
      <c r="T6" s="26" t="s">
        <v>95</v>
      </c>
    </row>
    <row r="7" customFormat="false" ht="19.5" hidden="false" customHeight="true" outlineLevel="0" collapsed="false">
      <c r="A7" s="23" t="s">
        <v>24</v>
      </c>
      <c r="B7" s="23" t="s">
        <v>96</v>
      </c>
      <c r="C7" s="23" t="s">
        <v>68</v>
      </c>
      <c r="D7" s="23" t="s">
        <v>97</v>
      </c>
      <c r="E7" s="34"/>
      <c r="F7" s="35" t="s">
        <v>98</v>
      </c>
      <c r="G7" s="16" t="s">
        <v>71</v>
      </c>
      <c r="H7" s="16" t="s">
        <v>72</v>
      </c>
      <c r="I7" s="16" t="s">
        <v>73</v>
      </c>
      <c r="J7" s="16" t="s">
        <v>74</v>
      </c>
      <c r="K7" s="16" t="s">
        <v>75</v>
      </c>
      <c r="L7" s="16" t="s">
        <v>76</v>
      </c>
      <c r="M7" s="16" t="s">
        <v>77</v>
      </c>
      <c r="N7" s="16" t="s">
        <v>78</v>
      </c>
      <c r="O7" s="16" t="s">
        <v>79</v>
      </c>
      <c r="P7" s="16" t="s">
        <v>78</v>
      </c>
      <c r="Q7" s="16" t="s">
        <v>78</v>
      </c>
      <c r="R7" s="16" t="s">
        <v>80</v>
      </c>
      <c r="S7" s="23" t="s">
        <v>81</v>
      </c>
      <c r="T7" s="23" t="s">
        <v>82</v>
      </c>
    </row>
    <row r="8" customFormat="false" ht="19.5" hidden="false" customHeight="true" outlineLevel="0" collapsed="false">
      <c r="A8" s="26" t="s">
        <v>24</v>
      </c>
      <c r="B8" s="26" t="s">
        <v>99</v>
      </c>
      <c r="C8" s="26" t="s">
        <v>68</v>
      </c>
      <c r="D8" s="26" t="s">
        <v>100</v>
      </c>
      <c r="E8" s="16"/>
      <c r="F8" s="36" t="s">
        <v>101</v>
      </c>
      <c r="G8" s="29" t="s">
        <v>71</v>
      </c>
      <c r="H8" s="29" t="s">
        <v>72</v>
      </c>
      <c r="I8" s="29" t="s">
        <v>73</v>
      </c>
      <c r="J8" s="29" t="s">
        <v>74</v>
      </c>
      <c r="K8" s="29" t="s">
        <v>75</v>
      </c>
      <c r="L8" s="29" t="s">
        <v>76</v>
      </c>
      <c r="M8" s="29" t="s">
        <v>77</v>
      </c>
      <c r="N8" s="29" t="s">
        <v>78</v>
      </c>
      <c r="O8" s="29" t="s">
        <v>79</v>
      </c>
      <c r="P8" s="29" t="s">
        <v>78</v>
      </c>
      <c r="Q8" s="29" t="s">
        <v>78</v>
      </c>
      <c r="R8" s="29" t="s">
        <v>80</v>
      </c>
      <c r="S8" s="26" t="s">
        <v>81</v>
      </c>
      <c r="T8" s="26" t="s">
        <v>82</v>
      </c>
    </row>
    <row r="9" customFormat="false" ht="19.5" hidden="false" customHeight="true" outlineLevel="0" collapsed="false">
      <c r="A9" s="23" t="s">
        <v>25</v>
      </c>
      <c r="B9" s="23" t="s">
        <v>102</v>
      </c>
      <c r="C9" s="23" t="s">
        <v>103</v>
      </c>
      <c r="D9" s="23" t="s">
        <v>104</v>
      </c>
      <c r="E9" s="32"/>
      <c r="F9" s="33" t="s">
        <v>92</v>
      </c>
      <c r="G9" s="16" t="s">
        <v>71</v>
      </c>
      <c r="H9" s="16" t="s">
        <v>72</v>
      </c>
      <c r="I9" s="16" t="s">
        <v>73</v>
      </c>
      <c r="J9" s="16" t="s">
        <v>74</v>
      </c>
      <c r="K9" s="16" t="s">
        <v>75</v>
      </c>
      <c r="L9" s="16" t="s">
        <v>105</v>
      </c>
      <c r="M9" s="16" t="s">
        <v>106</v>
      </c>
      <c r="N9" s="16" t="s">
        <v>78</v>
      </c>
      <c r="O9" s="16" t="s">
        <v>79</v>
      </c>
      <c r="P9" s="16" t="s">
        <v>78</v>
      </c>
      <c r="Q9" s="16" t="s">
        <v>78</v>
      </c>
      <c r="R9" s="16" t="s">
        <v>93</v>
      </c>
      <c r="S9" s="23" t="s">
        <v>107</v>
      </c>
      <c r="T9" s="23" t="s">
        <v>108</v>
      </c>
    </row>
    <row r="10" customFormat="false" ht="19.5" hidden="false" customHeight="true" outlineLevel="0" collapsed="false">
      <c r="A10" s="26" t="s">
        <v>25</v>
      </c>
      <c r="B10" s="26" t="s">
        <v>109</v>
      </c>
      <c r="C10" s="26" t="s">
        <v>103</v>
      </c>
      <c r="D10" s="26" t="s">
        <v>110</v>
      </c>
      <c r="E10" s="32"/>
      <c r="F10" s="33" t="s">
        <v>92</v>
      </c>
      <c r="G10" s="29" t="s">
        <v>71</v>
      </c>
      <c r="H10" s="29" t="s">
        <v>72</v>
      </c>
      <c r="I10" s="29" t="s">
        <v>73</v>
      </c>
      <c r="J10" s="29" t="s">
        <v>74</v>
      </c>
      <c r="K10" s="29" t="s">
        <v>75</v>
      </c>
      <c r="L10" s="29" t="s">
        <v>105</v>
      </c>
      <c r="M10" s="29" t="s">
        <v>106</v>
      </c>
      <c r="N10" s="29" t="s">
        <v>78</v>
      </c>
      <c r="O10" s="29" t="s">
        <v>79</v>
      </c>
      <c r="P10" s="29" t="s">
        <v>78</v>
      </c>
      <c r="Q10" s="29" t="s">
        <v>78</v>
      </c>
      <c r="R10" s="29" t="s">
        <v>93</v>
      </c>
      <c r="S10" s="26" t="s">
        <v>107</v>
      </c>
      <c r="T10" s="26" t="s">
        <v>111</v>
      </c>
    </row>
    <row r="11" customFormat="false" ht="19.5" hidden="false" customHeight="true" outlineLevel="0" collapsed="false">
      <c r="A11" s="23" t="s">
        <v>25</v>
      </c>
      <c r="B11" s="23" t="s">
        <v>112</v>
      </c>
      <c r="C11" s="23" t="s">
        <v>103</v>
      </c>
      <c r="D11" s="23" t="s">
        <v>113</v>
      </c>
      <c r="E11" s="37"/>
      <c r="F11" s="38" t="s">
        <v>114</v>
      </c>
      <c r="G11" s="16" t="s">
        <v>71</v>
      </c>
      <c r="H11" s="16" t="s">
        <v>72</v>
      </c>
      <c r="I11" s="16" t="s">
        <v>73</v>
      </c>
      <c r="J11" s="16" t="s">
        <v>74</v>
      </c>
      <c r="K11" s="16" t="s">
        <v>75</v>
      </c>
      <c r="L11" s="16" t="s">
        <v>105</v>
      </c>
      <c r="M11" s="16" t="s">
        <v>106</v>
      </c>
      <c r="N11" s="16" t="s">
        <v>78</v>
      </c>
      <c r="O11" s="16" t="s">
        <v>79</v>
      </c>
      <c r="P11" s="16" t="s">
        <v>78</v>
      </c>
      <c r="Q11" s="16" t="s">
        <v>78</v>
      </c>
      <c r="R11" s="16" t="s">
        <v>80</v>
      </c>
      <c r="S11" s="23" t="s">
        <v>115</v>
      </c>
      <c r="T11" s="23" t="s">
        <v>116</v>
      </c>
    </row>
    <row r="12" customFormat="false" ht="19.5" hidden="false" customHeight="true" outlineLevel="0" collapsed="false">
      <c r="A12" s="26" t="s">
        <v>25</v>
      </c>
      <c r="B12" s="26" t="s">
        <v>117</v>
      </c>
      <c r="C12" s="26" t="s">
        <v>103</v>
      </c>
      <c r="D12" s="26" t="s">
        <v>118</v>
      </c>
      <c r="E12" s="32"/>
      <c r="F12" s="33" t="s">
        <v>92</v>
      </c>
      <c r="G12" s="29" t="s">
        <v>71</v>
      </c>
      <c r="H12" s="29" t="s">
        <v>72</v>
      </c>
      <c r="I12" s="29" t="s">
        <v>73</v>
      </c>
      <c r="J12" s="29" t="s">
        <v>74</v>
      </c>
      <c r="K12" s="29" t="s">
        <v>75</v>
      </c>
      <c r="L12" s="29" t="s">
        <v>105</v>
      </c>
      <c r="M12" s="29" t="s">
        <v>106</v>
      </c>
      <c r="N12" s="29" t="s">
        <v>78</v>
      </c>
      <c r="O12" s="29" t="s">
        <v>79</v>
      </c>
      <c r="P12" s="29" t="s">
        <v>78</v>
      </c>
      <c r="Q12" s="29" t="s">
        <v>78</v>
      </c>
      <c r="R12" s="29" t="s">
        <v>93</v>
      </c>
      <c r="S12" s="26" t="s">
        <v>107</v>
      </c>
      <c r="T12" s="26" t="s">
        <v>119</v>
      </c>
    </row>
    <row r="13" customFormat="false" ht="19.5" hidden="false" customHeight="true" outlineLevel="0" collapsed="false">
      <c r="A13" s="23" t="s">
        <v>25</v>
      </c>
      <c r="B13" s="23" t="s">
        <v>120</v>
      </c>
      <c r="C13" s="23" t="s">
        <v>103</v>
      </c>
      <c r="D13" s="23" t="s">
        <v>121</v>
      </c>
      <c r="E13" s="32"/>
      <c r="F13" s="33" t="s">
        <v>92</v>
      </c>
      <c r="G13" s="16" t="s">
        <v>71</v>
      </c>
      <c r="H13" s="16" t="s">
        <v>72</v>
      </c>
      <c r="I13" s="16" t="s">
        <v>73</v>
      </c>
      <c r="J13" s="16" t="s">
        <v>74</v>
      </c>
      <c r="K13" s="16" t="s">
        <v>75</v>
      </c>
      <c r="L13" s="16" t="s">
        <v>105</v>
      </c>
      <c r="M13" s="16" t="s">
        <v>106</v>
      </c>
      <c r="N13" s="16" t="s">
        <v>78</v>
      </c>
      <c r="O13" s="16" t="s">
        <v>79</v>
      </c>
      <c r="P13" s="16" t="s">
        <v>78</v>
      </c>
      <c r="Q13" s="16" t="s">
        <v>78</v>
      </c>
      <c r="R13" s="16" t="s">
        <v>93</v>
      </c>
      <c r="S13" s="23" t="s">
        <v>107</v>
      </c>
      <c r="T13" s="23" t="s">
        <v>122</v>
      </c>
    </row>
    <row r="14" customFormat="false" ht="19.5" hidden="false" customHeight="true" outlineLevel="0" collapsed="false">
      <c r="A14" s="26" t="s">
        <v>25</v>
      </c>
      <c r="B14" s="26" t="s">
        <v>123</v>
      </c>
      <c r="C14" s="26" t="s">
        <v>103</v>
      </c>
      <c r="D14" s="26" t="s">
        <v>124</v>
      </c>
      <c r="E14" s="32"/>
      <c r="F14" s="33" t="s">
        <v>92</v>
      </c>
      <c r="G14" s="29" t="s">
        <v>71</v>
      </c>
      <c r="H14" s="29" t="s">
        <v>72</v>
      </c>
      <c r="I14" s="29" t="s">
        <v>73</v>
      </c>
      <c r="J14" s="29" t="s">
        <v>74</v>
      </c>
      <c r="K14" s="29" t="s">
        <v>75</v>
      </c>
      <c r="L14" s="29" t="s">
        <v>105</v>
      </c>
      <c r="M14" s="29" t="s">
        <v>106</v>
      </c>
      <c r="N14" s="29" t="s">
        <v>78</v>
      </c>
      <c r="O14" s="29" t="s">
        <v>79</v>
      </c>
      <c r="P14" s="29" t="s">
        <v>78</v>
      </c>
      <c r="Q14" s="29" t="s">
        <v>78</v>
      </c>
      <c r="R14" s="29" t="s">
        <v>93</v>
      </c>
      <c r="S14" s="26" t="s">
        <v>107</v>
      </c>
      <c r="T14" s="26" t="s">
        <v>122</v>
      </c>
    </row>
    <row r="15" customFormat="false" ht="19.5" hidden="false" customHeight="true" outlineLevel="0" collapsed="false">
      <c r="A15" s="23" t="s">
        <v>26</v>
      </c>
      <c r="B15" s="23" t="s">
        <v>125</v>
      </c>
      <c r="C15" s="23" t="s">
        <v>126</v>
      </c>
      <c r="D15" s="23" t="s">
        <v>127</v>
      </c>
      <c r="E15" s="32"/>
      <c r="F15" s="33" t="s">
        <v>92</v>
      </c>
      <c r="G15" s="16" t="s">
        <v>71</v>
      </c>
      <c r="H15" s="16" t="s">
        <v>128</v>
      </c>
      <c r="I15" s="16" t="s">
        <v>73</v>
      </c>
      <c r="J15" s="16" t="s">
        <v>74</v>
      </c>
      <c r="K15" s="16" t="s">
        <v>129</v>
      </c>
      <c r="L15" s="16" t="s">
        <v>130</v>
      </c>
      <c r="M15" s="16" t="s">
        <v>131</v>
      </c>
      <c r="N15" s="16" t="s">
        <v>78</v>
      </c>
      <c r="O15" s="16" t="s">
        <v>78</v>
      </c>
      <c r="P15" s="16" t="s">
        <v>78</v>
      </c>
      <c r="Q15" s="16" t="s">
        <v>78</v>
      </c>
      <c r="R15" s="16" t="s">
        <v>93</v>
      </c>
      <c r="S15" s="23" t="s">
        <v>132</v>
      </c>
      <c r="T15" s="23" t="s">
        <v>133</v>
      </c>
    </row>
    <row r="16" customFormat="false" ht="19.5" hidden="false" customHeight="true" outlineLevel="0" collapsed="false">
      <c r="A16" s="26" t="s">
        <v>26</v>
      </c>
      <c r="B16" s="26" t="s">
        <v>134</v>
      </c>
      <c r="C16" s="26" t="s">
        <v>126</v>
      </c>
      <c r="D16" s="26" t="s">
        <v>135</v>
      </c>
      <c r="E16" s="39"/>
      <c r="F16" s="40" t="s">
        <v>136</v>
      </c>
      <c r="G16" s="29" t="s">
        <v>71</v>
      </c>
      <c r="H16" s="29" t="s">
        <v>128</v>
      </c>
      <c r="I16" s="29" t="s">
        <v>73</v>
      </c>
      <c r="J16" s="29" t="s">
        <v>74</v>
      </c>
      <c r="K16" s="29" t="s">
        <v>129</v>
      </c>
      <c r="L16" s="29" t="s">
        <v>130</v>
      </c>
      <c r="M16" s="29" t="s">
        <v>131</v>
      </c>
      <c r="N16" s="29" t="s">
        <v>78</v>
      </c>
      <c r="O16" s="29" t="s">
        <v>78</v>
      </c>
      <c r="P16" s="29" t="s">
        <v>78</v>
      </c>
      <c r="Q16" s="29" t="s">
        <v>78</v>
      </c>
      <c r="R16" s="29" t="s">
        <v>80</v>
      </c>
      <c r="S16" s="26" t="s">
        <v>137</v>
      </c>
      <c r="T16" s="26" t="s">
        <v>138</v>
      </c>
    </row>
    <row r="17" customFormat="false" ht="19.5" hidden="false" customHeight="true" outlineLevel="0" collapsed="false">
      <c r="A17" s="23" t="s">
        <v>26</v>
      </c>
      <c r="B17" s="23" t="s">
        <v>139</v>
      </c>
      <c r="C17" s="23" t="s">
        <v>126</v>
      </c>
      <c r="D17" s="23" t="s">
        <v>84</v>
      </c>
      <c r="E17" s="41"/>
      <c r="F17" s="42" t="s">
        <v>140</v>
      </c>
      <c r="G17" s="16" t="s">
        <v>71</v>
      </c>
      <c r="H17" s="16" t="s">
        <v>128</v>
      </c>
      <c r="I17" s="16" t="s">
        <v>73</v>
      </c>
      <c r="J17" s="16" t="s">
        <v>74</v>
      </c>
      <c r="K17" s="16" t="s">
        <v>129</v>
      </c>
      <c r="L17" s="16" t="s">
        <v>130</v>
      </c>
      <c r="M17" s="16" t="s">
        <v>131</v>
      </c>
      <c r="N17" s="16" t="s">
        <v>78</v>
      </c>
      <c r="O17" s="16" t="s">
        <v>78</v>
      </c>
      <c r="P17" s="16" t="s">
        <v>78</v>
      </c>
      <c r="Q17" s="16" t="s">
        <v>78</v>
      </c>
      <c r="R17" s="16" t="s">
        <v>80</v>
      </c>
      <c r="S17" s="23" t="s">
        <v>137</v>
      </c>
      <c r="T17" s="23" t="s">
        <v>138</v>
      </c>
    </row>
    <row r="18" customFormat="false" ht="19.5" hidden="false" customHeight="true" outlineLevel="0" collapsed="false">
      <c r="A18" s="26" t="s">
        <v>26</v>
      </c>
      <c r="B18" s="26" t="s">
        <v>141</v>
      </c>
      <c r="C18" s="26" t="s">
        <v>126</v>
      </c>
      <c r="D18" s="26" t="s">
        <v>142</v>
      </c>
      <c r="E18" s="32"/>
      <c r="F18" s="33" t="s">
        <v>92</v>
      </c>
      <c r="G18" s="29" t="s">
        <v>71</v>
      </c>
      <c r="H18" s="29" t="s">
        <v>128</v>
      </c>
      <c r="I18" s="29" t="s">
        <v>73</v>
      </c>
      <c r="J18" s="29" t="s">
        <v>74</v>
      </c>
      <c r="K18" s="29" t="s">
        <v>129</v>
      </c>
      <c r="L18" s="29" t="s">
        <v>130</v>
      </c>
      <c r="M18" s="29" t="s">
        <v>131</v>
      </c>
      <c r="N18" s="29" t="s">
        <v>78</v>
      </c>
      <c r="O18" s="29" t="s">
        <v>78</v>
      </c>
      <c r="P18" s="29" t="s">
        <v>78</v>
      </c>
      <c r="Q18" s="29" t="s">
        <v>78</v>
      </c>
      <c r="R18" s="29" t="s">
        <v>93</v>
      </c>
      <c r="S18" s="26" t="s">
        <v>132</v>
      </c>
      <c r="T18" s="26" t="s">
        <v>133</v>
      </c>
    </row>
    <row r="19" customFormat="false" ht="19.5" hidden="false" customHeight="true" outlineLevel="0" collapsed="false">
      <c r="A19" s="23" t="s">
        <v>26</v>
      </c>
      <c r="B19" s="23" t="s">
        <v>143</v>
      </c>
      <c r="C19" s="23" t="s">
        <v>126</v>
      </c>
      <c r="D19" s="23" t="s">
        <v>144</v>
      </c>
      <c r="E19" s="24"/>
      <c r="F19" s="25" t="s">
        <v>70</v>
      </c>
      <c r="G19" s="16" t="s">
        <v>71</v>
      </c>
      <c r="H19" s="16" t="s">
        <v>128</v>
      </c>
      <c r="I19" s="16" t="s">
        <v>73</v>
      </c>
      <c r="J19" s="16" t="s">
        <v>74</v>
      </c>
      <c r="K19" s="16" t="s">
        <v>129</v>
      </c>
      <c r="L19" s="16" t="s">
        <v>130</v>
      </c>
      <c r="M19" s="16" t="s">
        <v>131</v>
      </c>
      <c r="N19" s="16" t="s">
        <v>78</v>
      </c>
      <c r="O19" s="16" t="s">
        <v>78</v>
      </c>
      <c r="P19" s="16" t="s">
        <v>78</v>
      </c>
      <c r="Q19" s="16" t="s">
        <v>78</v>
      </c>
      <c r="R19" s="16" t="s">
        <v>80</v>
      </c>
      <c r="S19" s="23" t="s">
        <v>137</v>
      </c>
      <c r="T19" s="23" t="s">
        <v>138</v>
      </c>
    </row>
    <row r="20" customFormat="false" ht="19.5" hidden="false" customHeight="true" outlineLevel="0" collapsed="false">
      <c r="A20" s="26" t="s">
        <v>26</v>
      </c>
      <c r="B20" s="26" t="s">
        <v>145</v>
      </c>
      <c r="C20" s="26" t="s">
        <v>126</v>
      </c>
      <c r="D20" s="26" t="s">
        <v>91</v>
      </c>
      <c r="E20" s="32"/>
      <c r="F20" s="33" t="s">
        <v>92</v>
      </c>
      <c r="G20" s="29" t="s">
        <v>71</v>
      </c>
      <c r="H20" s="29" t="s">
        <v>128</v>
      </c>
      <c r="I20" s="29" t="s">
        <v>73</v>
      </c>
      <c r="J20" s="29" t="s">
        <v>74</v>
      </c>
      <c r="K20" s="29" t="s">
        <v>129</v>
      </c>
      <c r="L20" s="29" t="s">
        <v>130</v>
      </c>
      <c r="M20" s="29" t="s">
        <v>131</v>
      </c>
      <c r="N20" s="29" t="s">
        <v>78</v>
      </c>
      <c r="O20" s="29" t="s">
        <v>78</v>
      </c>
      <c r="P20" s="29" t="s">
        <v>78</v>
      </c>
      <c r="Q20" s="29" t="s">
        <v>78</v>
      </c>
      <c r="R20" s="29" t="s">
        <v>93</v>
      </c>
      <c r="S20" s="26" t="s">
        <v>132</v>
      </c>
      <c r="T20" s="26" t="s">
        <v>133</v>
      </c>
    </row>
    <row r="21" customFormat="false" ht="19.5" hidden="false" customHeight="true" outlineLevel="0" collapsed="false">
      <c r="A21" s="23" t="s">
        <v>26</v>
      </c>
      <c r="B21" s="23" t="s">
        <v>146</v>
      </c>
      <c r="C21" s="23" t="s">
        <v>126</v>
      </c>
      <c r="D21" s="23" t="s">
        <v>147</v>
      </c>
      <c r="E21" s="43"/>
      <c r="F21" s="44" t="s">
        <v>148</v>
      </c>
      <c r="G21" s="16" t="s">
        <v>71</v>
      </c>
      <c r="H21" s="16" t="s">
        <v>128</v>
      </c>
      <c r="I21" s="16" t="s">
        <v>73</v>
      </c>
      <c r="J21" s="16" t="s">
        <v>74</v>
      </c>
      <c r="K21" s="16" t="s">
        <v>129</v>
      </c>
      <c r="L21" s="16" t="s">
        <v>130</v>
      </c>
      <c r="M21" s="16" t="s">
        <v>131</v>
      </c>
      <c r="N21" s="16" t="s">
        <v>78</v>
      </c>
      <c r="O21" s="16" t="s">
        <v>78</v>
      </c>
      <c r="P21" s="16" t="s">
        <v>78</v>
      </c>
      <c r="Q21" s="16" t="s">
        <v>78</v>
      </c>
      <c r="R21" s="16" t="s">
        <v>80</v>
      </c>
      <c r="S21" s="23" t="s">
        <v>137</v>
      </c>
      <c r="T21" s="23" t="s">
        <v>138</v>
      </c>
    </row>
    <row r="22" customFormat="false" ht="19.5" hidden="false" customHeight="true" outlineLevel="0" collapsed="false">
      <c r="A22" s="26" t="s">
        <v>26</v>
      </c>
      <c r="B22" s="26" t="s">
        <v>149</v>
      </c>
      <c r="C22" s="26" t="s">
        <v>126</v>
      </c>
      <c r="D22" s="26" t="s">
        <v>97</v>
      </c>
      <c r="E22" s="34"/>
      <c r="F22" s="45" t="s">
        <v>150</v>
      </c>
      <c r="G22" s="29" t="s">
        <v>71</v>
      </c>
      <c r="H22" s="29" t="s">
        <v>128</v>
      </c>
      <c r="I22" s="29" t="s">
        <v>73</v>
      </c>
      <c r="J22" s="29" t="s">
        <v>74</v>
      </c>
      <c r="K22" s="29" t="s">
        <v>129</v>
      </c>
      <c r="L22" s="29" t="s">
        <v>130</v>
      </c>
      <c r="M22" s="29" t="s">
        <v>131</v>
      </c>
      <c r="N22" s="29" t="s">
        <v>78</v>
      </c>
      <c r="O22" s="29" t="s">
        <v>78</v>
      </c>
      <c r="P22" s="29" t="s">
        <v>78</v>
      </c>
      <c r="Q22" s="29" t="s">
        <v>78</v>
      </c>
      <c r="R22" s="29" t="s">
        <v>80</v>
      </c>
      <c r="S22" s="26" t="s">
        <v>137</v>
      </c>
      <c r="T22" s="26" t="s">
        <v>138</v>
      </c>
    </row>
    <row r="23" customFormat="false" ht="19.5" hidden="false" customHeight="true" outlineLevel="0" collapsed="false">
      <c r="A23" s="23" t="s">
        <v>26</v>
      </c>
      <c r="B23" s="23" t="s">
        <v>151</v>
      </c>
      <c r="C23" s="23" t="s">
        <v>126</v>
      </c>
      <c r="D23" s="23" t="s">
        <v>152</v>
      </c>
      <c r="E23" s="46"/>
      <c r="F23" s="47" t="s">
        <v>153</v>
      </c>
      <c r="G23" s="16" t="s">
        <v>71</v>
      </c>
      <c r="H23" s="16" t="s">
        <v>128</v>
      </c>
      <c r="I23" s="16" t="s">
        <v>73</v>
      </c>
      <c r="J23" s="16" t="s">
        <v>74</v>
      </c>
      <c r="K23" s="16" t="s">
        <v>129</v>
      </c>
      <c r="L23" s="16" t="s">
        <v>130</v>
      </c>
      <c r="M23" s="16" t="s">
        <v>131</v>
      </c>
      <c r="N23" s="16" t="s">
        <v>78</v>
      </c>
      <c r="O23" s="16" t="s">
        <v>78</v>
      </c>
      <c r="P23" s="16" t="s">
        <v>78</v>
      </c>
      <c r="Q23" s="16" t="s">
        <v>78</v>
      </c>
      <c r="R23" s="16" t="s">
        <v>80</v>
      </c>
      <c r="S23" s="23" t="s">
        <v>137</v>
      </c>
      <c r="T23" s="23" t="s">
        <v>138</v>
      </c>
    </row>
    <row r="24" customFormat="false" ht="19.5" hidden="false" customHeight="true" outlineLevel="0" collapsed="false">
      <c r="A24" s="26" t="s">
        <v>26</v>
      </c>
      <c r="B24" s="26" t="s">
        <v>154</v>
      </c>
      <c r="C24" s="26" t="s">
        <v>126</v>
      </c>
      <c r="D24" s="26" t="s">
        <v>155</v>
      </c>
      <c r="E24" s="48"/>
      <c r="F24" s="49" t="s">
        <v>156</v>
      </c>
      <c r="G24" s="29" t="s">
        <v>71</v>
      </c>
      <c r="H24" s="29" t="s">
        <v>128</v>
      </c>
      <c r="I24" s="29" t="s">
        <v>73</v>
      </c>
      <c r="J24" s="29" t="s">
        <v>74</v>
      </c>
      <c r="K24" s="29" t="s">
        <v>129</v>
      </c>
      <c r="L24" s="29" t="s">
        <v>130</v>
      </c>
      <c r="M24" s="29" t="s">
        <v>131</v>
      </c>
      <c r="N24" s="29" t="s">
        <v>78</v>
      </c>
      <c r="O24" s="29" t="s">
        <v>78</v>
      </c>
      <c r="P24" s="29" t="s">
        <v>78</v>
      </c>
      <c r="Q24" s="29" t="s">
        <v>78</v>
      </c>
      <c r="R24" s="29" t="s">
        <v>80</v>
      </c>
      <c r="S24" s="26" t="s">
        <v>137</v>
      </c>
      <c r="T24" s="26" t="s">
        <v>138</v>
      </c>
    </row>
    <row r="25" customFormat="false" ht="19.5" hidden="false" customHeight="true" outlineLevel="0" collapsed="false">
      <c r="A25" s="23" t="s">
        <v>26</v>
      </c>
      <c r="B25" s="23" t="s">
        <v>157</v>
      </c>
      <c r="C25" s="23" t="s">
        <v>126</v>
      </c>
      <c r="D25" s="23" t="s">
        <v>100</v>
      </c>
      <c r="E25" s="16"/>
      <c r="F25" s="36" t="s">
        <v>101</v>
      </c>
      <c r="G25" s="16" t="s">
        <v>71</v>
      </c>
      <c r="H25" s="16" t="s">
        <v>128</v>
      </c>
      <c r="I25" s="16" t="s">
        <v>73</v>
      </c>
      <c r="J25" s="16" t="s">
        <v>74</v>
      </c>
      <c r="K25" s="16" t="s">
        <v>129</v>
      </c>
      <c r="L25" s="16" t="s">
        <v>130</v>
      </c>
      <c r="M25" s="16" t="s">
        <v>131</v>
      </c>
      <c r="N25" s="16" t="s">
        <v>78</v>
      </c>
      <c r="O25" s="16" t="s">
        <v>78</v>
      </c>
      <c r="P25" s="16" t="s">
        <v>78</v>
      </c>
      <c r="Q25" s="16" t="s">
        <v>78</v>
      </c>
      <c r="R25" s="16" t="s">
        <v>80</v>
      </c>
      <c r="S25" s="23" t="s">
        <v>137</v>
      </c>
      <c r="T25" s="23" t="s">
        <v>138</v>
      </c>
    </row>
    <row r="26" customFormat="false" ht="19.5" hidden="false" customHeight="true" outlineLevel="0" collapsed="false">
      <c r="A26" s="26" t="s">
        <v>26</v>
      </c>
      <c r="B26" s="26" t="s">
        <v>158</v>
      </c>
      <c r="C26" s="26" t="s">
        <v>126</v>
      </c>
      <c r="D26" s="26" t="s">
        <v>159</v>
      </c>
      <c r="E26" s="32"/>
      <c r="F26" s="33" t="s">
        <v>92</v>
      </c>
      <c r="G26" s="29" t="s">
        <v>71</v>
      </c>
      <c r="H26" s="29" t="s">
        <v>128</v>
      </c>
      <c r="I26" s="29" t="s">
        <v>73</v>
      </c>
      <c r="J26" s="29" t="s">
        <v>74</v>
      </c>
      <c r="K26" s="29" t="s">
        <v>129</v>
      </c>
      <c r="L26" s="29" t="s">
        <v>130</v>
      </c>
      <c r="M26" s="29" t="s">
        <v>131</v>
      </c>
      <c r="N26" s="29" t="s">
        <v>78</v>
      </c>
      <c r="O26" s="29" t="s">
        <v>78</v>
      </c>
      <c r="P26" s="29" t="s">
        <v>78</v>
      </c>
      <c r="Q26" s="29" t="s">
        <v>78</v>
      </c>
      <c r="R26" s="29" t="s">
        <v>93</v>
      </c>
      <c r="S26" s="26" t="s">
        <v>132</v>
      </c>
      <c r="T26" s="26" t="s">
        <v>160</v>
      </c>
    </row>
    <row r="27" customFormat="false" ht="19.5" hidden="false" customHeight="true" outlineLevel="0" collapsed="false">
      <c r="A27" s="23" t="s">
        <v>27</v>
      </c>
      <c r="B27" s="23" t="s">
        <v>161</v>
      </c>
      <c r="C27" s="23" t="s">
        <v>162</v>
      </c>
      <c r="D27" s="23" t="s">
        <v>135</v>
      </c>
      <c r="E27" s="39"/>
      <c r="F27" s="40" t="s">
        <v>136</v>
      </c>
      <c r="G27" s="16" t="s">
        <v>71</v>
      </c>
      <c r="H27" s="16" t="s">
        <v>128</v>
      </c>
      <c r="I27" s="16" t="s">
        <v>73</v>
      </c>
      <c r="J27" s="16" t="s">
        <v>74</v>
      </c>
      <c r="K27" s="16" t="s">
        <v>129</v>
      </c>
      <c r="L27" s="16" t="s">
        <v>130</v>
      </c>
      <c r="M27" s="16" t="s">
        <v>131</v>
      </c>
      <c r="N27" s="16" t="s">
        <v>78</v>
      </c>
      <c r="O27" s="16" t="s">
        <v>78</v>
      </c>
      <c r="P27" s="16" t="s">
        <v>78</v>
      </c>
      <c r="Q27" s="16" t="s">
        <v>78</v>
      </c>
      <c r="R27" s="16" t="s">
        <v>80</v>
      </c>
      <c r="S27" s="23" t="s">
        <v>163</v>
      </c>
      <c r="T27" s="23" t="s">
        <v>164</v>
      </c>
    </row>
    <row r="28" customFormat="false" ht="19.5" hidden="false" customHeight="true" outlineLevel="0" collapsed="false">
      <c r="A28" s="26" t="s">
        <v>27</v>
      </c>
      <c r="B28" s="26" t="s">
        <v>165</v>
      </c>
      <c r="C28" s="26" t="s">
        <v>162</v>
      </c>
      <c r="D28" s="26" t="s">
        <v>84</v>
      </c>
      <c r="E28" s="50"/>
      <c r="F28" s="51" t="s">
        <v>166</v>
      </c>
      <c r="G28" s="29" t="s">
        <v>71</v>
      </c>
      <c r="H28" s="29" t="s">
        <v>128</v>
      </c>
      <c r="I28" s="29" t="s">
        <v>73</v>
      </c>
      <c r="J28" s="29" t="s">
        <v>74</v>
      </c>
      <c r="K28" s="29" t="s">
        <v>129</v>
      </c>
      <c r="L28" s="29" t="s">
        <v>130</v>
      </c>
      <c r="M28" s="29" t="s">
        <v>131</v>
      </c>
      <c r="N28" s="29" t="s">
        <v>78</v>
      </c>
      <c r="O28" s="29" t="s">
        <v>78</v>
      </c>
      <c r="P28" s="29" t="s">
        <v>78</v>
      </c>
      <c r="Q28" s="29" t="s">
        <v>78</v>
      </c>
      <c r="R28" s="29" t="s">
        <v>80</v>
      </c>
      <c r="S28" s="26" t="s">
        <v>163</v>
      </c>
      <c r="T28" s="26" t="s">
        <v>164</v>
      </c>
    </row>
    <row r="29" customFormat="false" ht="19.5" hidden="false" customHeight="true" outlineLevel="0" collapsed="false">
      <c r="A29" s="23" t="s">
        <v>27</v>
      </c>
      <c r="B29" s="23" t="s">
        <v>167</v>
      </c>
      <c r="C29" s="23" t="s">
        <v>162</v>
      </c>
      <c r="D29" s="23" t="s">
        <v>91</v>
      </c>
      <c r="E29" s="52"/>
      <c r="F29" s="53" t="s">
        <v>168</v>
      </c>
      <c r="G29" s="16" t="s">
        <v>71</v>
      </c>
      <c r="H29" s="16" t="s">
        <v>128</v>
      </c>
      <c r="I29" s="16" t="s">
        <v>73</v>
      </c>
      <c r="J29" s="16" t="s">
        <v>74</v>
      </c>
      <c r="K29" s="16" t="s">
        <v>129</v>
      </c>
      <c r="L29" s="16" t="s">
        <v>130</v>
      </c>
      <c r="M29" s="16" t="s">
        <v>131</v>
      </c>
      <c r="N29" s="16" t="s">
        <v>78</v>
      </c>
      <c r="O29" s="16" t="s">
        <v>78</v>
      </c>
      <c r="P29" s="16" t="s">
        <v>78</v>
      </c>
      <c r="Q29" s="16" t="s">
        <v>78</v>
      </c>
      <c r="R29" s="16" t="s">
        <v>80</v>
      </c>
      <c r="S29" s="23" t="s">
        <v>163</v>
      </c>
      <c r="T29" s="23" t="s">
        <v>164</v>
      </c>
    </row>
    <row r="30" customFormat="false" ht="19.5" hidden="false" customHeight="true" outlineLevel="0" collapsed="false">
      <c r="A30" s="26" t="s">
        <v>27</v>
      </c>
      <c r="B30" s="26" t="s">
        <v>169</v>
      </c>
      <c r="C30" s="26" t="s">
        <v>162</v>
      </c>
      <c r="D30" s="26" t="s">
        <v>170</v>
      </c>
      <c r="E30" s="54"/>
      <c r="F30" s="55" t="s">
        <v>171</v>
      </c>
      <c r="G30" s="29" t="s">
        <v>71</v>
      </c>
      <c r="H30" s="29" t="s">
        <v>128</v>
      </c>
      <c r="I30" s="29" t="s">
        <v>73</v>
      </c>
      <c r="J30" s="29" t="s">
        <v>74</v>
      </c>
      <c r="K30" s="29" t="s">
        <v>129</v>
      </c>
      <c r="L30" s="29" t="s">
        <v>130</v>
      </c>
      <c r="M30" s="29" t="s">
        <v>131</v>
      </c>
      <c r="N30" s="29" t="s">
        <v>78</v>
      </c>
      <c r="O30" s="29" t="s">
        <v>78</v>
      </c>
      <c r="P30" s="29" t="s">
        <v>78</v>
      </c>
      <c r="Q30" s="29" t="s">
        <v>78</v>
      </c>
      <c r="R30" s="29" t="s">
        <v>80</v>
      </c>
      <c r="S30" s="26" t="s">
        <v>163</v>
      </c>
      <c r="T30" s="26" t="s">
        <v>164</v>
      </c>
    </row>
    <row r="31" customFormat="false" ht="19.5" hidden="false" customHeight="true" outlineLevel="0" collapsed="false">
      <c r="A31" s="23" t="s">
        <v>27</v>
      </c>
      <c r="B31" s="23" t="s">
        <v>172</v>
      </c>
      <c r="C31" s="23" t="s">
        <v>162</v>
      </c>
      <c r="D31" s="23" t="s">
        <v>97</v>
      </c>
      <c r="E31" s="56"/>
      <c r="F31" s="57" t="s">
        <v>173</v>
      </c>
      <c r="G31" s="16" t="s">
        <v>71</v>
      </c>
      <c r="H31" s="16" t="s">
        <v>128</v>
      </c>
      <c r="I31" s="16" t="s">
        <v>73</v>
      </c>
      <c r="J31" s="16" t="s">
        <v>74</v>
      </c>
      <c r="K31" s="16" t="s">
        <v>129</v>
      </c>
      <c r="L31" s="16" t="s">
        <v>130</v>
      </c>
      <c r="M31" s="16" t="s">
        <v>131</v>
      </c>
      <c r="N31" s="16" t="s">
        <v>78</v>
      </c>
      <c r="O31" s="16" t="s">
        <v>78</v>
      </c>
      <c r="P31" s="16" t="s">
        <v>78</v>
      </c>
      <c r="Q31" s="16" t="s">
        <v>78</v>
      </c>
      <c r="R31" s="16" t="s">
        <v>80</v>
      </c>
      <c r="S31" s="23" t="s">
        <v>163</v>
      </c>
      <c r="T31" s="23" t="s">
        <v>164</v>
      </c>
    </row>
    <row r="32" customFormat="false" ht="19.5" hidden="false" customHeight="true" outlineLevel="0" collapsed="false">
      <c r="A32" s="26" t="s">
        <v>27</v>
      </c>
      <c r="B32" s="26" t="s">
        <v>174</v>
      </c>
      <c r="C32" s="26" t="s">
        <v>162</v>
      </c>
      <c r="D32" s="26" t="s">
        <v>175</v>
      </c>
      <c r="E32" s="46"/>
      <c r="F32" s="47" t="s">
        <v>176</v>
      </c>
      <c r="G32" s="29" t="s">
        <v>71</v>
      </c>
      <c r="H32" s="29" t="s">
        <v>128</v>
      </c>
      <c r="I32" s="29" t="s">
        <v>73</v>
      </c>
      <c r="J32" s="29" t="s">
        <v>74</v>
      </c>
      <c r="K32" s="29" t="s">
        <v>129</v>
      </c>
      <c r="L32" s="29" t="s">
        <v>130</v>
      </c>
      <c r="M32" s="29" t="s">
        <v>131</v>
      </c>
      <c r="N32" s="29" t="s">
        <v>78</v>
      </c>
      <c r="O32" s="29" t="s">
        <v>78</v>
      </c>
      <c r="P32" s="29" t="s">
        <v>78</v>
      </c>
      <c r="Q32" s="29" t="s">
        <v>78</v>
      </c>
      <c r="R32" s="29" t="s">
        <v>80</v>
      </c>
      <c r="S32" s="26" t="s">
        <v>163</v>
      </c>
      <c r="T32" s="26" t="s">
        <v>164</v>
      </c>
    </row>
    <row r="33" customFormat="false" ht="19.5" hidden="false" customHeight="true" outlineLevel="0" collapsed="false">
      <c r="A33" s="23" t="s">
        <v>27</v>
      </c>
      <c r="B33" s="23" t="s">
        <v>177</v>
      </c>
      <c r="C33" s="23" t="s">
        <v>162</v>
      </c>
      <c r="D33" s="23" t="s">
        <v>100</v>
      </c>
      <c r="E33" s="16"/>
      <c r="F33" s="36" t="s">
        <v>101</v>
      </c>
      <c r="G33" s="16" t="s">
        <v>71</v>
      </c>
      <c r="H33" s="16" t="s">
        <v>128</v>
      </c>
      <c r="I33" s="16" t="s">
        <v>73</v>
      </c>
      <c r="J33" s="16" t="s">
        <v>74</v>
      </c>
      <c r="K33" s="16" t="s">
        <v>129</v>
      </c>
      <c r="L33" s="16" t="s">
        <v>130</v>
      </c>
      <c r="M33" s="16" t="s">
        <v>131</v>
      </c>
      <c r="N33" s="16" t="s">
        <v>78</v>
      </c>
      <c r="O33" s="16" t="s">
        <v>78</v>
      </c>
      <c r="P33" s="16" t="s">
        <v>78</v>
      </c>
      <c r="Q33" s="16" t="s">
        <v>78</v>
      </c>
      <c r="R33" s="16" t="s">
        <v>80</v>
      </c>
      <c r="S33" s="23" t="s">
        <v>163</v>
      </c>
      <c r="T33" s="23" t="s">
        <v>164</v>
      </c>
    </row>
    <row r="34" customFormat="false" ht="19.5" hidden="false" customHeight="true" outlineLevel="0" collapsed="false">
      <c r="A34" s="26" t="s">
        <v>28</v>
      </c>
      <c r="B34" s="26" t="s">
        <v>178</v>
      </c>
      <c r="C34" s="26" t="s">
        <v>179</v>
      </c>
      <c r="D34" s="26" t="s">
        <v>84</v>
      </c>
      <c r="E34" s="58"/>
      <c r="F34" s="59" t="s">
        <v>180</v>
      </c>
      <c r="G34" s="29" t="s">
        <v>71</v>
      </c>
      <c r="H34" s="29" t="s">
        <v>128</v>
      </c>
      <c r="I34" s="29" t="s">
        <v>73</v>
      </c>
      <c r="J34" s="29" t="s">
        <v>74</v>
      </c>
      <c r="K34" s="29" t="s">
        <v>129</v>
      </c>
      <c r="L34" s="29" t="s">
        <v>130</v>
      </c>
      <c r="M34" s="29" t="s">
        <v>131</v>
      </c>
      <c r="N34" s="29" t="s">
        <v>78</v>
      </c>
      <c r="O34" s="29" t="s">
        <v>78</v>
      </c>
      <c r="P34" s="29" t="s">
        <v>78</v>
      </c>
      <c r="Q34" s="29" t="s">
        <v>78</v>
      </c>
      <c r="R34" s="29" t="s">
        <v>80</v>
      </c>
      <c r="S34" s="26" t="s">
        <v>181</v>
      </c>
      <c r="T34" s="26" t="s">
        <v>182</v>
      </c>
    </row>
    <row r="35" customFormat="false" ht="19.5" hidden="false" customHeight="true" outlineLevel="0" collapsed="false">
      <c r="A35" s="23" t="s">
        <v>28</v>
      </c>
      <c r="B35" s="23" t="s">
        <v>183</v>
      </c>
      <c r="C35" s="23" t="s">
        <v>179</v>
      </c>
      <c r="D35" s="23" t="s">
        <v>184</v>
      </c>
      <c r="E35" s="60"/>
      <c r="F35" s="61" t="s">
        <v>185</v>
      </c>
      <c r="G35" s="16" t="s">
        <v>71</v>
      </c>
      <c r="H35" s="16" t="s">
        <v>128</v>
      </c>
      <c r="I35" s="16" t="s">
        <v>73</v>
      </c>
      <c r="J35" s="16" t="s">
        <v>74</v>
      </c>
      <c r="K35" s="16" t="s">
        <v>129</v>
      </c>
      <c r="L35" s="16" t="s">
        <v>130</v>
      </c>
      <c r="M35" s="16" t="s">
        <v>131</v>
      </c>
      <c r="N35" s="16" t="s">
        <v>78</v>
      </c>
      <c r="O35" s="16" t="s">
        <v>78</v>
      </c>
      <c r="P35" s="16" t="s">
        <v>78</v>
      </c>
      <c r="Q35" s="16" t="s">
        <v>78</v>
      </c>
      <c r="R35" s="16" t="s">
        <v>80</v>
      </c>
      <c r="S35" s="23" t="s">
        <v>181</v>
      </c>
      <c r="T35" s="23" t="s">
        <v>182</v>
      </c>
    </row>
    <row r="36" customFormat="false" ht="19.5" hidden="false" customHeight="true" outlineLevel="0" collapsed="false">
      <c r="A36" s="26" t="s">
        <v>28</v>
      </c>
      <c r="B36" s="26" t="s">
        <v>186</v>
      </c>
      <c r="C36" s="26" t="s">
        <v>179</v>
      </c>
      <c r="D36" s="26" t="s">
        <v>187</v>
      </c>
      <c r="E36" s="32"/>
      <c r="F36" s="33" t="s">
        <v>92</v>
      </c>
      <c r="G36" s="29" t="s">
        <v>71</v>
      </c>
      <c r="H36" s="29" t="s">
        <v>128</v>
      </c>
      <c r="I36" s="29" t="s">
        <v>73</v>
      </c>
      <c r="J36" s="29" t="s">
        <v>74</v>
      </c>
      <c r="K36" s="29" t="s">
        <v>129</v>
      </c>
      <c r="L36" s="29" t="s">
        <v>130</v>
      </c>
      <c r="M36" s="29" t="s">
        <v>131</v>
      </c>
      <c r="N36" s="29" t="s">
        <v>78</v>
      </c>
      <c r="O36" s="29" t="s">
        <v>78</v>
      </c>
      <c r="P36" s="29" t="s">
        <v>78</v>
      </c>
      <c r="Q36" s="29" t="s">
        <v>78</v>
      </c>
      <c r="R36" s="29" t="s">
        <v>93</v>
      </c>
      <c r="S36" s="26" t="s">
        <v>188</v>
      </c>
      <c r="T36" s="26" t="s">
        <v>189</v>
      </c>
    </row>
    <row r="37" customFormat="false" ht="19.5" hidden="false" customHeight="true" outlineLevel="0" collapsed="false">
      <c r="A37" s="23" t="s">
        <v>28</v>
      </c>
      <c r="B37" s="23" t="s">
        <v>190</v>
      </c>
      <c r="C37" s="23" t="s">
        <v>179</v>
      </c>
      <c r="D37" s="23" t="s">
        <v>170</v>
      </c>
      <c r="E37" s="54"/>
      <c r="F37" s="62" t="s">
        <v>191</v>
      </c>
      <c r="G37" s="16" t="s">
        <v>71</v>
      </c>
      <c r="H37" s="16" t="s">
        <v>128</v>
      </c>
      <c r="I37" s="16" t="s">
        <v>73</v>
      </c>
      <c r="J37" s="16" t="s">
        <v>74</v>
      </c>
      <c r="K37" s="16" t="s">
        <v>129</v>
      </c>
      <c r="L37" s="16" t="s">
        <v>130</v>
      </c>
      <c r="M37" s="16" t="s">
        <v>131</v>
      </c>
      <c r="N37" s="16" t="s">
        <v>78</v>
      </c>
      <c r="O37" s="16" t="s">
        <v>78</v>
      </c>
      <c r="P37" s="16" t="s">
        <v>78</v>
      </c>
      <c r="Q37" s="16" t="s">
        <v>78</v>
      </c>
      <c r="R37" s="16" t="s">
        <v>80</v>
      </c>
      <c r="S37" s="23" t="s">
        <v>181</v>
      </c>
      <c r="T37" s="23" t="s">
        <v>182</v>
      </c>
    </row>
    <row r="38" customFormat="false" ht="19.5" hidden="false" customHeight="true" outlineLevel="0" collapsed="false">
      <c r="A38" s="26" t="s">
        <v>28</v>
      </c>
      <c r="B38" s="26" t="s">
        <v>192</v>
      </c>
      <c r="C38" s="26" t="s">
        <v>179</v>
      </c>
      <c r="D38" s="26" t="s">
        <v>193</v>
      </c>
      <c r="E38" s="63"/>
      <c r="F38" s="64" t="s">
        <v>194</v>
      </c>
      <c r="G38" s="29" t="s">
        <v>71</v>
      </c>
      <c r="H38" s="29" t="s">
        <v>128</v>
      </c>
      <c r="I38" s="29" t="s">
        <v>73</v>
      </c>
      <c r="J38" s="29" t="s">
        <v>74</v>
      </c>
      <c r="K38" s="29" t="s">
        <v>129</v>
      </c>
      <c r="L38" s="29" t="s">
        <v>130</v>
      </c>
      <c r="M38" s="29" t="s">
        <v>131</v>
      </c>
      <c r="N38" s="29" t="s">
        <v>78</v>
      </c>
      <c r="O38" s="29" t="s">
        <v>78</v>
      </c>
      <c r="P38" s="29" t="s">
        <v>78</v>
      </c>
      <c r="Q38" s="29" t="s">
        <v>78</v>
      </c>
      <c r="R38" s="29" t="s">
        <v>80</v>
      </c>
      <c r="S38" s="26" t="s">
        <v>181</v>
      </c>
      <c r="T38" s="26" t="s">
        <v>182</v>
      </c>
    </row>
    <row r="39" customFormat="false" ht="19.5" hidden="false" customHeight="true" outlineLevel="0" collapsed="false">
      <c r="A39" s="23" t="s">
        <v>28</v>
      </c>
      <c r="B39" s="23" t="s">
        <v>195</v>
      </c>
      <c r="C39" s="23" t="s">
        <v>179</v>
      </c>
      <c r="D39" s="23" t="s">
        <v>196</v>
      </c>
      <c r="E39" s="65"/>
      <c r="F39" s="66" t="s">
        <v>197</v>
      </c>
      <c r="G39" s="16" t="s">
        <v>71</v>
      </c>
      <c r="H39" s="16" t="s">
        <v>128</v>
      </c>
      <c r="I39" s="16" t="s">
        <v>73</v>
      </c>
      <c r="J39" s="16" t="s">
        <v>74</v>
      </c>
      <c r="K39" s="16" t="s">
        <v>129</v>
      </c>
      <c r="L39" s="16" t="s">
        <v>130</v>
      </c>
      <c r="M39" s="16" t="s">
        <v>131</v>
      </c>
      <c r="N39" s="16" t="s">
        <v>78</v>
      </c>
      <c r="O39" s="16" t="s">
        <v>78</v>
      </c>
      <c r="P39" s="16" t="s">
        <v>78</v>
      </c>
      <c r="Q39" s="16" t="s">
        <v>78</v>
      </c>
      <c r="R39" s="16" t="s">
        <v>80</v>
      </c>
      <c r="S39" s="23" t="s">
        <v>181</v>
      </c>
      <c r="T39" s="23" t="s">
        <v>182</v>
      </c>
    </row>
    <row r="40" customFormat="false" ht="19.5" hidden="false" customHeight="true" outlineLevel="0" collapsed="false">
      <c r="A40" s="26" t="s">
        <v>28</v>
      </c>
      <c r="B40" s="26" t="s">
        <v>198</v>
      </c>
      <c r="C40" s="26" t="s">
        <v>179</v>
      </c>
      <c r="D40" s="26" t="s">
        <v>199</v>
      </c>
      <c r="E40" s="32"/>
      <c r="F40" s="33" t="s">
        <v>92</v>
      </c>
      <c r="G40" s="29" t="s">
        <v>71</v>
      </c>
      <c r="H40" s="29" t="s">
        <v>128</v>
      </c>
      <c r="I40" s="29" t="s">
        <v>73</v>
      </c>
      <c r="J40" s="29" t="s">
        <v>74</v>
      </c>
      <c r="K40" s="29" t="s">
        <v>129</v>
      </c>
      <c r="L40" s="29" t="s">
        <v>130</v>
      </c>
      <c r="M40" s="29" t="s">
        <v>131</v>
      </c>
      <c r="N40" s="29" t="s">
        <v>78</v>
      </c>
      <c r="O40" s="29" t="s">
        <v>78</v>
      </c>
      <c r="P40" s="29" t="s">
        <v>78</v>
      </c>
      <c r="Q40" s="29" t="s">
        <v>78</v>
      </c>
      <c r="R40" s="29" t="s">
        <v>93</v>
      </c>
      <c r="S40" s="26" t="s">
        <v>188</v>
      </c>
      <c r="T40" s="26" t="s">
        <v>189</v>
      </c>
    </row>
    <row r="41" customFormat="false" ht="19.5" hidden="false" customHeight="true" outlineLevel="0" collapsed="false">
      <c r="A41" s="23" t="s">
        <v>28</v>
      </c>
      <c r="B41" s="23" t="s">
        <v>200</v>
      </c>
      <c r="C41" s="23" t="s">
        <v>179</v>
      </c>
      <c r="D41" s="23" t="s">
        <v>201</v>
      </c>
      <c r="E41" s="32"/>
      <c r="F41" s="33" t="s">
        <v>92</v>
      </c>
      <c r="G41" s="16" t="s">
        <v>71</v>
      </c>
      <c r="H41" s="16" t="s">
        <v>128</v>
      </c>
      <c r="I41" s="16" t="s">
        <v>73</v>
      </c>
      <c r="J41" s="16" t="s">
        <v>74</v>
      </c>
      <c r="K41" s="16" t="s">
        <v>129</v>
      </c>
      <c r="L41" s="16" t="s">
        <v>130</v>
      </c>
      <c r="M41" s="16" t="s">
        <v>131</v>
      </c>
      <c r="N41" s="16" t="s">
        <v>78</v>
      </c>
      <c r="O41" s="16" t="s">
        <v>78</v>
      </c>
      <c r="P41" s="16" t="s">
        <v>78</v>
      </c>
      <c r="Q41" s="16" t="s">
        <v>78</v>
      </c>
      <c r="R41" s="16" t="s">
        <v>93</v>
      </c>
      <c r="S41" s="23" t="s">
        <v>188</v>
      </c>
      <c r="T41" s="23" t="s">
        <v>189</v>
      </c>
    </row>
    <row r="42" customFormat="false" ht="19.5" hidden="false" customHeight="true" outlineLevel="0" collapsed="false">
      <c r="A42" s="26" t="s">
        <v>28</v>
      </c>
      <c r="B42" s="26" t="s">
        <v>202</v>
      </c>
      <c r="C42" s="26" t="s">
        <v>179</v>
      </c>
      <c r="D42" s="26" t="s">
        <v>203</v>
      </c>
      <c r="E42" s="67"/>
      <c r="F42" s="68" t="s">
        <v>204</v>
      </c>
      <c r="G42" s="29" t="s">
        <v>71</v>
      </c>
      <c r="H42" s="29" t="s">
        <v>128</v>
      </c>
      <c r="I42" s="29" t="s">
        <v>73</v>
      </c>
      <c r="J42" s="29" t="s">
        <v>74</v>
      </c>
      <c r="K42" s="29" t="s">
        <v>129</v>
      </c>
      <c r="L42" s="29" t="s">
        <v>130</v>
      </c>
      <c r="M42" s="29" t="s">
        <v>131</v>
      </c>
      <c r="N42" s="29" t="s">
        <v>78</v>
      </c>
      <c r="O42" s="29" t="s">
        <v>78</v>
      </c>
      <c r="P42" s="29" t="s">
        <v>78</v>
      </c>
      <c r="Q42" s="29" t="s">
        <v>78</v>
      </c>
      <c r="R42" s="29" t="s">
        <v>80</v>
      </c>
      <c r="S42" s="26" t="s">
        <v>181</v>
      </c>
      <c r="T42" s="26" t="s">
        <v>182</v>
      </c>
    </row>
    <row r="43" customFormat="false" ht="19.5" hidden="false" customHeight="true" outlineLevel="0" collapsed="false">
      <c r="A43" s="23" t="s">
        <v>28</v>
      </c>
      <c r="B43" s="23" t="s">
        <v>205</v>
      </c>
      <c r="C43" s="23" t="s">
        <v>179</v>
      </c>
      <c r="D43" s="23" t="s">
        <v>155</v>
      </c>
      <c r="E43" s="69"/>
      <c r="F43" s="70" t="s">
        <v>206</v>
      </c>
      <c r="G43" s="16" t="s">
        <v>71</v>
      </c>
      <c r="H43" s="16" t="s">
        <v>128</v>
      </c>
      <c r="I43" s="16" t="s">
        <v>73</v>
      </c>
      <c r="J43" s="16" t="s">
        <v>74</v>
      </c>
      <c r="K43" s="16" t="s">
        <v>129</v>
      </c>
      <c r="L43" s="16" t="s">
        <v>130</v>
      </c>
      <c r="M43" s="16" t="s">
        <v>131</v>
      </c>
      <c r="N43" s="16" t="s">
        <v>78</v>
      </c>
      <c r="O43" s="16" t="s">
        <v>78</v>
      </c>
      <c r="P43" s="16" t="s">
        <v>78</v>
      </c>
      <c r="Q43" s="16" t="s">
        <v>78</v>
      </c>
      <c r="R43" s="16" t="s">
        <v>80</v>
      </c>
      <c r="S43" s="23" t="s">
        <v>181</v>
      </c>
      <c r="T43" s="23" t="s">
        <v>182</v>
      </c>
    </row>
    <row r="44" customFormat="false" ht="19.5" hidden="false" customHeight="true" outlineLevel="0" collapsed="false">
      <c r="A44" s="26" t="s">
        <v>28</v>
      </c>
      <c r="B44" s="26" t="s">
        <v>207</v>
      </c>
      <c r="C44" s="26" t="s">
        <v>179</v>
      </c>
      <c r="D44" s="26" t="s">
        <v>208</v>
      </c>
      <c r="E44" s="71"/>
      <c r="F44" s="72" t="s">
        <v>209</v>
      </c>
      <c r="G44" s="29" t="s">
        <v>71</v>
      </c>
      <c r="H44" s="29" t="s">
        <v>128</v>
      </c>
      <c r="I44" s="29" t="s">
        <v>73</v>
      </c>
      <c r="J44" s="29" t="s">
        <v>74</v>
      </c>
      <c r="K44" s="29" t="s">
        <v>129</v>
      </c>
      <c r="L44" s="29" t="s">
        <v>130</v>
      </c>
      <c r="M44" s="29" t="s">
        <v>131</v>
      </c>
      <c r="N44" s="29" t="s">
        <v>78</v>
      </c>
      <c r="O44" s="29" t="s">
        <v>78</v>
      </c>
      <c r="P44" s="29" t="s">
        <v>78</v>
      </c>
      <c r="Q44" s="29" t="s">
        <v>78</v>
      </c>
      <c r="R44" s="29" t="s">
        <v>80</v>
      </c>
      <c r="S44" s="26" t="s">
        <v>181</v>
      </c>
      <c r="T44" s="26" t="s">
        <v>182</v>
      </c>
    </row>
    <row r="45" customFormat="false" ht="19.5" hidden="false" customHeight="true" outlineLevel="0" collapsed="false">
      <c r="A45" s="23" t="s">
        <v>29</v>
      </c>
      <c r="B45" s="23" t="s">
        <v>210</v>
      </c>
      <c r="C45" s="23" t="s">
        <v>211</v>
      </c>
      <c r="D45" s="23" t="s">
        <v>110</v>
      </c>
      <c r="E45" s="50"/>
      <c r="F45" s="73" t="s">
        <v>212</v>
      </c>
      <c r="G45" s="16" t="s">
        <v>71</v>
      </c>
      <c r="H45" s="16" t="s">
        <v>128</v>
      </c>
      <c r="I45" s="16" t="s">
        <v>73</v>
      </c>
      <c r="J45" s="16" t="s">
        <v>74</v>
      </c>
      <c r="K45" s="16" t="s">
        <v>129</v>
      </c>
      <c r="L45" s="16" t="s">
        <v>130</v>
      </c>
      <c r="M45" s="16" t="s">
        <v>131</v>
      </c>
      <c r="N45" s="16" t="s">
        <v>78</v>
      </c>
      <c r="O45" s="16" t="s">
        <v>79</v>
      </c>
      <c r="P45" s="16" t="s">
        <v>78</v>
      </c>
      <c r="Q45" s="16" t="s">
        <v>78</v>
      </c>
      <c r="R45" s="16" t="s">
        <v>80</v>
      </c>
      <c r="S45" s="23" t="s">
        <v>213</v>
      </c>
      <c r="T45" s="23" t="s">
        <v>214</v>
      </c>
    </row>
    <row r="46" customFormat="false" ht="19.5" hidden="false" customHeight="true" outlineLevel="0" collapsed="false">
      <c r="A46" s="26" t="s">
        <v>29</v>
      </c>
      <c r="B46" s="26" t="s">
        <v>215</v>
      </c>
      <c r="C46" s="26" t="s">
        <v>211</v>
      </c>
      <c r="D46" s="26" t="s">
        <v>113</v>
      </c>
      <c r="E46" s="74"/>
      <c r="F46" s="75" t="s">
        <v>216</v>
      </c>
      <c r="G46" s="29" t="s">
        <v>71</v>
      </c>
      <c r="H46" s="29" t="s">
        <v>128</v>
      </c>
      <c r="I46" s="29" t="s">
        <v>73</v>
      </c>
      <c r="J46" s="29" t="s">
        <v>74</v>
      </c>
      <c r="K46" s="29" t="s">
        <v>129</v>
      </c>
      <c r="L46" s="29" t="s">
        <v>130</v>
      </c>
      <c r="M46" s="29" t="s">
        <v>131</v>
      </c>
      <c r="N46" s="29" t="s">
        <v>78</v>
      </c>
      <c r="O46" s="29" t="s">
        <v>79</v>
      </c>
      <c r="P46" s="29" t="s">
        <v>78</v>
      </c>
      <c r="Q46" s="29" t="s">
        <v>78</v>
      </c>
      <c r="R46" s="29" t="s">
        <v>80</v>
      </c>
      <c r="S46" s="26" t="s">
        <v>213</v>
      </c>
      <c r="T46" s="26" t="s">
        <v>214</v>
      </c>
    </row>
    <row r="47" customFormat="false" ht="19.5" hidden="false" customHeight="true" outlineLevel="0" collapsed="false">
      <c r="A47" s="23" t="s">
        <v>29</v>
      </c>
      <c r="B47" s="23" t="s">
        <v>217</v>
      </c>
      <c r="C47" s="23" t="s">
        <v>211</v>
      </c>
      <c r="D47" s="23" t="s">
        <v>118</v>
      </c>
      <c r="E47" s="76"/>
      <c r="F47" s="72" t="s">
        <v>218</v>
      </c>
      <c r="G47" s="16" t="s">
        <v>71</v>
      </c>
      <c r="H47" s="16" t="s">
        <v>128</v>
      </c>
      <c r="I47" s="16" t="s">
        <v>73</v>
      </c>
      <c r="J47" s="16" t="s">
        <v>74</v>
      </c>
      <c r="K47" s="16" t="s">
        <v>129</v>
      </c>
      <c r="L47" s="16" t="s">
        <v>130</v>
      </c>
      <c r="M47" s="16" t="s">
        <v>131</v>
      </c>
      <c r="N47" s="16" t="s">
        <v>78</v>
      </c>
      <c r="O47" s="16" t="s">
        <v>79</v>
      </c>
      <c r="P47" s="16" t="s">
        <v>78</v>
      </c>
      <c r="Q47" s="16" t="s">
        <v>78</v>
      </c>
      <c r="R47" s="16" t="s">
        <v>80</v>
      </c>
      <c r="S47" s="23" t="s">
        <v>213</v>
      </c>
      <c r="T47" s="23" t="s">
        <v>214</v>
      </c>
    </row>
    <row r="48" customFormat="false" ht="19.5" hidden="false" customHeight="true" outlineLevel="0" collapsed="false">
      <c r="A48" s="26" t="s">
        <v>29</v>
      </c>
      <c r="B48" s="26" t="s">
        <v>219</v>
      </c>
      <c r="C48" s="26" t="s">
        <v>211</v>
      </c>
      <c r="D48" s="26" t="s">
        <v>220</v>
      </c>
      <c r="E48" s="77"/>
      <c r="F48" s="78" t="s">
        <v>221</v>
      </c>
      <c r="G48" s="29" t="s">
        <v>71</v>
      </c>
      <c r="H48" s="29" t="s">
        <v>128</v>
      </c>
      <c r="I48" s="29" t="s">
        <v>73</v>
      </c>
      <c r="J48" s="29" t="s">
        <v>74</v>
      </c>
      <c r="K48" s="29" t="s">
        <v>129</v>
      </c>
      <c r="L48" s="29" t="s">
        <v>130</v>
      </c>
      <c r="M48" s="29" t="s">
        <v>131</v>
      </c>
      <c r="N48" s="29" t="s">
        <v>78</v>
      </c>
      <c r="O48" s="29" t="s">
        <v>79</v>
      </c>
      <c r="P48" s="29" t="s">
        <v>78</v>
      </c>
      <c r="Q48" s="29" t="s">
        <v>78</v>
      </c>
      <c r="R48" s="29" t="s">
        <v>80</v>
      </c>
      <c r="S48" s="26" t="s">
        <v>213</v>
      </c>
      <c r="T48" s="26" t="s">
        <v>214</v>
      </c>
    </row>
    <row r="49" customFormat="false" ht="19.5" hidden="false" customHeight="true" outlineLevel="0" collapsed="false">
      <c r="A49" s="23" t="s">
        <v>29</v>
      </c>
      <c r="B49" s="23" t="s">
        <v>222</v>
      </c>
      <c r="C49" s="23" t="s">
        <v>211</v>
      </c>
      <c r="D49" s="23" t="s">
        <v>121</v>
      </c>
      <c r="E49" s="79"/>
      <c r="F49" s="80" t="s">
        <v>223</v>
      </c>
      <c r="G49" s="16" t="s">
        <v>71</v>
      </c>
      <c r="H49" s="16" t="s">
        <v>128</v>
      </c>
      <c r="I49" s="16" t="s">
        <v>73</v>
      </c>
      <c r="J49" s="16" t="s">
        <v>74</v>
      </c>
      <c r="K49" s="16" t="s">
        <v>129</v>
      </c>
      <c r="L49" s="16" t="s">
        <v>130</v>
      </c>
      <c r="M49" s="16" t="s">
        <v>131</v>
      </c>
      <c r="N49" s="16" t="s">
        <v>78</v>
      </c>
      <c r="O49" s="16" t="s">
        <v>79</v>
      </c>
      <c r="P49" s="16" t="s">
        <v>78</v>
      </c>
      <c r="Q49" s="16" t="s">
        <v>78</v>
      </c>
      <c r="R49" s="16" t="s">
        <v>80</v>
      </c>
      <c r="S49" s="23" t="s">
        <v>213</v>
      </c>
      <c r="T49" s="23" t="s">
        <v>214</v>
      </c>
    </row>
    <row r="50" customFormat="false" ht="19.5" hidden="false" customHeight="true" outlineLevel="0" collapsed="false">
      <c r="A50" s="26" t="s">
        <v>30</v>
      </c>
      <c r="B50" s="26" t="s">
        <v>224</v>
      </c>
      <c r="C50" s="26" t="s">
        <v>225</v>
      </c>
      <c r="D50" s="26" t="s">
        <v>127</v>
      </c>
      <c r="E50" s="81"/>
      <c r="F50" s="82" t="s">
        <v>226</v>
      </c>
      <c r="G50" s="29" t="s">
        <v>71</v>
      </c>
      <c r="H50" s="29" t="s">
        <v>72</v>
      </c>
      <c r="I50" s="29" t="s">
        <v>73</v>
      </c>
      <c r="J50" s="29" t="s">
        <v>74</v>
      </c>
      <c r="K50" s="29" t="s">
        <v>227</v>
      </c>
      <c r="L50" s="29" t="s">
        <v>228</v>
      </c>
      <c r="M50" s="29" t="s">
        <v>229</v>
      </c>
      <c r="N50" s="29" t="s">
        <v>78</v>
      </c>
      <c r="O50" s="29" t="s">
        <v>78</v>
      </c>
      <c r="P50" s="29" t="s">
        <v>78</v>
      </c>
      <c r="Q50" s="29" t="s">
        <v>78</v>
      </c>
      <c r="R50" s="29" t="s">
        <v>230</v>
      </c>
      <c r="S50" s="26" t="s">
        <v>231</v>
      </c>
      <c r="T50" s="26" t="s">
        <v>232</v>
      </c>
    </row>
    <row r="51" customFormat="false" ht="19.5" hidden="false" customHeight="true" outlineLevel="0" collapsed="false">
      <c r="A51" s="23" t="s">
        <v>30</v>
      </c>
      <c r="B51" s="23" t="s">
        <v>233</v>
      </c>
      <c r="C51" s="23" t="s">
        <v>225</v>
      </c>
      <c r="D51" s="23" t="s">
        <v>135</v>
      </c>
      <c r="E51" s="39"/>
      <c r="F51" s="40" t="s">
        <v>136</v>
      </c>
      <c r="G51" s="16" t="s">
        <v>71</v>
      </c>
      <c r="H51" s="16" t="s">
        <v>72</v>
      </c>
      <c r="I51" s="16" t="s">
        <v>73</v>
      </c>
      <c r="J51" s="16" t="s">
        <v>74</v>
      </c>
      <c r="K51" s="16" t="s">
        <v>227</v>
      </c>
      <c r="L51" s="16" t="s">
        <v>228</v>
      </c>
      <c r="M51" s="16" t="s">
        <v>229</v>
      </c>
      <c r="N51" s="16" t="s">
        <v>78</v>
      </c>
      <c r="O51" s="16" t="s">
        <v>78</v>
      </c>
      <c r="P51" s="16" t="s">
        <v>78</v>
      </c>
      <c r="Q51" s="16" t="s">
        <v>78</v>
      </c>
      <c r="R51" s="16" t="s">
        <v>230</v>
      </c>
      <c r="S51" s="23" t="s">
        <v>231</v>
      </c>
      <c r="T51" s="23" t="s">
        <v>232</v>
      </c>
    </row>
    <row r="52" customFormat="false" ht="19.5" hidden="false" customHeight="true" outlineLevel="0" collapsed="false">
      <c r="A52" s="26" t="s">
        <v>30</v>
      </c>
      <c r="B52" s="26" t="s">
        <v>234</v>
      </c>
      <c r="C52" s="26" t="s">
        <v>225</v>
      </c>
      <c r="D52" s="26" t="s">
        <v>142</v>
      </c>
      <c r="E52" s="83"/>
      <c r="F52" s="84" t="s">
        <v>235</v>
      </c>
      <c r="G52" s="29" t="s">
        <v>71</v>
      </c>
      <c r="H52" s="29" t="s">
        <v>72</v>
      </c>
      <c r="I52" s="29" t="s">
        <v>73</v>
      </c>
      <c r="J52" s="29" t="s">
        <v>74</v>
      </c>
      <c r="K52" s="29" t="s">
        <v>227</v>
      </c>
      <c r="L52" s="29" t="s">
        <v>228</v>
      </c>
      <c r="M52" s="29" t="s">
        <v>229</v>
      </c>
      <c r="N52" s="29" t="s">
        <v>78</v>
      </c>
      <c r="O52" s="29" t="s">
        <v>78</v>
      </c>
      <c r="P52" s="29" t="s">
        <v>78</v>
      </c>
      <c r="Q52" s="29" t="s">
        <v>78</v>
      </c>
      <c r="R52" s="29" t="s">
        <v>230</v>
      </c>
      <c r="S52" s="26" t="s">
        <v>231</v>
      </c>
      <c r="T52" s="26" t="s">
        <v>232</v>
      </c>
    </row>
    <row r="53" customFormat="false" ht="19.5" hidden="false" customHeight="true" outlineLevel="0" collapsed="false">
      <c r="A53" s="23" t="s">
        <v>30</v>
      </c>
      <c r="B53" s="23" t="s">
        <v>236</v>
      </c>
      <c r="C53" s="23" t="s">
        <v>225</v>
      </c>
      <c r="D53" s="23" t="s">
        <v>237</v>
      </c>
      <c r="E53" s="32"/>
      <c r="F53" s="33" t="s">
        <v>92</v>
      </c>
      <c r="G53" s="16" t="s">
        <v>71</v>
      </c>
      <c r="H53" s="16" t="s">
        <v>72</v>
      </c>
      <c r="I53" s="16" t="s">
        <v>73</v>
      </c>
      <c r="J53" s="16" t="s">
        <v>74</v>
      </c>
      <c r="K53" s="16" t="s">
        <v>227</v>
      </c>
      <c r="L53" s="16" t="s">
        <v>228</v>
      </c>
      <c r="M53" s="16" t="s">
        <v>229</v>
      </c>
      <c r="N53" s="16" t="s">
        <v>78</v>
      </c>
      <c r="O53" s="16" t="s">
        <v>78</v>
      </c>
      <c r="P53" s="16" t="s">
        <v>78</v>
      </c>
      <c r="Q53" s="16" t="s">
        <v>78</v>
      </c>
      <c r="R53" s="16" t="s">
        <v>93</v>
      </c>
      <c r="S53" s="23" t="s">
        <v>238</v>
      </c>
      <c r="T53" s="23" t="s">
        <v>239</v>
      </c>
    </row>
    <row r="54" customFormat="false" ht="19.5" hidden="false" customHeight="true" outlineLevel="0" collapsed="false">
      <c r="A54" s="26" t="s">
        <v>30</v>
      </c>
      <c r="B54" s="26" t="s">
        <v>240</v>
      </c>
      <c r="C54" s="26" t="s">
        <v>225</v>
      </c>
      <c r="D54" s="26" t="s">
        <v>241</v>
      </c>
      <c r="E54" s="85"/>
      <c r="F54" s="86" t="s">
        <v>242</v>
      </c>
      <c r="G54" s="29" t="s">
        <v>71</v>
      </c>
      <c r="H54" s="29" t="s">
        <v>72</v>
      </c>
      <c r="I54" s="29" t="s">
        <v>73</v>
      </c>
      <c r="J54" s="29" t="s">
        <v>74</v>
      </c>
      <c r="K54" s="29" t="s">
        <v>227</v>
      </c>
      <c r="L54" s="29" t="s">
        <v>228</v>
      </c>
      <c r="M54" s="29" t="s">
        <v>229</v>
      </c>
      <c r="N54" s="29" t="s">
        <v>78</v>
      </c>
      <c r="O54" s="29" t="s">
        <v>78</v>
      </c>
      <c r="P54" s="29" t="s">
        <v>78</v>
      </c>
      <c r="Q54" s="29" t="s">
        <v>78</v>
      </c>
      <c r="R54" s="29" t="s">
        <v>230</v>
      </c>
      <c r="S54" s="26" t="s">
        <v>231</v>
      </c>
      <c r="T54" s="26" t="s">
        <v>232</v>
      </c>
    </row>
    <row r="55" customFormat="false" ht="19.5" hidden="false" customHeight="true" outlineLevel="0" collapsed="false">
      <c r="A55" s="23" t="s">
        <v>30</v>
      </c>
      <c r="B55" s="23" t="s">
        <v>243</v>
      </c>
      <c r="C55" s="23" t="s">
        <v>225</v>
      </c>
      <c r="D55" s="23" t="s">
        <v>91</v>
      </c>
      <c r="E55" s="87"/>
      <c r="F55" s="33" t="s">
        <v>244</v>
      </c>
      <c r="G55" s="16" t="s">
        <v>71</v>
      </c>
      <c r="H55" s="16" t="s">
        <v>72</v>
      </c>
      <c r="I55" s="16" t="s">
        <v>73</v>
      </c>
      <c r="J55" s="16" t="s">
        <v>74</v>
      </c>
      <c r="K55" s="16" t="s">
        <v>227</v>
      </c>
      <c r="L55" s="16" t="s">
        <v>228</v>
      </c>
      <c r="M55" s="16" t="s">
        <v>229</v>
      </c>
      <c r="N55" s="16" t="s">
        <v>78</v>
      </c>
      <c r="O55" s="16" t="s">
        <v>78</v>
      </c>
      <c r="P55" s="16" t="s">
        <v>78</v>
      </c>
      <c r="Q55" s="16" t="s">
        <v>78</v>
      </c>
      <c r="R55" s="16" t="s">
        <v>230</v>
      </c>
      <c r="S55" s="23" t="s">
        <v>231</v>
      </c>
      <c r="T55" s="23" t="s">
        <v>232</v>
      </c>
    </row>
    <row r="56" customFormat="false" ht="19.5" hidden="false" customHeight="true" outlineLevel="0" collapsed="false">
      <c r="A56" s="26" t="s">
        <v>30</v>
      </c>
      <c r="B56" s="26" t="s">
        <v>245</v>
      </c>
      <c r="C56" s="26" t="s">
        <v>225</v>
      </c>
      <c r="D56" s="26" t="s">
        <v>246</v>
      </c>
      <c r="E56" s="88"/>
      <c r="F56" s="89" t="s">
        <v>247</v>
      </c>
      <c r="G56" s="29" t="s">
        <v>71</v>
      </c>
      <c r="H56" s="29" t="s">
        <v>72</v>
      </c>
      <c r="I56" s="29" t="s">
        <v>73</v>
      </c>
      <c r="J56" s="29" t="s">
        <v>74</v>
      </c>
      <c r="K56" s="29" t="s">
        <v>227</v>
      </c>
      <c r="L56" s="29" t="s">
        <v>228</v>
      </c>
      <c r="M56" s="29" t="s">
        <v>229</v>
      </c>
      <c r="N56" s="29" t="s">
        <v>78</v>
      </c>
      <c r="O56" s="29" t="s">
        <v>78</v>
      </c>
      <c r="P56" s="29" t="s">
        <v>78</v>
      </c>
      <c r="Q56" s="29" t="s">
        <v>78</v>
      </c>
      <c r="R56" s="29" t="s">
        <v>230</v>
      </c>
      <c r="S56" s="26" t="s">
        <v>231</v>
      </c>
      <c r="T56" s="26" t="s">
        <v>232</v>
      </c>
    </row>
    <row r="57" customFormat="false" ht="19.5" hidden="false" customHeight="true" outlineLevel="0" collapsed="false">
      <c r="A57" s="23" t="s">
        <v>30</v>
      </c>
      <c r="B57" s="23" t="s">
        <v>248</v>
      </c>
      <c r="C57" s="23" t="s">
        <v>225</v>
      </c>
      <c r="D57" s="23" t="s">
        <v>147</v>
      </c>
      <c r="E57" s="90"/>
      <c r="F57" s="68" t="s">
        <v>249</v>
      </c>
      <c r="G57" s="16" t="s">
        <v>71</v>
      </c>
      <c r="H57" s="16" t="s">
        <v>72</v>
      </c>
      <c r="I57" s="16" t="s">
        <v>73</v>
      </c>
      <c r="J57" s="16" t="s">
        <v>74</v>
      </c>
      <c r="K57" s="16" t="s">
        <v>227</v>
      </c>
      <c r="L57" s="16" t="s">
        <v>228</v>
      </c>
      <c r="M57" s="16" t="s">
        <v>229</v>
      </c>
      <c r="N57" s="16" t="s">
        <v>78</v>
      </c>
      <c r="O57" s="16" t="s">
        <v>78</v>
      </c>
      <c r="P57" s="16" t="s">
        <v>78</v>
      </c>
      <c r="Q57" s="16" t="s">
        <v>78</v>
      </c>
      <c r="R57" s="16" t="s">
        <v>230</v>
      </c>
      <c r="S57" s="23" t="s">
        <v>231</v>
      </c>
      <c r="T57" s="23" t="s">
        <v>232</v>
      </c>
    </row>
    <row r="58" customFormat="false" ht="19.5" hidden="false" customHeight="true" outlineLevel="0" collapsed="false">
      <c r="A58" s="26" t="s">
        <v>30</v>
      </c>
      <c r="B58" s="26" t="s">
        <v>250</v>
      </c>
      <c r="C58" s="26" t="s">
        <v>225</v>
      </c>
      <c r="D58" s="26" t="s">
        <v>170</v>
      </c>
      <c r="E58" s="91"/>
      <c r="F58" s="62" t="s">
        <v>251</v>
      </c>
      <c r="G58" s="29" t="s">
        <v>71</v>
      </c>
      <c r="H58" s="29" t="s">
        <v>72</v>
      </c>
      <c r="I58" s="29" t="s">
        <v>73</v>
      </c>
      <c r="J58" s="29" t="s">
        <v>74</v>
      </c>
      <c r="K58" s="29" t="s">
        <v>227</v>
      </c>
      <c r="L58" s="29" t="s">
        <v>228</v>
      </c>
      <c r="M58" s="29" t="s">
        <v>229</v>
      </c>
      <c r="N58" s="29" t="s">
        <v>78</v>
      </c>
      <c r="O58" s="29" t="s">
        <v>78</v>
      </c>
      <c r="P58" s="29" t="s">
        <v>78</v>
      </c>
      <c r="Q58" s="29" t="s">
        <v>78</v>
      </c>
      <c r="R58" s="29" t="s">
        <v>230</v>
      </c>
      <c r="S58" s="26" t="s">
        <v>231</v>
      </c>
      <c r="T58" s="26" t="s">
        <v>232</v>
      </c>
    </row>
    <row r="59" customFormat="false" ht="19.5" hidden="false" customHeight="true" outlineLevel="0" collapsed="false">
      <c r="A59" s="23" t="s">
        <v>30</v>
      </c>
      <c r="B59" s="23" t="s">
        <v>252</v>
      </c>
      <c r="C59" s="23" t="s">
        <v>225</v>
      </c>
      <c r="D59" s="23" t="s">
        <v>193</v>
      </c>
      <c r="E59" s="92"/>
      <c r="F59" s="93" t="s">
        <v>253</v>
      </c>
      <c r="G59" s="16" t="s">
        <v>71</v>
      </c>
      <c r="H59" s="16" t="s">
        <v>72</v>
      </c>
      <c r="I59" s="16" t="s">
        <v>73</v>
      </c>
      <c r="J59" s="16" t="s">
        <v>74</v>
      </c>
      <c r="K59" s="16" t="s">
        <v>227</v>
      </c>
      <c r="L59" s="16" t="s">
        <v>228</v>
      </c>
      <c r="M59" s="16" t="s">
        <v>229</v>
      </c>
      <c r="N59" s="16" t="s">
        <v>78</v>
      </c>
      <c r="O59" s="16" t="s">
        <v>78</v>
      </c>
      <c r="P59" s="16" t="s">
        <v>78</v>
      </c>
      <c r="Q59" s="16" t="s">
        <v>78</v>
      </c>
      <c r="R59" s="16" t="s">
        <v>230</v>
      </c>
      <c r="S59" s="23" t="s">
        <v>231</v>
      </c>
      <c r="T59" s="23" t="s">
        <v>232</v>
      </c>
    </row>
    <row r="60" customFormat="false" ht="19.5" hidden="false" customHeight="true" outlineLevel="0" collapsed="false">
      <c r="A60" s="26" t="s">
        <v>30</v>
      </c>
      <c r="B60" s="26" t="s">
        <v>254</v>
      </c>
      <c r="C60" s="26" t="s">
        <v>225</v>
      </c>
      <c r="D60" s="26" t="s">
        <v>97</v>
      </c>
      <c r="E60" s="34"/>
      <c r="F60" s="45" t="s">
        <v>150</v>
      </c>
      <c r="G60" s="29" t="s">
        <v>71</v>
      </c>
      <c r="H60" s="29" t="s">
        <v>72</v>
      </c>
      <c r="I60" s="29" t="s">
        <v>73</v>
      </c>
      <c r="J60" s="29" t="s">
        <v>74</v>
      </c>
      <c r="K60" s="29" t="s">
        <v>227</v>
      </c>
      <c r="L60" s="29" t="s">
        <v>228</v>
      </c>
      <c r="M60" s="29" t="s">
        <v>229</v>
      </c>
      <c r="N60" s="29" t="s">
        <v>78</v>
      </c>
      <c r="O60" s="29" t="s">
        <v>78</v>
      </c>
      <c r="P60" s="29" t="s">
        <v>78</v>
      </c>
      <c r="Q60" s="29" t="s">
        <v>78</v>
      </c>
      <c r="R60" s="29" t="s">
        <v>230</v>
      </c>
      <c r="S60" s="26" t="s">
        <v>231</v>
      </c>
      <c r="T60" s="26" t="s">
        <v>232</v>
      </c>
    </row>
    <row r="61" customFormat="false" ht="19.5" hidden="false" customHeight="true" outlineLevel="0" collapsed="false">
      <c r="A61" s="23" t="s">
        <v>30</v>
      </c>
      <c r="B61" s="23" t="s">
        <v>255</v>
      </c>
      <c r="C61" s="23" t="s">
        <v>225</v>
      </c>
      <c r="D61" s="23" t="s">
        <v>256</v>
      </c>
      <c r="E61" s="74"/>
      <c r="F61" s="94" t="s">
        <v>257</v>
      </c>
      <c r="G61" s="16" t="s">
        <v>71</v>
      </c>
      <c r="H61" s="16" t="s">
        <v>72</v>
      </c>
      <c r="I61" s="16" t="s">
        <v>73</v>
      </c>
      <c r="J61" s="16" t="s">
        <v>74</v>
      </c>
      <c r="K61" s="16" t="s">
        <v>227</v>
      </c>
      <c r="L61" s="16" t="s">
        <v>228</v>
      </c>
      <c r="M61" s="16" t="s">
        <v>229</v>
      </c>
      <c r="N61" s="16" t="s">
        <v>78</v>
      </c>
      <c r="O61" s="16" t="s">
        <v>78</v>
      </c>
      <c r="P61" s="16" t="s">
        <v>78</v>
      </c>
      <c r="Q61" s="16" t="s">
        <v>78</v>
      </c>
      <c r="R61" s="16" t="s">
        <v>230</v>
      </c>
      <c r="S61" s="23" t="s">
        <v>231</v>
      </c>
      <c r="T61" s="23" t="s">
        <v>232</v>
      </c>
    </row>
    <row r="62" customFormat="false" ht="19.5" hidden="false" customHeight="true" outlineLevel="0" collapsed="false">
      <c r="A62" s="26" t="s">
        <v>30</v>
      </c>
      <c r="B62" s="26" t="s">
        <v>258</v>
      </c>
      <c r="C62" s="26" t="s">
        <v>225</v>
      </c>
      <c r="D62" s="26" t="s">
        <v>259</v>
      </c>
      <c r="E62" s="95"/>
      <c r="F62" s="96" t="s">
        <v>260</v>
      </c>
      <c r="G62" s="29" t="s">
        <v>71</v>
      </c>
      <c r="H62" s="29" t="s">
        <v>72</v>
      </c>
      <c r="I62" s="29" t="s">
        <v>73</v>
      </c>
      <c r="J62" s="29" t="s">
        <v>74</v>
      </c>
      <c r="K62" s="29" t="s">
        <v>227</v>
      </c>
      <c r="L62" s="29" t="s">
        <v>228</v>
      </c>
      <c r="M62" s="29" t="s">
        <v>229</v>
      </c>
      <c r="N62" s="29" t="s">
        <v>78</v>
      </c>
      <c r="O62" s="29" t="s">
        <v>78</v>
      </c>
      <c r="P62" s="29" t="s">
        <v>78</v>
      </c>
      <c r="Q62" s="29" t="s">
        <v>78</v>
      </c>
      <c r="R62" s="29" t="s">
        <v>230</v>
      </c>
      <c r="S62" s="26" t="s">
        <v>231</v>
      </c>
      <c r="T62" s="26" t="s">
        <v>232</v>
      </c>
    </row>
    <row r="63" customFormat="false" ht="19.5" hidden="false" customHeight="true" outlineLevel="0" collapsed="false">
      <c r="A63" s="23" t="s">
        <v>30</v>
      </c>
      <c r="B63" s="23" t="s">
        <v>261</v>
      </c>
      <c r="C63" s="23" t="s">
        <v>225</v>
      </c>
      <c r="D63" s="23" t="s">
        <v>152</v>
      </c>
      <c r="E63" s="97"/>
      <c r="F63" s="98" t="s">
        <v>262</v>
      </c>
      <c r="G63" s="16" t="s">
        <v>71</v>
      </c>
      <c r="H63" s="16" t="s">
        <v>72</v>
      </c>
      <c r="I63" s="16" t="s">
        <v>73</v>
      </c>
      <c r="J63" s="16" t="s">
        <v>74</v>
      </c>
      <c r="K63" s="16" t="s">
        <v>227</v>
      </c>
      <c r="L63" s="16" t="s">
        <v>228</v>
      </c>
      <c r="M63" s="16" t="s">
        <v>229</v>
      </c>
      <c r="N63" s="16" t="s">
        <v>78</v>
      </c>
      <c r="O63" s="16" t="s">
        <v>78</v>
      </c>
      <c r="P63" s="16" t="s">
        <v>78</v>
      </c>
      <c r="Q63" s="16" t="s">
        <v>78</v>
      </c>
      <c r="R63" s="16" t="s">
        <v>230</v>
      </c>
      <c r="S63" s="23" t="s">
        <v>231</v>
      </c>
      <c r="T63" s="23" t="s">
        <v>232</v>
      </c>
    </row>
    <row r="64" customFormat="false" ht="19.5" hidden="false" customHeight="true" outlineLevel="0" collapsed="false">
      <c r="A64" s="26" t="s">
        <v>30</v>
      </c>
      <c r="B64" s="26" t="s">
        <v>263</v>
      </c>
      <c r="C64" s="26" t="s">
        <v>225</v>
      </c>
      <c r="D64" s="26" t="s">
        <v>264</v>
      </c>
      <c r="E64" s="99"/>
      <c r="F64" s="100" t="s">
        <v>265</v>
      </c>
      <c r="G64" s="29" t="s">
        <v>71</v>
      </c>
      <c r="H64" s="29" t="s">
        <v>72</v>
      </c>
      <c r="I64" s="29" t="s">
        <v>73</v>
      </c>
      <c r="J64" s="29" t="s">
        <v>74</v>
      </c>
      <c r="K64" s="29" t="s">
        <v>227</v>
      </c>
      <c r="L64" s="29" t="s">
        <v>228</v>
      </c>
      <c r="M64" s="29" t="s">
        <v>229</v>
      </c>
      <c r="N64" s="29" t="s">
        <v>78</v>
      </c>
      <c r="O64" s="29" t="s">
        <v>78</v>
      </c>
      <c r="P64" s="29" t="s">
        <v>78</v>
      </c>
      <c r="Q64" s="29" t="s">
        <v>78</v>
      </c>
      <c r="R64" s="29" t="s">
        <v>230</v>
      </c>
      <c r="S64" s="26" t="s">
        <v>231</v>
      </c>
      <c r="T64" s="26" t="s">
        <v>266</v>
      </c>
    </row>
    <row r="65" customFormat="false" ht="19.5" hidden="false" customHeight="true" outlineLevel="0" collapsed="false">
      <c r="A65" s="23" t="s">
        <v>30</v>
      </c>
      <c r="B65" s="23" t="s">
        <v>267</v>
      </c>
      <c r="C65" s="23" t="s">
        <v>225</v>
      </c>
      <c r="D65" s="23" t="s">
        <v>100</v>
      </c>
      <c r="E65" s="16"/>
      <c r="F65" s="36" t="s">
        <v>101</v>
      </c>
      <c r="G65" s="16" t="s">
        <v>71</v>
      </c>
      <c r="H65" s="16" t="s">
        <v>72</v>
      </c>
      <c r="I65" s="16" t="s">
        <v>73</v>
      </c>
      <c r="J65" s="16" t="s">
        <v>74</v>
      </c>
      <c r="K65" s="16" t="s">
        <v>227</v>
      </c>
      <c r="L65" s="16" t="s">
        <v>228</v>
      </c>
      <c r="M65" s="16" t="s">
        <v>229</v>
      </c>
      <c r="N65" s="16" t="s">
        <v>78</v>
      </c>
      <c r="O65" s="16" t="s">
        <v>78</v>
      </c>
      <c r="P65" s="16" t="s">
        <v>78</v>
      </c>
      <c r="Q65" s="16" t="s">
        <v>78</v>
      </c>
      <c r="R65" s="16" t="s">
        <v>230</v>
      </c>
      <c r="S65" s="23" t="s">
        <v>231</v>
      </c>
      <c r="T65" s="23" t="s">
        <v>232</v>
      </c>
    </row>
    <row r="66" customFormat="false" ht="19.5" hidden="false" customHeight="true" outlineLevel="0" collapsed="false">
      <c r="A66" s="26" t="s">
        <v>30</v>
      </c>
      <c r="B66" s="26" t="s">
        <v>268</v>
      </c>
      <c r="C66" s="26" t="s">
        <v>225</v>
      </c>
      <c r="D66" s="26" t="s">
        <v>269</v>
      </c>
      <c r="E66" s="101"/>
      <c r="F66" s="102" t="s">
        <v>270</v>
      </c>
      <c r="G66" s="29" t="s">
        <v>71</v>
      </c>
      <c r="H66" s="29" t="s">
        <v>72</v>
      </c>
      <c r="I66" s="29" t="s">
        <v>73</v>
      </c>
      <c r="J66" s="29" t="s">
        <v>74</v>
      </c>
      <c r="K66" s="29" t="s">
        <v>227</v>
      </c>
      <c r="L66" s="29" t="s">
        <v>228</v>
      </c>
      <c r="M66" s="29" t="s">
        <v>229</v>
      </c>
      <c r="N66" s="29" t="s">
        <v>78</v>
      </c>
      <c r="O66" s="29" t="s">
        <v>78</v>
      </c>
      <c r="P66" s="29" t="s">
        <v>78</v>
      </c>
      <c r="Q66" s="29" t="s">
        <v>78</v>
      </c>
      <c r="R66" s="29" t="s">
        <v>230</v>
      </c>
      <c r="S66" s="26" t="s">
        <v>231</v>
      </c>
      <c r="T66" s="26" t="s">
        <v>232</v>
      </c>
    </row>
    <row r="67" customFormat="false" ht="19.5" hidden="false" customHeight="true" outlineLevel="0" collapsed="false">
      <c r="A67" s="23" t="s">
        <v>30</v>
      </c>
      <c r="B67" s="23" t="s">
        <v>271</v>
      </c>
      <c r="C67" s="23" t="s">
        <v>225</v>
      </c>
      <c r="D67" s="23" t="s">
        <v>159</v>
      </c>
      <c r="E67" s="103"/>
      <c r="F67" s="104" t="s">
        <v>272</v>
      </c>
      <c r="G67" s="16" t="s">
        <v>71</v>
      </c>
      <c r="H67" s="16" t="s">
        <v>72</v>
      </c>
      <c r="I67" s="16" t="s">
        <v>73</v>
      </c>
      <c r="J67" s="16" t="s">
        <v>74</v>
      </c>
      <c r="K67" s="16" t="s">
        <v>227</v>
      </c>
      <c r="L67" s="16" t="s">
        <v>228</v>
      </c>
      <c r="M67" s="16" t="s">
        <v>229</v>
      </c>
      <c r="N67" s="16" t="s">
        <v>78</v>
      </c>
      <c r="O67" s="16" t="s">
        <v>78</v>
      </c>
      <c r="P67" s="16" t="s">
        <v>78</v>
      </c>
      <c r="Q67" s="16" t="s">
        <v>78</v>
      </c>
      <c r="R67" s="16" t="s">
        <v>230</v>
      </c>
      <c r="S67" s="23" t="s">
        <v>231</v>
      </c>
      <c r="T67" s="23" t="s">
        <v>232</v>
      </c>
    </row>
    <row r="68" customFormat="false" ht="19.5" hidden="false" customHeight="true" outlineLevel="0" collapsed="false">
      <c r="A68" s="26" t="s">
        <v>31</v>
      </c>
      <c r="B68" s="26" t="s">
        <v>273</v>
      </c>
      <c r="C68" s="26" t="s">
        <v>274</v>
      </c>
      <c r="D68" s="26" t="s">
        <v>127</v>
      </c>
      <c r="E68" s="32"/>
      <c r="F68" s="33" t="s">
        <v>92</v>
      </c>
      <c r="G68" s="29" t="s">
        <v>71</v>
      </c>
      <c r="H68" s="29" t="s">
        <v>72</v>
      </c>
      <c r="I68" s="29" t="s">
        <v>73</v>
      </c>
      <c r="J68" s="29" t="s">
        <v>74</v>
      </c>
      <c r="K68" s="29" t="s">
        <v>227</v>
      </c>
      <c r="L68" s="29" t="s">
        <v>228</v>
      </c>
      <c r="M68" s="29" t="s">
        <v>229</v>
      </c>
      <c r="N68" s="29" t="s">
        <v>78</v>
      </c>
      <c r="O68" s="29" t="s">
        <v>78</v>
      </c>
      <c r="P68" s="29" t="s">
        <v>78</v>
      </c>
      <c r="Q68" s="29" t="s">
        <v>78</v>
      </c>
      <c r="R68" s="29" t="s">
        <v>93</v>
      </c>
      <c r="S68" s="26" t="s">
        <v>275</v>
      </c>
      <c r="T68" s="26" t="s">
        <v>276</v>
      </c>
    </row>
    <row r="69" customFormat="false" ht="19.5" hidden="false" customHeight="true" outlineLevel="0" collapsed="false">
      <c r="A69" s="23" t="s">
        <v>31</v>
      </c>
      <c r="B69" s="23" t="s">
        <v>277</v>
      </c>
      <c r="C69" s="23" t="s">
        <v>274</v>
      </c>
      <c r="D69" s="23" t="s">
        <v>135</v>
      </c>
      <c r="E69" s="32"/>
      <c r="F69" s="33" t="s">
        <v>92</v>
      </c>
      <c r="G69" s="16" t="s">
        <v>71</v>
      </c>
      <c r="H69" s="16" t="s">
        <v>72</v>
      </c>
      <c r="I69" s="16" t="s">
        <v>73</v>
      </c>
      <c r="J69" s="16" t="s">
        <v>74</v>
      </c>
      <c r="K69" s="16" t="s">
        <v>227</v>
      </c>
      <c r="L69" s="16" t="s">
        <v>228</v>
      </c>
      <c r="M69" s="16" t="s">
        <v>229</v>
      </c>
      <c r="N69" s="16" t="s">
        <v>78</v>
      </c>
      <c r="O69" s="16" t="s">
        <v>78</v>
      </c>
      <c r="P69" s="16" t="s">
        <v>78</v>
      </c>
      <c r="Q69" s="16" t="s">
        <v>78</v>
      </c>
      <c r="R69" s="16" t="s">
        <v>93</v>
      </c>
      <c r="S69" s="23" t="s">
        <v>275</v>
      </c>
      <c r="T69" s="23" t="s">
        <v>276</v>
      </c>
    </row>
    <row r="70" customFormat="false" ht="19.5" hidden="false" customHeight="true" outlineLevel="0" collapsed="false">
      <c r="A70" s="26" t="s">
        <v>31</v>
      </c>
      <c r="B70" s="26" t="s">
        <v>278</v>
      </c>
      <c r="C70" s="26" t="s">
        <v>274</v>
      </c>
      <c r="D70" s="26" t="s">
        <v>142</v>
      </c>
      <c r="E70" s="32"/>
      <c r="F70" s="33" t="s">
        <v>92</v>
      </c>
      <c r="G70" s="29" t="s">
        <v>71</v>
      </c>
      <c r="H70" s="29" t="s">
        <v>72</v>
      </c>
      <c r="I70" s="29" t="s">
        <v>73</v>
      </c>
      <c r="J70" s="29" t="s">
        <v>74</v>
      </c>
      <c r="K70" s="29" t="s">
        <v>227</v>
      </c>
      <c r="L70" s="29" t="s">
        <v>228</v>
      </c>
      <c r="M70" s="29" t="s">
        <v>229</v>
      </c>
      <c r="N70" s="29" t="s">
        <v>78</v>
      </c>
      <c r="O70" s="29" t="s">
        <v>78</v>
      </c>
      <c r="P70" s="29" t="s">
        <v>78</v>
      </c>
      <c r="Q70" s="29" t="s">
        <v>78</v>
      </c>
      <c r="R70" s="29" t="s">
        <v>93</v>
      </c>
      <c r="S70" s="26" t="s">
        <v>275</v>
      </c>
      <c r="T70" s="26" t="s">
        <v>276</v>
      </c>
    </row>
    <row r="71" customFormat="false" ht="19.5" hidden="false" customHeight="true" outlineLevel="0" collapsed="false">
      <c r="A71" s="23" t="s">
        <v>31</v>
      </c>
      <c r="B71" s="23" t="s">
        <v>279</v>
      </c>
      <c r="C71" s="23" t="s">
        <v>274</v>
      </c>
      <c r="D71" s="23" t="s">
        <v>241</v>
      </c>
      <c r="E71" s="32"/>
      <c r="F71" s="33" t="s">
        <v>92</v>
      </c>
      <c r="G71" s="16" t="s">
        <v>71</v>
      </c>
      <c r="H71" s="16" t="s">
        <v>72</v>
      </c>
      <c r="I71" s="16" t="s">
        <v>73</v>
      </c>
      <c r="J71" s="16" t="s">
        <v>74</v>
      </c>
      <c r="K71" s="16" t="s">
        <v>227</v>
      </c>
      <c r="L71" s="16" t="s">
        <v>228</v>
      </c>
      <c r="M71" s="16" t="s">
        <v>229</v>
      </c>
      <c r="N71" s="16" t="s">
        <v>78</v>
      </c>
      <c r="O71" s="16" t="s">
        <v>78</v>
      </c>
      <c r="P71" s="16" t="s">
        <v>78</v>
      </c>
      <c r="Q71" s="16" t="s">
        <v>78</v>
      </c>
      <c r="R71" s="16" t="s">
        <v>93</v>
      </c>
      <c r="S71" s="23" t="s">
        <v>275</v>
      </c>
      <c r="T71" s="23" t="s">
        <v>276</v>
      </c>
    </row>
    <row r="72" customFormat="false" ht="19.5" hidden="false" customHeight="true" outlineLevel="0" collapsed="false">
      <c r="A72" s="26" t="s">
        <v>31</v>
      </c>
      <c r="B72" s="26" t="s">
        <v>280</v>
      </c>
      <c r="C72" s="26" t="s">
        <v>274</v>
      </c>
      <c r="D72" s="26" t="s">
        <v>91</v>
      </c>
      <c r="E72" s="32"/>
      <c r="F72" s="33" t="s">
        <v>92</v>
      </c>
      <c r="G72" s="29" t="s">
        <v>71</v>
      </c>
      <c r="H72" s="29" t="s">
        <v>72</v>
      </c>
      <c r="I72" s="29" t="s">
        <v>73</v>
      </c>
      <c r="J72" s="29" t="s">
        <v>74</v>
      </c>
      <c r="K72" s="29" t="s">
        <v>227</v>
      </c>
      <c r="L72" s="29" t="s">
        <v>228</v>
      </c>
      <c r="M72" s="29" t="s">
        <v>229</v>
      </c>
      <c r="N72" s="29" t="s">
        <v>78</v>
      </c>
      <c r="O72" s="29" t="s">
        <v>78</v>
      </c>
      <c r="P72" s="29" t="s">
        <v>78</v>
      </c>
      <c r="Q72" s="29" t="s">
        <v>78</v>
      </c>
      <c r="R72" s="29" t="s">
        <v>93</v>
      </c>
      <c r="S72" s="26" t="s">
        <v>275</v>
      </c>
      <c r="T72" s="26" t="s">
        <v>276</v>
      </c>
    </row>
    <row r="73" customFormat="false" ht="19.5" hidden="false" customHeight="true" outlineLevel="0" collapsed="false">
      <c r="A73" s="23" t="s">
        <v>31</v>
      </c>
      <c r="B73" s="23" t="s">
        <v>281</v>
      </c>
      <c r="C73" s="23" t="s">
        <v>274</v>
      </c>
      <c r="D73" s="23" t="s">
        <v>246</v>
      </c>
      <c r="E73" s="32"/>
      <c r="F73" s="33" t="s">
        <v>92</v>
      </c>
      <c r="G73" s="16" t="s">
        <v>71</v>
      </c>
      <c r="H73" s="16" t="s">
        <v>72</v>
      </c>
      <c r="I73" s="16" t="s">
        <v>73</v>
      </c>
      <c r="J73" s="16" t="s">
        <v>74</v>
      </c>
      <c r="K73" s="16" t="s">
        <v>227</v>
      </c>
      <c r="L73" s="16" t="s">
        <v>228</v>
      </c>
      <c r="M73" s="16" t="s">
        <v>229</v>
      </c>
      <c r="N73" s="16" t="s">
        <v>78</v>
      </c>
      <c r="O73" s="16" t="s">
        <v>78</v>
      </c>
      <c r="P73" s="16" t="s">
        <v>78</v>
      </c>
      <c r="Q73" s="16" t="s">
        <v>78</v>
      </c>
      <c r="R73" s="16" t="s">
        <v>93</v>
      </c>
      <c r="S73" s="23" t="s">
        <v>275</v>
      </c>
      <c r="T73" s="23" t="s">
        <v>276</v>
      </c>
    </row>
    <row r="74" customFormat="false" ht="19.5" hidden="false" customHeight="true" outlineLevel="0" collapsed="false">
      <c r="A74" s="26" t="s">
        <v>31</v>
      </c>
      <c r="B74" s="26" t="s">
        <v>282</v>
      </c>
      <c r="C74" s="26" t="s">
        <v>274</v>
      </c>
      <c r="D74" s="26" t="s">
        <v>147</v>
      </c>
      <c r="E74" s="32"/>
      <c r="F74" s="33" t="s">
        <v>92</v>
      </c>
      <c r="G74" s="29" t="s">
        <v>71</v>
      </c>
      <c r="H74" s="29" t="s">
        <v>72</v>
      </c>
      <c r="I74" s="29" t="s">
        <v>73</v>
      </c>
      <c r="J74" s="29" t="s">
        <v>74</v>
      </c>
      <c r="K74" s="29" t="s">
        <v>227</v>
      </c>
      <c r="L74" s="29" t="s">
        <v>228</v>
      </c>
      <c r="M74" s="29" t="s">
        <v>229</v>
      </c>
      <c r="N74" s="29" t="s">
        <v>78</v>
      </c>
      <c r="O74" s="29" t="s">
        <v>78</v>
      </c>
      <c r="P74" s="29" t="s">
        <v>78</v>
      </c>
      <c r="Q74" s="29" t="s">
        <v>78</v>
      </c>
      <c r="R74" s="29" t="s">
        <v>93</v>
      </c>
      <c r="S74" s="26" t="s">
        <v>275</v>
      </c>
      <c r="T74" s="26" t="s">
        <v>276</v>
      </c>
    </row>
    <row r="75" customFormat="false" ht="19.5" hidden="false" customHeight="true" outlineLevel="0" collapsed="false">
      <c r="A75" s="23" t="s">
        <v>31</v>
      </c>
      <c r="B75" s="23" t="s">
        <v>283</v>
      </c>
      <c r="C75" s="23" t="s">
        <v>274</v>
      </c>
      <c r="D75" s="23" t="s">
        <v>170</v>
      </c>
      <c r="E75" s="32"/>
      <c r="F75" s="33" t="s">
        <v>92</v>
      </c>
      <c r="G75" s="16" t="s">
        <v>71</v>
      </c>
      <c r="H75" s="16" t="s">
        <v>72</v>
      </c>
      <c r="I75" s="16" t="s">
        <v>73</v>
      </c>
      <c r="J75" s="16" t="s">
        <v>74</v>
      </c>
      <c r="K75" s="16" t="s">
        <v>227</v>
      </c>
      <c r="L75" s="16" t="s">
        <v>228</v>
      </c>
      <c r="M75" s="16" t="s">
        <v>229</v>
      </c>
      <c r="N75" s="16" t="s">
        <v>78</v>
      </c>
      <c r="O75" s="16" t="s">
        <v>78</v>
      </c>
      <c r="P75" s="16" t="s">
        <v>78</v>
      </c>
      <c r="Q75" s="16" t="s">
        <v>78</v>
      </c>
      <c r="R75" s="16" t="s">
        <v>93</v>
      </c>
      <c r="S75" s="23" t="s">
        <v>275</v>
      </c>
      <c r="T75" s="23" t="s">
        <v>276</v>
      </c>
    </row>
    <row r="76" customFormat="false" ht="19.5" hidden="false" customHeight="true" outlineLevel="0" collapsed="false">
      <c r="A76" s="26" t="s">
        <v>31</v>
      </c>
      <c r="B76" s="26" t="s">
        <v>284</v>
      </c>
      <c r="C76" s="26" t="s">
        <v>274</v>
      </c>
      <c r="D76" s="26" t="s">
        <v>193</v>
      </c>
      <c r="E76" s="32"/>
      <c r="F76" s="33" t="s">
        <v>92</v>
      </c>
      <c r="G76" s="29" t="s">
        <v>71</v>
      </c>
      <c r="H76" s="29" t="s">
        <v>72</v>
      </c>
      <c r="I76" s="29" t="s">
        <v>73</v>
      </c>
      <c r="J76" s="29" t="s">
        <v>74</v>
      </c>
      <c r="K76" s="29" t="s">
        <v>227</v>
      </c>
      <c r="L76" s="29" t="s">
        <v>228</v>
      </c>
      <c r="M76" s="29" t="s">
        <v>229</v>
      </c>
      <c r="N76" s="29" t="s">
        <v>78</v>
      </c>
      <c r="O76" s="29" t="s">
        <v>78</v>
      </c>
      <c r="P76" s="29" t="s">
        <v>78</v>
      </c>
      <c r="Q76" s="29" t="s">
        <v>78</v>
      </c>
      <c r="R76" s="29" t="s">
        <v>93</v>
      </c>
      <c r="S76" s="26" t="s">
        <v>275</v>
      </c>
      <c r="T76" s="26" t="s">
        <v>276</v>
      </c>
    </row>
    <row r="77" customFormat="false" ht="19.5" hidden="false" customHeight="true" outlineLevel="0" collapsed="false">
      <c r="A77" s="23" t="s">
        <v>31</v>
      </c>
      <c r="B77" s="23" t="s">
        <v>285</v>
      </c>
      <c r="C77" s="23" t="s">
        <v>274</v>
      </c>
      <c r="D77" s="23" t="s">
        <v>97</v>
      </c>
      <c r="E77" s="32"/>
      <c r="F77" s="33" t="s">
        <v>92</v>
      </c>
      <c r="G77" s="16" t="s">
        <v>71</v>
      </c>
      <c r="H77" s="16" t="s">
        <v>72</v>
      </c>
      <c r="I77" s="16" t="s">
        <v>73</v>
      </c>
      <c r="J77" s="16" t="s">
        <v>74</v>
      </c>
      <c r="K77" s="16" t="s">
        <v>227</v>
      </c>
      <c r="L77" s="16" t="s">
        <v>228</v>
      </c>
      <c r="M77" s="16" t="s">
        <v>229</v>
      </c>
      <c r="N77" s="16" t="s">
        <v>78</v>
      </c>
      <c r="O77" s="16" t="s">
        <v>78</v>
      </c>
      <c r="P77" s="16" t="s">
        <v>78</v>
      </c>
      <c r="Q77" s="16" t="s">
        <v>78</v>
      </c>
      <c r="R77" s="16" t="s">
        <v>93</v>
      </c>
      <c r="S77" s="23" t="s">
        <v>275</v>
      </c>
      <c r="T77" s="23" t="s">
        <v>276</v>
      </c>
    </row>
    <row r="78" customFormat="false" ht="19.5" hidden="false" customHeight="true" outlineLevel="0" collapsed="false">
      <c r="A78" s="26" t="s">
        <v>31</v>
      </c>
      <c r="B78" s="26" t="s">
        <v>286</v>
      </c>
      <c r="C78" s="26" t="s">
        <v>274</v>
      </c>
      <c r="D78" s="26" t="s">
        <v>256</v>
      </c>
      <c r="E78" s="32"/>
      <c r="F78" s="33" t="s">
        <v>92</v>
      </c>
      <c r="G78" s="29" t="s">
        <v>71</v>
      </c>
      <c r="H78" s="29" t="s">
        <v>72</v>
      </c>
      <c r="I78" s="29" t="s">
        <v>73</v>
      </c>
      <c r="J78" s="29" t="s">
        <v>74</v>
      </c>
      <c r="K78" s="29" t="s">
        <v>227</v>
      </c>
      <c r="L78" s="29" t="s">
        <v>228</v>
      </c>
      <c r="M78" s="29" t="s">
        <v>229</v>
      </c>
      <c r="N78" s="29" t="s">
        <v>78</v>
      </c>
      <c r="O78" s="29" t="s">
        <v>78</v>
      </c>
      <c r="P78" s="29" t="s">
        <v>78</v>
      </c>
      <c r="Q78" s="29" t="s">
        <v>78</v>
      </c>
      <c r="R78" s="29" t="s">
        <v>93</v>
      </c>
      <c r="S78" s="26" t="s">
        <v>275</v>
      </c>
      <c r="T78" s="26" t="s">
        <v>276</v>
      </c>
    </row>
    <row r="79" customFormat="false" ht="19.5" hidden="false" customHeight="true" outlineLevel="0" collapsed="false">
      <c r="A79" s="23" t="s">
        <v>31</v>
      </c>
      <c r="B79" s="23" t="s">
        <v>287</v>
      </c>
      <c r="C79" s="23" t="s">
        <v>274</v>
      </c>
      <c r="D79" s="23" t="s">
        <v>259</v>
      </c>
      <c r="E79" s="32"/>
      <c r="F79" s="33" t="s">
        <v>92</v>
      </c>
      <c r="G79" s="16" t="s">
        <v>71</v>
      </c>
      <c r="H79" s="16" t="s">
        <v>72</v>
      </c>
      <c r="I79" s="16" t="s">
        <v>73</v>
      </c>
      <c r="J79" s="16" t="s">
        <v>74</v>
      </c>
      <c r="K79" s="16" t="s">
        <v>227</v>
      </c>
      <c r="L79" s="16" t="s">
        <v>228</v>
      </c>
      <c r="M79" s="16" t="s">
        <v>229</v>
      </c>
      <c r="N79" s="16" t="s">
        <v>78</v>
      </c>
      <c r="O79" s="16" t="s">
        <v>78</v>
      </c>
      <c r="P79" s="16" t="s">
        <v>78</v>
      </c>
      <c r="Q79" s="16" t="s">
        <v>78</v>
      </c>
      <c r="R79" s="16" t="s">
        <v>93</v>
      </c>
      <c r="S79" s="23" t="s">
        <v>275</v>
      </c>
      <c r="T79" s="23" t="s">
        <v>276</v>
      </c>
    </row>
    <row r="80" customFormat="false" ht="19.5" hidden="false" customHeight="true" outlineLevel="0" collapsed="false">
      <c r="A80" s="26" t="s">
        <v>31</v>
      </c>
      <c r="B80" s="26" t="s">
        <v>288</v>
      </c>
      <c r="C80" s="26" t="s">
        <v>274</v>
      </c>
      <c r="D80" s="26" t="s">
        <v>152</v>
      </c>
      <c r="E80" s="32"/>
      <c r="F80" s="33" t="s">
        <v>92</v>
      </c>
      <c r="G80" s="29" t="s">
        <v>71</v>
      </c>
      <c r="H80" s="29" t="s">
        <v>72</v>
      </c>
      <c r="I80" s="29" t="s">
        <v>73</v>
      </c>
      <c r="J80" s="29" t="s">
        <v>74</v>
      </c>
      <c r="K80" s="29" t="s">
        <v>227</v>
      </c>
      <c r="L80" s="29" t="s">
        <v>228</v>
      </c>
      <c r="M80" s="29" t="s">
        <v>229</v>
      </c>
      <c r="N80" s="29" t="s">
        <v>78</v>
      </c>
      <c r="O80" s="29" t="s">
        <v>78</v>
      </c>
      <c r="P80" s="29" t="s">
        <v>78</v>
      </c>
      <c r="Q80" s="29" t="s">
        <v>78</v>
      </c>
      <c r="R80" s="29" t="s">
        <v>93</v>
      </c>
      <c r="S80" s="26" t="s">
        <v>275</v>
      </c>
      <c r="T80" s="26" t="s">
        <v>276</v>
      </c>
    </row>
    <row r="81" customFormat="false" ht="19.5" hidden="false" customHeight="true" outlineLevel="0" collapsed="false">
      <c r="A81" s="23" t="s">
        <v>31</v>
      </c>
      <c r="B81" s="23" t="s">
        <v>289</v>
      </c>
      <c r="C81" s="23" t="s">
        <v>274</v>
      </c>
      <c r="D81" s="23" t="s">
        <v>264</v>
      </c>
      <c r="E81" s="32"/>
      <c r="F81" s="33" t="s">
        <v>92</v>
      </c>
      <c r="G81" s="16" t="s">
        <v>71</v>
      </c>
      <c r="H81" s="16" t="s">
        <v>72</v>
      </c>
      <c r="I81" s="16" t="s">
        <v>73</v>
      </c>
      <c r="J81" s="16" t="s">
        <v>74</v>
      </c>
      <c r="K81" s="16" t="s">
        <v>227</v>
      </c>
      <c r="L81" s="16" t="s">
        <v>228</v>
      </c>
      <c r="M81" s="16" t="s">
        <v>229</v>
      </c>
      <c r="N81" s="16" t="s">
        <v>78</v>
      </c>
      <c r="O81" s="16" t="s">
        <v>78</v>
      </c>
      <c r="P81" s="16" t="s">
        <v>78</v>
      </c>
      <c r="Q81" s="16" t="s">
        <v>78</v>
      </c>
      <c r="R81" s="16" t="s">
        <v>93</v>
      </c>
      <c r="S81" s="23" t="s">
        <v>275</v>
      </c>
      <c r="T81" s="23" t="s">
        <v>276</v>
      </c>
    </row>
    <row r="82" customFormat="false" ht="19.5" hidden="false" customHeight="true" outlineLevel="0" collapsed="false">
      <c r="A82" s="26" t="s">
        <v>31</v>
      </c>
      <c r="B82" s="26" t="s">
        <v>290</v>
      </c>
      <c r="C82" s="26" t="s">
        <v>274</v>
      </c>
      <c r="D82" s="26" t="s">
        <v>100</v>
      </c>
      <c r="E82" s="32"/>
      <c r="F82" s="33" t="s">
        <v>92</v>
      </c>
      <c r="G82" s="29" t="s">
        <v>71</v>
      </c>
      <c r="H82" s="29" t="s">
        <v>72</v>
      </c>
      <c r="I82" s="29" t="s">
        <v>73</v>
      </c>
      <c r="J82" s="29" t="s">
        <v>74</v>
      </c>
      <c r="K82" s="29" t="s">
        <v>227</v>
      </c>
      <c r="L82" s="29" t="s">
        <v>228</v>
      </c>
      <c r="M82" s="29" t="s">
        <v>229</v>
      </c>
      <c r="N82" s="29" t="s">
        <v>78</v>
      </c>
      <c r="O82" s="29" t="s">
        <v>78</v>
      </c>
      <c r="P82" s="29" t="s">
        <v>78</v>
      </c>
      <c r="Q82" s="29" t="s">
        <v>78</v>
      </c>
      <c r="R82" s="29" t="s">
        <v>93</v>
      </c>
      <c r="S82" s="26" t="s">
        <v>275</v>
      </c>
      <c r="T82" s="26" t="s">
        <v>276</v>
      </c>
    </row>
    <row r="83" customFormat="false" ht="19.5" hidden="false" customHeight="true" outlineLevel="0" collapsed="false">
      <c r="A83" s="23" t="s">
        <v>31</v>
      </c>
      <c r="B83" s="23" t="s">
        <v>291</v>
      </c>
      <c r="C83" s="23" t="s">
        <v>274</v>
      </c>
      <c r="D83" s="23" t="s">
        <v>269</v>
      </c>
      <c r="E83" s="32"/>
      <c r="F83" s="33" t="s">
        <v>92</v>
      </c>
      <c r="G83" s="16" t="s">
        <v>71</v>
      </c>
      <c r="H83" s="16" t="s">
        <v>72</v>
      </c>
      <c r="I83" s="16" t="s">
        <v>73</v>
      </c>
      <c r="J83" s="16" t="s">
        <v>74</v>
      </c>
      <c r="K83" s="16" t="s">
        <v>227</v>
      </c>
      <c r="L83" s="16" t="s">
        <v>228</v>
      </c>
      <c r="M83" s="16" t="s">
        <v>229</v>
      </c>
      <c r="N83" s="16" t="s">
        <v>78</v>
      </c>
      <c r="O83" s="16" t="s">
        <v>78</v>
      </c>
      <c r="P83" s="16" t="s">
        <v>78</v>
      </c>
      <c r="Q83" s="16" t="s">
        <v>78</v>
      </c>
      <c r="R83" s="16" t="s">
        <v>93</v>
      </c>
      <c r="S83" s="23" t="s">
        <v>275</v>
      </c>
      <c r="T83" s="23" t="s">
        <v>276</v>
      </c>
    </row>
    <row r="84" customFormat="false" ht="19.5" hidden="false" customHeight="true" outlineLevel="0" collapsed="false">
      <c r="A84" s="26" t="s">
        <v>31</v>
      </c>
      <c r="B84" s="26" t="s">
        <v>292</v>
      </c>
      <c r="C84" s="26" t="s">
        <v>274</v>
      </c>
      <c r="D84" s="26" t="s">
        <v>159</v>
      </c>
      <c r="E84" s="32"/>
      <c r="F84" s="33" t="s">
        <v>92</v>
      </c>
      <c r="G84" s="29" t="s">
        <v>71</v>
      </c>
      <c r="H84" s="29" t="s">
        <v>72</v>
      </c>
      <c r="I84" s="29" t="s">
        <v>73</v>
      </c>
      <c r="J84" s="29" t="s">
        <v>74</v>
      </c>
      <c r="K84" s="29" t="s">
        <v>227</v>
      </c>
      <c r="L84" s="29" t="s">
        <v>228</v>
      </c>
      <c r="M84" s="29" t="s">
        <v>229</v>
      </c>
      <c r="N84" s="29" t="s">
        <v>78</v>
      </c>
      <c r="O84" s="29" t="s">
        <v>78</v>
      </c>
      <c r="P84" s="29" t="s">
        <v>78</v>
      </c>
      <c r="Q84" s="29" t="s">
        <v>78</v>
      </c>
      <c r="R84" s="29" t="s">
        <v>93</v>
      </c>
      <c r="S84" s="26" t="s">
        <v>275</v>
      </c>
      <c r="T84" s="26" t="s">
        <v>276</v>
      </c>
    </row>
    <row r="85" customFormat="false" ht="19.5" hidden="false" customHeight="true" outlineLevel="0" collapsed="false">
      <c r="A85" s="23" t="s">
        <v>32</v>
      </c>
      <c r="B85" s="23" t="s">
        <v>293</v>
      </c>
      <c r="C85" s="23" t="s">
        <v>294</v>
      </c>
      <c r="D85" s="23" t="s">
        <v>295</v>
      </c>
      <c r="E85" s="32"/>
      <c r="F85" s="33" t="s">
        <v>92</v>
      </c>
      <c r="G85" s="16" t="s">
        <v>71</v>
      </c>
      <c r="H85" s="16" t="s">
        <v>128</v>
      </c>
      <c r="I85" s="16" t="s">
        <v>73</v>
      </c>
      <c r="J85" s="16" t="s">
        <v>74</v>
      </c>
      <c r="K85" s="16" t="s">
        <v>296</v>
      </c>
      <c r="L85" s="16" t="s">
        <v>297</v>
      </c>
      <c r="M85" s="16" t="s">
        <v>298</v>
      </c>
      <c r="N85" s="16" t="s">
        <v>78</v>
      </c>
      <c r="O85" s="16" t="s">
        <v>78</v>
      </c>
      <c r="P85" s="16" t="s">
        <v>78</v>
      </c>
      <c r="Q85" s="16" t="s">
        <v>78</v>
      </c>
      <c r="R85" s="16" t="s">
        <v>93</v>
      </c>
      <c r="S85" s="23" t="s">
        <v>299</v>
      </c>
      <c r="T85" s="23" t="s">
        <v>133</v>
      </c>
    </row>
    <row r="86" customFormat="false" ht="19.5" hidden="false" customHeight="true" outlineLevel="0" collapsed="false">
      <c r="A86" s="26" t="s">
        <v>32</v>
      </c>
      <c r="B86" s="26" t="s">
        <v>300</v>
      </c>
      <c r="C86" s="26" t="s">
        <v>294</v>
      </c>
      <c r="D86" s="26" t="s">
        <v>127</v>
      </c>
      <c r="E86" s="105"/>
      <c r="F86" s="82" t="s">
        <v>301</v>
      </c>
      <c r="G86" s="29" t="s">
        <v>71</v>
      </c>
      <c r="H86" s="29" t="s">
        <v>128</v>
      </c>
      <c r="I86" s="29" t="s">
        <v>73</v>
      </c>
      <c r="J86" s="29" t="s">
        <v>74</v>
      </c>
      <c r="K86" s="29" t="s">
        <v>296</v>
      </c>
      <c r="L86" s="29" t="s">
        <v>297</v>
      </c>
      <c r="M86" s="29" t="s">
        <v>298</v>
      </c>
      <c r="N86" s="29" t="s">
        <v>78</v>
      </c>
      <c r="O86" s="29" t="s">
        <v>78</v>
      </c>
      <c r="P86" s="29" t="s">
        <v>78</v>
      </c>
      <c r="Q86" s="29" t="s">
        <v>78</v>
      </c>
      <c r="R86" s="29" t="s">
        <v>80</v>
      </c>
      <c r="S86" s="26" t="s">
        <v>302</v>
      </c>
      <c r="T86" s="26" t="s">
        <v>138</v>
      </c>
    </row>
    <row r="87" customFormat="false" ht="19.5" hidden="false" customHeight="true" outlineLevel="0" collapsed="false">
      <c r="A87" s="23" t="s">
        <v>32</v>
      </c>
      <c r="B87" s="23" t="s">
        <v>303</v>
      </c>
      <c r="C87" s="23" t="s">
        <v>294</v>
      </c>
      <c r="D87" s="23" t="s">
        <v>135</v>
      </c>
      <c r="E87" s="32"/>
      <c r="F87" s="33" t="s">
        <v>92</v>
      </c>
      <c r="G87" s="16" t="s">
        <v>71</v>
      </c>
      <c r="H87" s="16" t="s">
        <v>128</v>
      </c>
      <c r="I87" s="16" t="s">
        <v>73</v>
      </c>
      <c r="J87" s="16" t="s">
        <v>74</v>
      </c>
      <c r="K87" s="16" t="s">
        <v>296</v>
      </c>
      <c r="L87" s="16" t="s">
        <v>297</v>
      </c>
      <c r="M87" s="16" t="s">
        <v>298</v>
      </c>
      <c r="N87" s="16" t="s">
        <v>78</v>
      </c>
      <c r="O87" s="16" t="s">
        <v>78</v>
      </c>
      <c r="P87" s="16" t="s">
        <v>78</v>
      </c>
      <c r="Q87" s="16" t="s">
        <v>78</v>
      </c>
      <c r="R87" s="16" t="s">
        <v>93</v>
      </c>
      <c r="S87" s="23" t="s">
        <v>299</v>
      </c>
      <c r="T87" s="23" t="s">
        <v>133</v>
      </c>
    </row>
    <row r="88" customFormat="false" ht="19.5" hidden="false" customHeight="true" outlineLevel="0" collapsed="false">
      <c r="A88" s="26" t="s">
        <v>32</v>
      </c>
      <c r="B88" s="26" t="s">
        <v>304</v>
      </c>
      <c r="C88" s="26" t="s">
        <v>294</v>
      </c>
      <c r="D88" s="26" t="s">
        <v>305</v>
      </c>
      <c r="E88" s="32"/>
      <c r="F88" s="33" t="s">
        <v>92</v>
      </c>
      <c r="G88" s="29" t="s">
        <v>71</v>
      </c>
      <c r="H88" s="29" t="s">
        <v>128</v>
      </c>
      <c r="I88" s="29" t="s">
        <v>73</v>
      </c>
      <c r="J88" s="29" t="s">
        <v>74</v>
      </c>
      <c r="K88" s="29" t="s">
        <v>296</v>
      </c>
      <c r="L88" s="29" t="s">
        <v>297</v>
      </c>
      <c r="M88" s="29" t="s">
        <v>298</v>
      </c>
      <c r="N88" s="29" t="s">
        <v>78</v>
      </c>
      <c r="O88" s="29" t="s">
        <v>78</v>
      </c>
      <c r="P88" s="29" t="s">
        <v>78</v>
      </c>
      <c r="Q88" s="29" t="s">
        <v>78</v>
      </c>
      <c r="R88" s="29" t="s">
        <v>93</v>
      </c>
      <c r="S88" s="26" t="s">
        <v>299</v>
      </c>
      <c r="T88" s="26" t="s">
        <v>133</v>
      </c>
    </row>
    <row r="89" customFormat="false" ht="19.5" hidden="false" customHeight="true" outlineLevel="0" collapsed="false">
      <c r="A89" s="23" t="s">
        <v>32</v>
      </c>
      <c r="B89" s="23" t="s">
        <v>306</v>
      </c>
      <c r="C89" s="23" t="s">
        <v>294</v>
      </c>
      <c r="D89" s="23" t="s">
        <v>307</v>
      </c>
      <c r="E89" s="106"/>
      <c r="F89" s="47" t="s">
        <v>308</v>
      </c>
      <c r="G89" s="16" t="s">
        <v>71</v>
      </c>
      <c r="H89" s="16" t="s">
        <v>128</v>
      </c>
      <c r="I89" s="16" t="s">
        <v>73</v>
      </c>
      <c r="J89" s="16" t="s">
        <v>74</v>
      </c>
      <c r="K89" s="16" t="s">
        <v>296</v>
      </c>
      <c r="L89" s="16" t="s">
        <v>297</v>
      </c>
      <c r="M89" s="16" t="s">
        <v>298</v>
      </c>
      <c r="N89" s="16" t="s">
        <v>78</v>
      </c>
      <c r="O89" s="16" t="s">
        <v>78</v>
      </c>
      <c r="P89" s="16" t="s">
        <v>78</v>
      </c>
      <c r="Q89" s="16" t="s">
        <v>78</v>
      </c>
      <c r="R89" s="16" t="s">
        <v>80</v>
      </c>
      <c r="S89" s="23" t="s">
        <v>302</v>
      </c>
      <c r="T89" s="23" t="s">
        <v>309</v>
      </c>
    </row>
    <row r="90" customFormat="false" ht="19.5" hidden="false" customHeight="true" outlineLevel="0" collapsed="false">
      <c r="A90" s="26" t="s">
        <v>32</v>
      </c>
      <c r="B90" s="26" t="s">
        <v>310</v>
      </c>
      <c r="C90" s="26" t="s">
        <v>294</v>
      </c>
      <c r="D90" s="26" t="s">
        <v>311</v>
      </c>
      <c r="E90" s="32"/>
      <c r="F90" s="33" t="s">
        <v>92</v>
      </c>
      <c r="G90" s="29" t="s">
        <v>71</v>
      </c>
      <c r="H90" s="29" t="s">
        <v>128</v>
      </c>
      <c r="I90" s="29" t="s">
        <v>73</v>
      </c>
      <c r="J90" s="29" t="s">
        <v>74</v>
      </c>
      <c r="K90" s="29" t="s">
        <v>296</v>
      </c>
      <c r="L90" s="29" t="s">
        <v>297</v>
      </c>
      <c r="M90" s="29" t="s">
        <v>298</v>
      </c>
      <c r="N90" s="29" t="s">
        <v>78</v>
      </c>
      <c r="O90" s="29" t="s">
        <v>78</v>
      </c>
      <c r="P90" s="29" t="s">
        <v>78</v>
      </c>
      <c r="Q90" s="29" t="s">
        <v>78</v>
      </c>
      <c r="R90" s="29" t="s">
        <v>93</v>
      </c>
      <c r="S90" s="26" t="s">
        <v>299</v>
      </c>
      <c r="T90" s="26" t="s">
        <v>133</v>
      </c>
    </row>
    <row r="91" customFormat="false" ht="19.5" hidden="false" customHeight="true" outlineLevel="0" collapsed="false">
      <c r="A91" s="23" t="s">
        <v>32</v>
      </c>
      <c r="B91" s="23" t="s">
        <v>312</v>
      </c>
      <c r="C91" s="23" t="s">
        <v>294</v>
      </c>
      <c r="D91" s="23" t="s">
        <v>144</v>
      </c>
      <c r="E91" s="32"/>
      <c r="F91" s="33" t="s">
        <v>92</v>
      </c>
      <c r="G91" s="16" t="s">
        <v>71</v>
      </c>
      <c r="H91" s="16" t="s">
        <v>128</v>
      </c>
      <c r="I91" s="16" t="s">
        <v>73</v>
      </c>
      <c r="J91" s="16" t="s">
        <v>74</v>
      </c>
      <c r="K91" s="16" t="s">
        <v>296</v>
      </c>
      <c r="L91" s="16" t="s">
        <v>297</v>
      </c>
      <c r="M91" s="16" t="s">
        <v>298</v>
      </c>
      <c r="N91" s="16" t="s">
        <v>78</v>
      </c>
      <c r="O91" s="16" t="s">
        <v>78</v>
      </c>
      <c r="P91" s="16" t="s">
        <v>78</v>
      </c>
      <c r="Q91" s="16" t="s">
        <v>78</v>
      </c>
      <c r="R91" s="16" t="s">
        <v>93</v>
      </c>
      <c r="S91" s="23" t="s">
        <v>299</v>
      </c>
      <c r="T91" s="23" t="s">
        <v>133</v>
      </c>
    </row>
    <row r="92" customFormat="false" ht="19.5" hidden="false" customHeight="true" outlineLevel="0" collapsed="false">
      <c r="A92" s="26" t="s">
        <v>32</v>
      </c>
      <c r="B92" s="26" t="s">
        <v>313</v>
      </c>
      <c r="C92" s="26" t="s">
        <v>294</v>
      </c>
      <c r="D92" s="26" t="s">
        <v>91</v>
      </c>
      <c r="E92" s="32"/>
      <c r="F92" s="33" t="s">
        <v>92</v>
      </c>
      <c r="G92" s="29" t="s">
        <v>71</v>
      </c>
      <c r="H92" s="29" t="s">
        <v>128</v>
      </c>
      <c r="I92" s="29" t="s">
        <v>73</v>
      </c>
      <c r="J92" s="29" t="s">
        <v>74</v>
      </c>
      <c r="K92" s="29" t="s">
        <v>296</v>
      </c>
      <c r="L92" s="29" t="s">
        <v>297</v>
      </c>
      <c r="M92" s="29" t="s">
        <v>298</v>
      </c>
      <c r="N92" s="29" t="s">
        <v>78</v>
      </c>
      <c r="O92" s="29" t="s">
        <v>78</v>
      </c>
      <c r="P92" s="29" t="s">
        <v>78</v>
      </c>
      <c r="Q92" s="29" t="s">
        <v>78</v>
      </c>
      <c r="R92" s="29" t="s">
        <v>93</v>
      </c>
      <c r="S92" s="26" t="s">
        <v>299</v>
      </c>
      <c r="T92" s="26" t="s">
        <v>133</v>
      </c>
    </row>
    <row r="93" customFormat="false" ht="19.5" hidden="false" customHeight="true" outlineLevel="0" collapsed="false">
      <c r="A93" s="23" t="s">
        <v>32</v>
      </c>
      <c r="B93" s="23" t="s">
        <v>314</v>
      </c>
      <c r="C93" s="23" t="s">
        <v>294</v>
      </c>
      <c r="D93" s="23" t="s">
        <v>315</v>
      </c>
      <c r="E93" s="107"/>
      <c r="F93" s="108" t="s">
        <v>316</v>
      </c>
      <c r="G93" s="16" t="s">
        <v>71</v>
      </c>
      <c r="H93" s="16" t="s">
        <v>128</v>
      </c>
      <c r="I93" s="16" t="s">
        <v>73</v>
      </c>
      <c r="J93" s="16" t="s">
        <v>74</v>
      </c>
      <c r="K93" s="16" t="s">
        <v>317</v>
      </c>
      <c r="L93" s="16" t="s">
        <v>297</v>
      </c>
      <c r="M93" s="16" t="s">
        <v>298</v>
      </c>
      <c r="N93" s="16" t="s">
        <v>78</v>
      </c>
      <c r="O93" s="16" t="s">
        <v>78</v>
      </c>
      <c r="P93" s="16" t="s">
        <v>78</v>
      </c>
      <c r="Q93" s="16" t="s">
        <v>78</v>
      </c>
      <c r="R93" s="16" t="s">
        <v>80</v>
      </c>
      <c r="S93" s="23" t="s">
        <v>302</v>
      </c>
      <c r="T93" s="23" t="s">
        <v>138</v>
      </c>
    </row>
    <row r="94" customFormat="false" ht="19.5" hidden="false" customHeight="true" outlineLevel="0" collapsed="false">
      <c r="A94" s="26" t="s">
        <v>32</v>
      </c>
      <c r="B94" s="26" t="s">
        <v>318</v>
      </c>
      <c r="C94" s="26" t="s">
        <v>294</v>
      </c>
      <c r="D94" s="26" t="s">
        <v>319</v>
      </c>
      <c r="E94" s="32"/>
      <c r="F94" s="33" t="s">
        <v>92</v>
      </c>
      <c r="G94" s="29" t="s">
        <v>71</v>
      </c>
      <c r="H94" s="29" t="s">
        <v>128</v>
      </c>
      <c r="I94" s="29" t="s">
        <v>73</v>
      </c>
      <c r="J94" s="29" t="s">
        <v>74</v>
      </c>
      <c r="K94" s="29" t="s">
        <v>296</v>
      </c>
      <c r="L94" s="29" t="s">
        <v>297</v>
      </c>
      <c r="M94" s="29" t="s">
        <v>298</v>
      </c>
      <c r="N94" s="29" t="s">
        <v>78</v>
      </c>
      <c r="O94" s="29" t="s">
        <v>78</v>
      </c>
      <c r="P94" s="29" t="s">
        <v>78</v>
      </c>
      <c r="Q94" s="29" t="s">
        <v>78</v>
      </c>
      <c r="R94" s="29" t="s">
        <v>93</v>
      </c>
      <c r="S94" s="26" t="s">
        <v>299</v>
      </c>
      <c r="T94" s="26" t="s">
        <v>133</v>
      </c>
    </row>
    <row r="95" customFormat="false" ht="19.5" hidden="false" customHeight="true" outlineLevel="0" collapsed="false">
      <c r="A95" s="23" t="s">
        <v>32</v>
      </c>
      <c r="B95" s="23" t="s">
        <v>320</v>
      </c>
      <c r="C95" s="23" t="s">
        <v>294</v>
      </c>
      <c r="D95" s="23" t="s">
        <v>147</v>
      </c>
      <c r="E95" s="32"/>
      <c r="F95" s="33" t="s">
        <v>92</v>
      </c>
      <c r="G95" s="16" t="s">
        <v>71</v>
      </c>
      <c r="H95" s="16" t="s">
        <v>128</v>
      </c>
      <c r="I95" s="16" t="s">
        <v>73</v>
      </c>
      <c r="J95" s="16" t="s">
        <v>74</v>
      </c>
      <c r="K95" s="16" t="s">
        <v>296</v>
      </c>
      <c r="L95" s="16" t="s">
        <v>297</v>
      </c>
      <c r="M95" s="16" t="s">
        <v>298</v>
      </c>
      <c r="N95" s="16" t="s">
        <v>78</v>
      </c>
      <c r="O95" s="16" t="s">
        <v>78</v>
      </c>
      <c r="P95" s="16" t="s">
        <v>78</v>
      </c>
      <c r="Q95" s="16" t="s">
        <v>78</v>
      </c>
      <c r="R95" s="16" t="s">
        <v>93</v>
      </c>
      <c r="S95" s="23" t="s">
        <v>299</v>
      </c>
      <c r="T95" s="23" t="s">
        <v>133</v>
      </c>
    </row>
    <row r="96" customFormat="false" ht="19.5" hidden="false" customHeight="true" outlineLevel="0" collapsed="false">
      <c r="A96" s="26" t="s">
        <v>32</v>
      </c>
      <c r="B96" s="26" t="s">
        <v>321</v>
      </c>
      <c r="C96" s="26" t="s">
        <v>294</v>
      </c>
      <c r="D96" s="26" t="s">
        <v>170</v>
      </c>
      <c r="E96" s="32"/>
      <c r="F96" s="33" t="s">
        <v>92</v>
      </c>
      <c r="G96" s="29" t="s">
        <v>71</v>
      </c>
      <c r="H96" s="29" t="s">
        <v>128</v>
      </c>
      <c r="I96" s="29" t="s">
        <v>73</v>
      </c>
      <c r="J96" s="29" t="s">
        <v>74</v>
      </c>
      <c r="K96" s="29" t="s">
        <v>296</v>
      </c>
      <c r="L96" s="29" t="s">
        <v>297</v>
      </c>
      <c r="M96" s="29" t="s">
        <v>298</v>
      </c>
      <c r="N96" s="29" t="s">
        <v>78</v>
      </c>
      <c r="O96" s="29" t="s">
        <v>78</v>
      </c>
      <c r="P96" s="29" t="s">
        <v>78</v>
      </c>
      <c r="Q96" s="29" t="s">
        <v>78</v>
      </c>
      <c r="R96" s="29" t="s">
        <v>93</v>
      </c>
      <c r="S96" s="26" t="s">
        <v>299</v>
      </c>
      <c r="T96" s="26" t="s">
        <v>133</v>
      </c>
    </row>
    <row r="97" customFormat="false" ht="19.5" hidden="false" customHeight="true" outlineLevel="0" collapsed="false">
      <c r="A97" s="23" t="s">
        <v>32</v>
      </c>
      <c r="B97" s="23" t="s">
        <v>322</v>
      </c>
      <c r="C97" s="23" t="s">
        <v>294</v>
      </c>
      <c r="D97" s="23" t="s">
        <v>193</v>
      </c>
      <c r="E97" s="32"/>
      <c r="F97" s="33" t="s">
        <v>92</v>
      </c>
      <c r="G97" s="16" t="s">
        <v>71</v>
      </c>
      <c r="H97" s="16" t="s">
        <v>128</v>
      </c>
      <c r="I97" s="16" t="s">
        <v>73</v>
      </c>
      <c r="J97" s="16" t="s">
        <v>74</v>
      </c>
      <c r="K97" s="16" t="s">
        <v>296</v>
      </c>
      <c r="L97" s="16" t="s">
        <v>297</v>
      </c>
      <c r="M97" s="16" t="s">
        <v>298</v>
      </c>
      <c r="N97" s="16" t="s">
        <v>78</v>
      </c>
      <c r="O97" s="16" t="s">
        <v>78</v>
      </c>
      <c r="P97" s="16" t="s">
        <v>78</v>
      </c>
      <c r="Q97" s="16" t="s">
        <v>78</v>
      </c>
      <c r="R97" s="16" t="s">
        <v>93</v>
      </c>
      <c r="S97" s="23" t="s">
        <v>299</v>
      </c>
      <c r="T97" s="23" t="s">
        <v>133</v>
      </c>
    </row>
    <row r="98" customFormat="false" ht="19.5" hidden="false" customHeight="true" outlineLevel="0" collapsed="false">
      <c r="A98" s="26" t="s">
        <v>32</v>
      </c>
      <c r="B98" s="26" t="s">
        <v>323</v>
      </c>
      <c r="C98" s="26" t="s">
        <v>294</v>
      </c>
      <c r="D98" s="26" t="s">
        <v>97</v>
      </c>
      <c r="E98" s="32"/>
      <c r="F98" s="33" t="s">
        <v>92</v>
      </c>
      <c r="G98" s="29" t="s">
        <v>71</v>
      </c>
      <c r="H98" s="29" t="s">
        <v>128</v>
      </c>
      <c r="I98" s="29" t="s">
        <v>73</v>
      </c>
      <c r="J98" s="29" t="s">
        <v>74</v>
      </c>
      <c r="K98" s="29" t="s">
        <v>296</v>
      </c>
      <c r="L98" s="29" t="s">
        <v>297</v>
      </c>
      <c r="M98" s="29" t="s">
        <v>298</v>
      </c>
      <c r="N98" s="29" t="s">
        <v>78</v>
      </c>
      <c r="O98" s="29" t="s">
        <v>78</v>
      </c>
      <c r="P98" s="29" t="s">
        <v>78</v>
      </c>
      <c r="Q98" s="29" t="s">
        <v>78</v>
      </c>
      <c r="R98" s="29" t="s">
        <v>93</v>
      </c>
      <c r="S98" s="26" t="s">
        <v>299</v>
      </c>
      <c r="T98" s="26" t="s">
        <v>133</v>
      </c>
    </row>
    <row r="99" customFormat="false" ht="19.5" hidden="false" customHeight="true" outlineLevel="0" collapsed="false">
      <c r="A99" s="23" t="s">
        <v>32</v>
      </c>
      <c r="B99" s="23" t="s">
        <v>324</v>
      </c>
      <c r="C99" s="23" t="s">
        <v>294</v>
      </c>
      <c r="D99" s="23" t="s">
        <v>325</v>
      </c>
      <c r="E99" s="103"/>
      <c r="F99" s="104" t="s">
        <v>326</v>
      </c>
      <c r="G99" s="16" t="s">
        <v>71</v>
      </c>
      <c r="H99" s="16" t="s">
        <v>128</v>
      </c>
      <c r="I99" s="16" t="s">
        <v>73</v>
      </c>
      <c r="J99" s="16" t="s">
        <v>74</v>
      </c>
      <c r="K99" s="16" t="s">
        <v>296</v>
      </c>
      <c r="L99" s="16" t="s">
        <v>297</v>
      </c>
      <c r="M99" s="16" t="s">
        <v>298</v>
      </c>
      <c r="N99" s="16" t="s">
        <v>78</v>
      </c>
      <c r="O99" s="16" t="s">
        <v>78</v>
      </c>
      <c r="P99" s="16" t="s">
        <v>78</v>
      </c>
      <c r="Q99" s="16" t="s">
        <v>78</v>
      </c>
      <c r="R99" s="16" t="s">
        <v>80</v>
      </c>
      <c r="S99" s="23" t="s">
        <v>302</v>
      </c>
      <c r="T99" s="23" t="s">
        <v>327</v>
      </c>
    </row>
    <row r="100" customFormat="false" ht="19.5" hidden="false" customHeight="true" outlineLevel="0" collapsed="false">
      <c r="A100" s="26" t="s">
        <v>32</v>
      </c>
      <c r="B100" s="26" t="s">
        <v>328</v>
      </c>
      <c r="C100" s="26" t="s">
        <v>294</v>
      </c>
      <c r="D100" s="26" t="s">
        <v>264</v>
      </c>
      <c r="E100" s="109"/>
      <c r="F100" s="110" t="s">
        <v>329</v>
      </c>
      <c r="G100" s="29" t="s">
        <v>71</v>
      </c>
      <c r="H100" s="29" t="s">
        <v>128</v>
      </c>
      <c r="I100" s="29" t="s">
        <v>73</v>
      </c>
      <c r="J100" s="29" t="s">
        <v>74</v>
      </c>
      <c r="K100" s="29" t="s">
        <v>296</v>
      </c>
      <c r="L100" s="29" t="s">
        <v>297</v>
      </c>
      <c r="M100" s="29" t="s">
        <v>298</v>
      </c>
      <c r="N100" s="29" t="s">
        <v>78</v>
      </c>
      <c r="O100" s="29" t="s">
        <v>78</v>
      </c>
      <c r="P100" s="29" t="s">
        <v>78</v>
      </c>
      <c r="Q100" s="29" t="s">
        <v>78</v>
      </c>
      <c r="R100" s="29" t="s">
        <v>80</v>
      </c>
      <c r="S100" s="26" t="s">
        <v>330</v>
      </c>
      <c r="T100" s="26" t="s">
        <v>138</v>
      </c>
    </row>
    <row r="101" customFormat="false" ht="19.5" hidden="false" customHeight="true" outlineLevel="0" collapsed="false">
      <c r="A101" s="23" t="s">
        <v>32</v>
      </c>
      <c r="B101" s="23" t="s">
        <v>331</v>
      </c>
      <c r="C101" s="23" t="s">
        <v>294</v>
      </c>
      <c r="D101" s="23" t="s">
        <v>332</v>
      </c>
      <c r="E101" s="32"/>
      <c r="F101" s="33" t="s">
        <v>92</v>
      </c>
      <c r="G101" s="16" t="s">
        <v>71</v>
      </c>
      <c r="H101" s="16" t="s">
        <v>128</v>
      </c>
      <c r="I101" s="16" t="s">
        <v>73</v>
      </c>
      <c r="J101" s="16" t="s">
        <v>74</v>
      </c>
      <c r="K101" s="16" t="s">
        <v>296</v>
      </c>
      <c r="L101" s="16" t="s">
        <v>297</v>
      </c>
      <c r="M101" s="16" t="s">
        <v>298</v>
      </c>
      <c r="N101" s="16" t="s">
        <v>78</v>
      </c>
      <c r="O101" s="16" t="s">
        <v>78</v>
      </c>
      <c r="P101" s="16" t="s">
        <v>78</v>
      </c>
      <c r="Q101" s="16" t="s">
        <v>78</v>
      </c>
      <c r="R101" s="16" t="s">
        <v>93</v>
      </c>
      <c r="S101" s="23" t="s">
        <v>299</v>
      </c>
      <c r="T101" s="23" t="s">
        <v>133</v>
      </c>
    </row>
    <row r="102" customFormat="false" ht="19.5" hidden="false" customHeight="true" outlineLevel="0" collapsed="false">
      <c r="A102" s="26" t="s">
        <v>32</v>
      </c>
      <c r="B102" s="26" t="s">
        <v>333</v>
      </c>
      <c r="C102" s="26" t="s">
        <v>294</v>
      </c>
      <c r="D102" s="26" t="s">
        <v>100</v>
      </c>
      <c r="E102" s="32"/>
      <c r="F102" s="33" t="s">
        <v>92</v>
      </c>
      <c r="G102" s="29" t="s">
        <v>71</v>
      </c>
      <c r="H102" s="29" t="s">
        <v>128</v>
      </c>
      <c r="I102" s="29" t="s">
        <v>73</v>
      </c>
      <c r="J102" s="29" t="s">
        <v>74</v>
      </c>
      <c r="K102" s="29" t="s">
        <v>296</v>
      </c>
      <c r="L102" s="29" t="s">
        <v>297</v>
      </c>
      <c r="M102" s="29" t="s">
        <v>298</v>
      </c>
      <c r="N102" s="29" t="s">
        <v>78</v>
      </c>
      <c r="O102" s="29" t="s">
        <v>78</v>
      </c>
      <c r="P102" s="29" t="s">
        <v>78</v>
      </c>
      <c r="Q102" s="29" t="s">
        <v>78</v>
      </c>
      <c r="R102" s="29" t="s">
        <v>93</v>
      </c>
      <c r="S102" s="26" t="s">
        <v>299</v>
      </c>
      <c r="T102" s="26" t="s">
        <v>133</v>
      </c>
    </row>
    <row r="103" customFormat="false" ht="19.5" hidden="false" customHeight="true" outlineLevel="0" collapsed="false">
      <c r="A103" s="23" t="s">
        <v>32</v>
      </c>
      <c r="B103" s="23" t="s">
        <v>334</v>
      </c>
      <c r="C103" s="23" t="s">
        <v>294</v>
      </c>
      <c r="D103" s="23" t="s">
        <v>159</v>
      </c>
      <c r="E103" s="103"/>
      <c r="F103" s="111" t="s">
        <v>335</v>
      </c>
      <c r="G103" s="16" t="s">
        <v>71</v>
      </c>
      <c r="H103" s="16" t="s">
        <v>128</v>
      </c>
      <c r="I103" s="16" t="s">
        <v>73</v>
      </c>
      <c r="J103" s="16" t="s">
        <v>74</v>
      </c>
      <c r="K103" s="16" t="s">
        <v>296</v>
      </c>
      <c r="L103" s="16" t="s">
        <v>297</v>
      </c>
      <c r="M103" s="16" t="s">
        <v>298</v>
      </c>
      <c r="N103" s="16" t="s">
        <v>78</v>
      </c>
      <c r="O103" s="16" t="s">
        <v>78</v>
      </c>
      <c r="P103" s="16" t="s">
        <v>78</v>
      </c>
      <c r="Q103" s="16" t="s">
        <v>78</v>
      </c>
      <c r="R103" s="16" t="s">
        <v>80</v>
      </c>
      <c r="S103" s="23" t="s">
        <v>302</v>
      </c>
      <c r="T103" s="23" t="s">
        <v>336</v>
      </c>
    </row>
    <row r="104" customFormat="false" ht="19.5" hidden="false" customHeight="true" outlineLevel="0" collapsed="false">
      <c r="A104" s="26" t="s">
        <v>33</v>
      </c>
      <c r="B104" s="26" t="s">
        <v>337</v>
      </c>
      <c r="C104" s="26" t="s">
        <v>338</v>
      </c>
      <c r="D104" s="26" t="s">
        <v>339</v>
      </c>
      <c r="E104" s="32"/>
      <c r="F104" s="33" t="s">
        <v>92</v>
      </c>
      <c r="G104" s="29" t="s">
        <v>71</v>
      </c>
      <c r="H104" s="29" t="s">
        <v>72</v>
      </c>
      <c r="I104" s="29" t="s">
        <v>73</v>
      </c>
      <c r="J104" s="29" t="s">
        <v>74</v>
      </c>
      <c r="K104" s="29" t="s">
        <v>227</v>
      </c>
      <c r="L104" s="29" t="s">
        <v>297</v>
      </c>
      <c r="M104" s="29" t="s">
        <v>340</v>
      </c>
      <c r="N104" s="29" t="s">
        <v>78</v>
      </c>
      <c r="O104" s="29" t="s">
        <v>78</v>
      </c>
      <c r="P104" s="29" t="s">
        <v>78</v>
      </c>
      <c r="Q104" s="29" t="s">
        <v>78</v>
      </c>
      <c r="R104" s="29" t="s">
        <v>93</v>
      </c>
      <c r="S104" s="26" t="s">
        <v>341</v>
      </c>
      <c r="T104" s="26" t="s">
        <v>342</v>
      </c>
    </row>
    <row r="105" customFormat="false" ht="19.5" hidden="false" customHeight="true" outlineLevel="0" collapsed="false">
      <c r="A105" s="23" t="s">
        <v>33</v>
      </c>
      <c r="B105" s="23" t="s">
        <v>343</v>
      </c>
      <c r="C105" s="23" t="s">
        <v>338</v>
      </c>
      <c r="D105" s="23" t="s">
        <v>344</v>
      </c>
      <c r="E105" s="32"/>
      <c r="F105" s="33" t="s">
        <v>92</v>
      </c>
      <c r="G105" s="16" t="s">
        <v>71</v>
      </c>
      <c r="H105" s="16" t="s">
        <v>72</v>
      </c>
      <c r="I105" s="16" t="s">
        <v>73</v>
      </c>
      <c r="J105" s="16" t="s">
        <v>74</v>
      </c>
      <c r="K105" s="16" t="s">
        <v>227</v>
      </c>
      <c r="L105" s="16" t="s">
        <v>297</v>
      </c>
      <c r="M105" s="16" t="s">
        <v>340</v>
      </c>
      <c r="N105" s="16" t="s">
        <v>78</v>
      </c>
      <c r="O105" s="16" t="s">
        <v>78</v>
      </c>
      <c r="P105" s="16" t="s">
        <v>78</v>
      </c>
      <c r="Q105" s="16" t="s">
        <v>78</v>
      </c>
      <c r="R105" s="16" t="s">
        <v>93</v>
      </c>
      <c r="S105" s="23" t="s">
        <v>345</v>
      </c>
      <c r="T105" s="23" t="s">
        <v>342</v>
      </c>
    </row>
    <row r="106" customFormat="false" ht="19.5" hidden="false" customHeight="true" outlineLevel="0" collapsed="false">
      <c r="A106" s="26" t="s">
        <v>33</v>
      </c>
      <c r="B106" s="26" t="s">
        <v>346</v>
      </c>
      <c r="C106" s="26" t="s">
        <v>338</v>
      </c>
      <c r="D106" s="26" t="s">
        <v>347</v>
      </c>
      <c r="E106" s="32"/>
      <c r="F106" s="33" t="s">
        <v>92</v>
      </c>
      <c r="G106" s="29" t="s">
        <v>71</v>
      </c>
      <c r="H106" s="29" t="s">
        <v>72</v>
      </c>
      <c r="I106" s="29" t="s">
        <v>73</v>
      </c>
      <c r="J106" s="29" t="s">
        <v>74</v>
      </c>
      <c r="K106" s="29" t="s">
        <v>227</v>
      </c>
      <c r="L106" s="29" t="s">
        <v>297</v>
      </c>
      <c r="M106" s="29" t="s">
        <v>340</v>
      </c>
      <c r="N106" s="29" t="s">
        <v>78</v>
      </c>
      <c r="O106" s="29" t="s">
        <v>78</v>
      </c>
      <c r="P106" s="29" t="s">
        <v>78</v>
      </c>
      <c r="Q106" s="29" t="s">
        <v>78</v>
      </c>
      <c r="R106" s="29" t="s">
        <v>93</v>
      </c>
      <c r="S106" s="26" t="s">
        <v>345</v>
      </c>
      <c r="T106" s="26" t="s">
        <v>342</v>
      </c>
    </row>
    <row r="107" customFormat="false" ht="19.5" hidden="false" customHeight="true" outlineLevel="0" collapsed="false">
      <c r="A107" s="23" t="s">
        <v>33</v>
      </c>
      <c r="B107" s="23" t="s">
        <v>348</v>
      </c>
      <c r="C107" s="23" t="s">
        <v>338</v>
      </c>
      <c r="D107" s="23" t="s">
        <v>349</v>
      </c>
      <c r="E107" s="32"/>
      <c r="F107" s="33" t="s">
        <v>92</v>
      </c>
      <c r="G107" s="16" t="s">
        <v>71</v>
      </c>
      <c r="H107" s="16" t="s">
        <v>72</v>
      </c>
      <c r="I107" s="16" t="s">
        <v>73</v>
      </c>
      <c r="J107" s="16" t="s">
        <v>74</v>
      </c>
      <c r="K107" s="16" t="s">
        <v>227</v>
      </c>
      <c r="L107" s="16" t="s">
        <v>297</v>
      </c>
      <c r="M107" s="16" t="s">
        <v>340</v>
      </c>
      <c r="N107" s="16" t="s">
        <v>78</v>
      </c>
      <c r="O107" s="16" t="s">
        <v>78</v>
      </c>
      <c r="P107" s="16" t="s">
        <v>78</v>
      </c>
      <c r="Q107" s="16" t="s">
        <v>78</v>
      </c>
      <c r="R107" s="16" t="s">
        <v>93</v>
      </c>
      <c r="S107" s="23" t="s">
        <v>345</v>
      </c>
      <c r="T107" s="23" t="s">
        <v>342</v>
      </c>
    </row>
    <row r="108" customFormat="false" ht="19.5" hidden="false" customHeight="true" outlineLevel="0" collapsed="false">
      <c r="A108" s="26" t="s">
        <v>34</v>
      </c>
      <c r="B108" s="26" t="s">
        <v>350</v>
      </c>
      <c r="C108" s="26" t="s">
        <v>351</v>
      </c>
      <c r="D108" s="26" t="s">
        <v>135</v>
      </c>
      <c r="E108" s="30"/>
      <c r="F108" s="40" t="s">
        <v>352</v>
      </c>
      <c r="G108" s="29" t="s">
        <v>71</v>
      </c>
      <c r="H108" s="29" t="s">
        <v>72</v>
      </c>
      <c r="I108" s="29" t="s">
        <v>73</v>
      </c>
      <c r="J108" s="29" t="s">
        <v>74</v>
      </c>
      <c r="K108" s="29" t="s">
        <v>227</v>
      </c>
      <c r="L108" s="29" t="s">
        <v>297</v>
      </c>
      <c r="M108" s="29" t="s">
        <v>340</v>
      </c>
      <c r="N108" s="29" t="s">
        <v>78</v>
      </c>
      <c r="O108" s="29" t="s">
        <v>78</v>
      </c>
      <c r="P108" s="29" t="s">
        <v>78</v>
      </c>
      <c r="Q108" s="29" t="s">
        <v>78</v>
      </c>
      <c r="R108" s="29" t="s">
        <v>80</v>
      </c>
      <c r="S108" s="26" t="s">
        <v>353</v>
      </c>
      <c r="T108" s="26" t="s">
        <v>354</v>
      </c>
    </row>
    <row r="109" customFormat="false" ht="19.5" hidden="false" customHeight="true" outlineLevel="0" collapsed="false">
      <c r="A109" s="23" t="s">
        <v>34</v>
      </c>
      <c r="B109" s="23" t="s">
        <v>355</v>
      </c>
      <c r="C109" s="23" t="s">
        <v>351</v>
      </c>
      <c r="D109" s="23" t="s">
        <v>356</v>
      </c>
      <c r="E109" s="112"/>
      <c r="F109" s="51" t="s">
        <v>357</v>
      </c>
      <c r="G109" s="16" t="s">
        <v>71</v>
      </c>
      <c r="H109" s="16" t="s">
        <v>72</v>
      </c>
      <c r="I109" s="16" t="s">
        <v>73</v>
      </c>
      <c r="J109" s="16" t="s">
        <v>74</v>
      </c>
      <c r="K109" s="16" t="s">
        <v>227</v>
      </c>
      <c r="L109" s="16" t="s">
        <v>297</v>
      </c>
      <c r="M109" s="16" t="s">
        <v>340</v>
      </c>
      <c r="N109" s="16" t="s">
        <v>78</v>
      </c>
      <c r="O109" s="16" t="s">
        <v>78</v>
      </c>
      <c r="P109" s="16" t="s">
        <v>78</v>
      </c>
      <c r="Q109" s="16" t="s">
        <v>78</v>
      </c>
      <c r="R109" s="16" t="s">
        <v>80</v>
      </c>
      <c r="S109" s="23" t="s">
        <v>358</v>
      </c>
      <c r="T109" s="23" t="s">
        <v>359</v>
      </c>
    </row>
    <row r="110" customFormat="false" ht="19.5" hidden="false" customHeight="true" outlineLevel="0" collapsed="false">
      <c r="A110" s="26" t="s">
        <v>34</v>
      </c>
      <c r="B110" s="26" t="s">
        <v>360</v>
      </c>
      <c r="C110" s="26" t="s">
        <v>351</v>
      </c>
      <c r="D110" s="26" t="s">
        <v>193</v>
      </c>
      <c r="E110" s="30"/>
      <c r="F110" s="40" t="s">
        <v>361</v>
      </c>
      <c r="G110" s="29" t="s">
        <v>71</v>
      </c>
      <c r="H110" s="29" t="s">
        <v>72</v>
      </c>
      <c r="I110" s="29" t="s">
        <v>73</v>
      </c>
      <c r="J110" s="29" t="s">
        <v>74</v>
      </c>
      <c r="K110" s="29" t="s">
        <v>227</v>
      </c>
      <c r="L110" s="29" t="s">
        <v>297</v>
      </c>
      <c r="M110" s="29" t="s">
        <v>340</v>
      </c>
      <c r="N110" s="29" t="s">
        <v>78</v>
      </c>
      <c r="O110" s="29" t="s">
        <v>78</v>
      </c>
      <c r="P110" s="29" t="s">
        <v>78</v>
      </c>
      <c r="Q110" s="29" t="s">
        <v>78</v>
      </c>
      <c r="R110" s="29" t="s">
        <v>80</v>
      </c>
      <c r="S110" s="26" t="s">
        <v>362</v>
      </c>
      <c r="T110" s="26" t="s">
        <v>354</v>
      </c>
    </row>
    <row r="111" customFormat="false" ht="19.5" hidden="false" customHeight="true" outlineLevel="0" collapsed="false">
      <c r="A111" s="23" t="s">
        <v>35</v>
      </c>
      <c r="B111" s="23" t="s">
        <v>363</v>
      </c>
      <c r="C111" s="23" t="s">
        <v>364</v>
      </c>
      <c r="D111" s="23" t="s">
        <v>84</v>
      </c>
      <c r="E111" s="58"/>
      <c r="F111" s="59" t="s">
        <v>365</v>
      </c>
      <c r="G111" s="16" t="s">
        <v>71</v>
      </c>
      <c r="H111" s="16" t="s">
        <v>72</v>
      </c>
      <c r="I111" s="16" t="s">
        <v>73</v>
      </c>
      <c r="J111" s="16" t="s">
        <v>74</v>
      </c>
      <c r="K111" s="16" t="s">
        <v>227</v>
      </c>
      <c r="L111" s="16" t="s">
        <v>297</v>
      </c>
      <c r="M111" s="16" t="s">
        <v>340</v>
      </c>
      <c r="N111" s="16" t="s">
        <v>78</v>
      </c>
      <c r="O111" s="16" t="s">
        <v>78</v>
      </c>
      <c r="P111" s="16" t="s">
        <v>78</v>
      </c>
      <c r="Q111" s="16" t="s">
        <v>78</v>
      </c>
      <c r="R111" s="16" t="s">
        <v>80</v>
      </c>
      <c r="S111" s="23" t="s">
        <v>366</v>
      </c>
      <c r="T111" s="23" t="s">
        <v>367</v>
      </c>
    </row>
    <row r="112" customFormat="false" ht="19.5" hidden="false" customHeight="true" outlineLevel="0" collapsed="false">
      <c r="A112" s="26" t="s">
        <v>35</v>
      </c>
      <c r="B112" s="26" t="s">
        <v>368</v>
      </c>
      <c r="C112" s="26" t="s">
        <v>364</v>
      </c>
      <c r="D112" s="26" t="s">
        <v>144</v>
      </c>
      <c r="E112" s="113"/>
      <c r="F112" s="114" t="s">
        <v>369</v>
      </c>
      <c r="G112" s="29" t="s">
        <v>71</v>
      </c>
      <c r="H112" s="29" t="s">
        <v>72</v>
      </c>
      <c r="I112" s="29" t="s">
        <v>73</v>
      </c>
      <c r="J112" s="29" t="s">
        <v>74</v>
      </c>
      <c r="K112" s="29" t="s">
        <v>227</v>
      </c>
      <c r="L112" s="29" t="s">
        <v>297</v>
      </c>
      <c r="M112" s="29" t="s">
        <v>340</v>
      </c>
      <c r="N112" s="29" t="s">
        <v>78</v>
      </c>
      <c r="O112" s="29" t="s">
        <v>78</v>
      </c>
      <c r="P112" s="29" t="s">
        <v>78</v>
      </c>
      <c r="Q112" s="29" t="s">
        <v>78</v>
      </c>
      <c r="R112" s="29" t="s">
        <v>80</v>
      </c>
      <c r="S112" s="26" t="s">
        <v>370</v>
      </c>
      <c r="T112" s="26" t="s">
        <v>371</v>
      </c>
    </row>
    <row r="113" customFormat="false" ht="19.5" hidden="false" customHeight="true" outlineLevel="0" collapsed="false">
      <c r="A113" s="23" t="s">
        <v>35</v>
      </c>
      <c r="B113" s="23" t="s">
        <v>372</v>
      </c>
      <c r="C113" s="23" t="s">
        <v>364</v>
      </c>
      <c r="D113" s="23" t="s">
        <v>147</v>
      </c>
      <c r="E113" s="32"/>
      <c r="F113" s="33" t="s">
        <v>92</v>
      </c>
      <c r="G113" s="16" t="s">
        <v>71</v>
      </c>
      <c r="H113" s="16" t="s">
        <v>72</v>
      </c>
      <c r="I113" s="16" t="s">
        <v>73</v>
      </c>
      <c r="J113" s="16" t="s">
        <v>74</v>
      </c>
      <c r="K113" s="16" t="s">
        <v>227</v>
      </c>
      <c r="L113" s="16" t="s">
        <v>297</v>
      </c>
      <c r="M113" s="16" t="s">
        <v>340</v>
      </c>
      <c r="N113" s="16" t="s">
        <v>78</v>
      </c>
      <c r="O113" s="16" t="s">
        <v>78</v>
      </c>
      <c r="P113" s="16" t="s">
        <v>78</v>
      </c>
      <c r="Q113" s="16" t="s">
        <v>78</v>
      </c>
      <c r="R113" s="16" t="s">
        <v>93</v>
      </c>
      <c r="S113" s="23" t="s">
        <v>373</v>
      </c>
      <c r="T113" s="23" t="s">
        <v>133</v>
      </c>
    </row>
    <row r="114" customFormat="false" ht="19.5" hidden="false" customHeight="true" outlineLevel="0" collapsed="false">
      <c r="A114" s="26" t="s">
        <v>35</v>
      </c>
      <c r="B114" s="26" t="s">
        <v>374</v>
      </c>
      <c r="C114" s="26" t="s">
        <v>364</v>
      </c>
      <c r="D114" s="26" t="s">
        <v>170</v>
      </c>
      <c r="E114" s="32"/>
      <c r="F114" s="33" t="s">
        <v>92</v>
      </c>
      <c r="G114" s="29" t="s">
        <v>71</v>
      </c>
      <c r="H114" s="29" t="s">
        <v>72</v>
      </c>
      <c r="I114" s="29" t="s">
        <v>73</v>
      </c>
      <c r="J114" s="29" t="s">
        <v>74</v>
      </c>
      <c r="K114" s="29" t="s">
        <v>227</v>
      </c>
      <c r="L114" s="29" t="s">
        <v>297</v>
      </c>
      <c r="M114" s="29" t="s">
        <v>340</v>
      </c>
      <c r="N114" s="29" t="s">
        <v>78</v>
      </c>
      <c r="O114" s="29" t="s">
        <v>78</v>
      </c>
      <c r="P114" s="29" t="s">
        <v>78</v>
      </c>
      <c r="Q114" s="29" t="s">
        <v>78</v>
      </c>
      <c r="R114" s="29" t="s">
        <v>93</v>
      </c>
      <c r="S114" s="26" t="s">
        <v>375</v>
      </c>
      <c r="T114" s="26" t="s">
        <v>376</v>
      </c>
    </row>
    <row r="115" customFormat="false" ht="19.5" hidden="false" customHeight="true" outlineLevel="0" collapsed="false">
      <c r="A115" s="23" t="s">
        <v>35</v>
      </c>
      <c r="B115" s="23" t="s">
        <v>377</v>
      </c>
      <c r="C115" s="23" t="s">
        <v>364</v>
      </c>
      <c r="D115" s="23" t="s">
        <v>159</v>
      </c>
      <c r="E115" s="32"/>
      <c r="F115" s="33" t="s">
        <v>92</v>
      </c>
      <c r="G115" s="16" t="s">
        <v>71</v>
      </c>
      <c r="H115" s="16" t="s">
        <v>72</v>
      </c>
      <c r="I115" s="16" t="s">
        <v>73</v>
      </c>
      <c r="J115" s="16" t="s">
        <v>74</v>
      </c>
      <c r="K115" s="16" t="s">
        <v>227</v>
      </c>
      <c r="L115" s="16" t="s">
        <v>297</v>
      </c>
      <c r="M115" s="16" t="s">
        <v>340</v>
      </c>
      <c r="N115" s="16" t="s">
        <v>78</v>
      </c>
      <c r="O115" s="16" t="s">
        <v>78</v>
      </c>
      <c r="P115" s="16" t="s">
        <v>78</v>
      </c>
      <c r="Q115" s="16" t="s">
        <v>78</v>
      </c>
      <c r="R115" s="16" t="s">
        <v>93</v>
      </c>
      <c r="S115" s="23" t="s">
        <v>373</v>
      </c>
      <c r="T115" s="23" t="s">
        <v>133</v>
      </c>
    </row>
    <row r="116" customFormat="false" ht="19.5" hidden="false" customHeight="true" outlineLevel="0" collapsed="false">
      <c r="A116" s="26" t="s">
        <v>36</v>
      </c>
      <c r="B116" s="26" t="s">
        <v>378</v>
      </c>
      <c r="C116" s="26" t="s">
        <v>379</v>
      </c>
      <c r="D116" s="26" t="s">
        <v>380</v>
      </c>
      <c r="E116" s="115"/>
      <c r="F116" s="116" t="s">
        <v>381</v>
      </c>
      <c r="G116" s="29" t="s">
        <v>71</v>
      </c>
      <c r="H116" s="29" t="s">
        <v>72</v>
      </c>
      <c r="I116" s="29" t="s">
        <v>73</v>
      </c>
      <c r="J116" s="29" t="s">
        <v>74</v>
      </c>
      <c r="K116" s="29" t="s">
        <v>227</v>
      </c>
      <c r="L116" s="29" t="s">
        <v>297</v>
      </c>
      <c r="M116" s="29" t="s">
        <v>340</v>
      </c>
      <c r="N116" s="29" t="s">
        <v>78</v>
      </c>
      <c r="O116" s="29" t="s">
        <v>78</v>
      </c>
      <c r="P116" s="29" t="s">
        <v>78</v>
      </c>
      <c r="Q116" s="29" t="s">
        <v>78</v>
      </c>
      <c r="R116" s="29" t="s">
        <v>80</v>
      </c>
      <c r="S116" s="26" t="s">
        <v>382</v>
      </c>
      <c r="T116" s="26" t="s">
        <v>383</v>
      </c>
    </row>
    <row r="117" customFormat="false" ht="19.5" hidden="false" customHeight="true" outlineLevel="0" collapsed="false">
      <c r="A117" s="23" t="s">
        <v>36</v>
      </c>
      <c r="B117" s="23" t="s">
        <v>384</v>
      </c>
      <c r="C117" s="23" t="s">
        <v>379</v>
      </c>
      <c r="D117" s="23" t="s">
        <v>385</v>
      </c>
      <c r="E117" s="117"/>
      <c r="F117" s="118" t="s">
        <v>386</v>
      </c>
      <c r="G117" s="16" t="s">
        <v>71</v>
      </c>
      <c r="H117" s="16" t="s">
        <v>72</v>
      </c>
      <c r="I117" s="16" t="s">
        <v>73</v>
      </c>
      <c r="J117" s="16" t="s">
        <v>74</v>
      </c>
      <c r="K117" s="16" t="s">
        <v>296</v>
      </c>
      <c r="L117" s="16" t="s">
        <v>297</v>
      </c>
      <c r="M117" s="16" t="s">
        <v>340</v>
      </c>
      <c r="N117" s="16" t="s">
        <v>78</v>
      </c>
      <c r="O117" s="16" t="s">
        <v>78</v>
      </c>
      <c r="P117" s="16" t="s">
        <v>78</v>
      </c>
      <c r="Q117" s="16" t="s">
        <v>78</v>
      </c>
      <c r="R117" s="16" t="s">
        <v>80</v>
      </c>
      <c r="S117" s="23" t="s">
        <v>382</v>
      </c>
      <c r="T117" s="23" t="s">
        <v>387</v>
      </c>
    </row>
    <row r="118" customFormat="false" ht="19.5" hidden="false" customHeight="true" outlineLevel="0" collapsed="false">
      <c r="A118" s="26" t="s">
        <v>36</v>
      </c>
      <c r="B118" s="26" t="s">
        <v>388</v>
      </c>
      <c r="C118" s="26" t="s">
        <v>379</v>
      </c>
      <c r="D118" s="26" t="s">
        <v>389</v>
      </c>
      <c r="E118" s="46"/>
      <c r="F118" s="119" t="s">
        <v>390</v>
      </c>
      <c r="G118" s="29" t="s">
        <v>71</v>
      </c>
      <c r="H118" s="29" t="s">
        <v>72</v>
      </c>
      <c r="I118" s="29" t="s">
        <v>73</v>
      </c>
      <c r="J118" s="29" t="s">
        <v>74</v>
      </c>
      <c r="K118" s="29" t="s">
        <v>227</v>
      </c>
      <c r="L118" s="29" t="s">
        <v>297</v>
      </c>
      <c r="M118" s="29" t="s">
        <v>340</v>
      </c>
      <c r="N118" s="29" t="s">
        <v>78</v>
      </c>
      <c r="O118" s="29" t="s">
        <v>78</v>
      </c>
      <c r="P118" s="29" t="s">
        <v>78</v>
      </c>
      <c r="Q118" s="29" t="s">
        <v>78</v>
      </c>
      <c r="R118" s="29" t="s">
        <v>80</v>
      </c>
      <c r="S118" s="26" t="s">
        <v>382</v>
      </c>
      <c r="T118" s="26" t="s">
        <v>391</v>
      </c>
    </row>
    <row r="119" customFormat="false" ht="19.5" hidden="false" customHeight="true" outlineLevel="0" collapsed="false">
      <c r="A119" s="23" t="s">
        <v>37</v>
      </c>
      <c r="B119" s="23" t="s">
        <v>392</v>
      </c>
      <c r="C119" s="23" t="s">
        <v>393</v>
      </c>
      <c r="D119" s="23" t="s">
        <v>127</v>
      </c>
      <c r="E119" s="120"/>
      <c r="F119" s="121" t="s">
        <v>394</v>
      </c>
      <c r="G119" s="16" t="s">
        <v>71</v>
      </c>
      <c r="H119" s="16" t="s">
        <v>128</v>
      </c>
      <c r="I119" s="16" t="s">
        <v>73</v>
      </c>
      <c r="J119" s="16" t="s">
        <v>74</v>
      </c>
      <c r="K119" s="16" t="s">
        <v>296</v>
      </c>
      <c r="L119" s="16" t="s">
        <v>297</v>
      </c>
      <c r="M119" s="16" t="s">
        <v>298</v>
      </c>
      <c r="N119" s="16" t="s">
        <v>78</v>
      </c>
      <c r="O119" s="16" t="s">
        <v>78</v>
      </c>
      <c r="P119" s="16" t="s">
        <v>78</v>
      </c>
      <c r="Q119" s="16" t="s">
        <v>78</v>
      </c>
      <c r="R119" s="16" t="s">
        <v>80</v>
      </c>
      <c r="S119" s="23" t="s">
        <v>395</v>
      </c>
      <c r="T119" s="23" t="s">
        <v>354</v>
      </c>
    </row>
    <row r="120" customFormat="false" ht="19.5" hidden="false" customHeight="true" outlineLevel="0" collapsed="false">
      <c r="A120" s="26" t="s">
        <v>37</v>
      </c>
      <c r="B120" s="26" t="s">
        <v>396</v>
      </c>
      <c r="C120" s="26" t="s">
        <v>393</v>
      </c>
      <c r="D120" s="26" t="s">
        <v>135</v>
      </c>
      <c r="E120" s="30"/>
      <c r="F120" s="31" t="s">
        <v>397</v>
      </c>
      <c r="G120" s="29" t="s">
        <v>71</v>
      </c>
      <c r="H120" s="29" t="s">
        <v>128</v>
      </c>
      <c r="I120" s="29" t="s">
        <v>73</v>
      </c>
      <c r="J120" s="29" t="s">
        <v>74</v>
      </c>
      <c r="K120" s="29" t="s">
        <v>296</v>
      </c>
      <c r="L120" s="29" t="s">
        <v>297</v>
      </c>
      <c r="M120" s="29" t="s">
        <v>298</v>
      </c>
      <c r="N120" s="29" t="s">
        <v>78</v>
      </c>
      <c r="O120" s="29" t="s">
        <v>78</v>
      </c>
      <c r="P120" s="29" t="s">
        <v>78</v>
      </c>
      <c r="Q120" s="29" t="s">
        <v>78</v>
      </c>
      <c r="R120" s="29" t="s">
        <v>80</v>
      </c>
      <c r="S120" s="26" t="s">
        <v>395</v>
      </c>
      <c r="T120" s="26" t="s">
        <v>354</v>
      </c>
    </row>
    <row r="121" customFormat="false" ht="19.5" hidden="false" customHeight="true" outlineLevel="0" collapsed="false">
      <c r="A121" s="23" t="s">
        <v>37</v>
      </c>
      <c r="B121" s="23" t="s">
        <v>398</v>
      </c>
      <c r="C121" s="23" t="s">
        <v>393</v>
      </c>
      <c r="D121" s="23" t="s">
        <v>399</v>
      </c>
      <c r="E121" s="122"/>
      <c r="F121" s="123" t="s">
        <v>400</v>
      </c>
      <c r="G121" s="16" t="s">
        <v>71</v>
      </c>
      <c r="H121" s="16" t="s">
        <v>128</v>
      </c>
      <c r="I121" s="16" t="s">
        <v>73</v>
      </c>
      <c r="J121" s="16" t="s">
        <v>74</v>
      </c>
      <c r="K121" s="16" t="s">
        <v>296</v>
      </c>
      <c r="L121" s="16" t="s">
        <v>297</v>
      </c>
      <c r="M121" s="16" t="s">
        <v>298</v>
      </c>
      <c r="N121" s="16" t="s">
        <v>78</v>
      </c>
      <c r="O121" s="16" t="s">
        <v>78</v>
      </c>
      <c r="P121" s="16" t="s">
        <v>78</v>
      </c>
      <c r="Q121" s="16" t="s">
        <v>78</v>
      </c>
      <c r="R121" s="16" t="s">
        <v>80</v>
      </c>
      <c r="S121" s="23" t="s">
        <v>395</v>
      </c>
      <c r="T121" s="23" t="s">
        <v>354</v>
      </c>
    </row>
    <row r="122" customFormat="false" ht="19.5" hidden="false" customHeight="true" outlineLevel="0" collapsed="false">
      <c r="A122" s="26" t="s">
        <v>37</v>
      </c>
      <c r="B122" s="26" t="s">
        <v>401</v>
      </c>
      <c r="C122" s="26" t="s">
        <v>393</v>
      </c>
      <c r="D122" s="26" t="s">
        <v>402</v>
      </c>
      <c r="E122" s="32"/>
      <c r="F122" s="124" t="s">
        <v>403</v>
      </c>
      <c r="G122" s="29" t="s">
        <v>71</v>
      </c>
      <c r="H122" s="29" t="s">
        <v>128</v>
      </c>
      <c r="I122" s="29" t="s">
        <v>73</v>
      </c>
      <c r="J122" s="29" t="s">
        <v>74</v>
      </c>
      <c r="K122" s="29" t="s">
        <v>296</v>
      </c>
      <c r="L122" s="29" t="s">
        <v>297</v>
      </c>
      <c r="M122" s="29" t="s">
        <v>298</v>
      </c>
      <c r="N122" s="29" t="s">
        <v>78</v>
      </c>
      <c r="O122" s="29" t="s">
        <v>78</v>
      </c>
      <c r="P122" s="29" t="s">
        <v>78</v>
      </c>
      <c r="Q122" s="29" t="s">
        <v>78</v>
      </c>
      <c r="R122" s="29" t="s">
        <v>80</v>
      </c>
      <c r="S122" s="26" t="s">
        <v>395</v>
      </c>
      <c r="T122" s="26" t="s">
        <v>354</v>
      </c>
    </row>
    <row r="123" customFormat="false" ht="19.5" hidden="false" customHeight="true" outlineLevel="0" collapsed="false">
      <c r="A123" s="23" t="s">
        <v>37</v>
      </c>
      <c r="B123" s="23" t="s">
        <v>404</v>
      </c>
      <c r="C123" s="23" t="s">
        <v>393</v>
      </c>
      <c r="D123" s="23" t="s">
        <v>405</v>
      </c>
      <c r="E123" s="125"/>
      <c r="F123" s="126" t="s">
        <v>406</v>
      </c>
      <c r="G123" s="16" t="s">
        <v>71</v>
      </c>
      <c r="H123" s="16" t="s">
        <v>128</v>
      </c>
      <c r="I123" s="16" t="s">
        <v>73</v>
      </c>
      <c r="J123" s="16" t="s">
        <v>74</v>
      </c>
      <c r="K123" s="16" t="s">
        <v>296</v>
      </c>
      <c r="L123" s="16" t="s">
        <v>297</v>
      </c>
      <c r="M123" s="16" t="s">
        <v>298</v>
      </c>
      <c r="N123" s="16" t="s">
        <v>78</v>
      </c>
      <c r="O123" s="16" t="s">
        <v>78</v>
      </c>
      <c r="P123" s="16" t="s">
        <v>78</v>
      </c>
      <c r="Q123" s="16" t="s">
        <v>78</v>
      </c>
      <c r="R123" s="16" t="s">
        <v>80</v>
      </c>
      <c r="S123" s="23" t="s">
        <v>395</v>
      </c>
      <c r="T123" s="23" t="s">
        <v>354</v>
      </c>
    </row>
    <row r="124" customFormat="false" ht="19.5" hidden="false" customHeight="true" outlineLevel="0" collapsed="false">
      <c r="A124" s="26" t="s">
        <v>37</v>
      </c>
      <c r="B124" s="26" t="s">
        <v>407</v>
      </c>
      <c r="C124" s="26" t="s">
        <v>393</v>
      </c>
      <c r="D124" s="26" t="s">
        <v>408</v>
      </c>
      <c r="E124" s="127"/>
      <c r="F124" s="128" t="s">
        <v>409</v>
      </c>
      <c r="G124" s="29" t="s">
        <v>71</v>
      </c>
      <c r="H124" s="29" t="s">
        <v>128</v>
      </c>
      <c r="I124" s="29" t="s">
        <v>73</v>
      </c>
      <c r="J124" s="29" t="s">
        <v>74</v>
      </c>
      <c r="K124" s="29" t="s">
        <v>296</v>
      </c>
      <c r="L124" s="29" t="s">
        <v>297</v>
      </c>
      <c r="M124" s="29" t="s">
        <v>298</v>
      </c>
      <c r="N124" s="29" t="s">
        <v>78</v>
      </c>
      <c r="O124" s="29" t="s">
        <v>78</v>
      </c>
      <c r="P124" s="29" t="s">
        <v>78</v>
      </c>
      <c r="Q124" s="29" t="s">
        <v>78</v>
      </c>
      <c r="R124" s="29" t="s">
        <v>80</v>
      </c>
      <c r="S124" s="26" t="s">
        <v>410</v>
      </c>
      <c r="T124" s="26" t="s">
        <v>354</v>
      </c>
    </row>
    <row r="125" customFormat="false" ht="19.5" hidden="false" customHeight="true" outlineLevel="0" collapsed="false">
      <c r="A125" s="23" t="s">
        <v>37</v>
      </c>
      <c r="B125" s="23" t="s">
        <v>411</v>
      </c>
      <c r="C125" s="23" t="s">
        <v>393</v>
      </c>
      <c r="D125" s="23" t="s">
        <v>170</v>
      </c>
      <c r="E125" s="129"/>
      <c r="F125" s="130" t="s">
        <v>412</v>
      </c>
      <c r="G125" s="16" t="s">
        <v>71</v>
      </c>
      <c r="H125" s="16" t="s">
        <v>128</v>
      </c>
      <c r="I125" s="16" t="s">
        <v>73</v>
      </c>
      <c r="J125" s="16" t="s">
        <v>74</v>
      </c>
      <c r="K125" s="16" t="s">
        <v>296</v>
      </c>
      <c r="L125" s="16" t="s">
        <v>297</v>
      </c>
      <c r="M125" s="16" t="s">
        <v>298</v>
      </c>
      <c r="N125" s="16" t="s">
        <v>78</v>
      </c>
      <c r="O125" s="16" t="s">
        <v>78</v>
      </c>
      <c r="P125" s="16" t="s">
        <v>78</v>
      </c>
      <c r="Q125" s="16" t="s">
        <v>78</v>
      </c>
      <c r="R125" s="16" t="s">
        <v>80</v>
      </c>
      <c r="S125" s="23" t="s">
        <v>413</v>
      </c>
      <c r="T125" s="23" t="s">
        <v>414</v>
      </c>
    </row>
    <row r="126" customFormat="false" ht="19.5" hidden="false" customHeight="true" outlineLevel="0" collapsed="false">
      <c r="A126" s="26" t="s">
        <v>37</v>
      </c>
      <c r="B126" s="26" t="s">
        <v>415</v>
      </c>
      <c r="C126" s="26" t="s">
        <v>393</v>
      </c>
      <c r="D126" s="26" t="s">
        <v>416</v>
      </c>
      <c r="E126" s="32"/>
      <c r="F126" s="33" t="s">
        <v>417</v>
      </c>
      <c r="G126" s="29" t="s">
        <v>71</v>
      </c>
      <c r="H126" s="29" t="s">
        <v>128</v>
      </c>
      <c r="I126" s="29" t="s">
        <v>73</v>
      </c>
      <c r="J126" s="29" t="s">
        <v>74</v>
      </c>
      <c r="K126" s="29" t="s">
        <v>296</v>
      </c>
      <c r="L126" s="29" t="s">
        <v>297</v>
      </c>
      <c r="M126" s="29" t="s">
        <v>298</v>
      </c>
      <c r="N126" s="29" t="s">
        <v>78</v>
      </c>
      <c r="O126" s="29" t="s">
        <v>78</v>
      </c>
      <c r="P126" s="29" t="s">
        <v>78</v>
      </c>
      <c r="Q126" s="29" t="s">
        <v>78</v>
      </c>
      <c r="R126" s="29" t="s">
        <v>80</v>
      </c>
      <c r="S126" s="26" t="s">
        <v>395</v>
      </c>
      <c r="T126" s="26" t="s">
        <v>354</v>
      </c>
    </row>
    <row r="127" customFormat="false" ht="19.5" hidden="false" customHeight="true" outlineLevel="0" collapsed="false">
      <c r="A127" s="23" t="s">
        <v>37</v>
      </c>
      <c r="B127" s="23" t="s">
        <v>418</v>
      </c>
      <c r="C127" s="23" t="s">
        <v>393</v>
      </c>
      <c r="D127" s="23" t="s">
        <v>419</v>
      </c>
      <c r="E127" s="131"/>
      <c r="F127" s="132" t="s">
        <v>420</v>
      </c>
      <c r="G127" s="16" t="s">
        <v>71</v>
      </c>
      <c r="H127" s="16" t="s">
        <v>128</v>
      </c>
      <c r="I127" s="16" t="s">
        <v>73</v>
      </c>
      <c r="J127" s="16" t="s">
        <v>74</v>
      </c>
      <c r="K127" s="16" t="s">
        <v>296</v>
      </c>
      <c r="L127" s="16" t="s">
        <v>297</v>
      </c>
      <c r="M127" s="16" t="s">
        <v>298</v>
      </c>
      <c r="N127" s="16" t="s">
        <v>78</v>
      </c>
      <c r="O127" s="16" t="s">
        <v>78</v>
      </c>
      <c r="P127" s="16" t="s">
        <v>78</v>
      </c>
      <c r="Q127" s="16" t="s">
        <v>78</v>
      </c>
      <c r="R127" s="16" t="s">
        <v>80</v>
      </c>
      <c r="S127" s="23" t="s">
        <v>395</v>
      </c>
      <c r="T127" s="23" t="s">
        <v>354</v>
      </c>
    </row>
    <row r="128" customFormat="false" ht="19.5" hidden="false" customHeight="true" outlineLevel="0" collapsed="false">
      <c r="A128" s="26" t="s">
        <v>38</v>
      </c>
      <c r="B128" s="26" t="s">
        <v>421</v>
      </c>
      <c r="C128" s="26" t="s">
        <v>422</v>
      </c>
      <c r="D128" s="26" t="s">
        <v>423</v>
      </c>
      <c r="E128" s="32"/>
      <c r="F128" s="33" t="s">
        <v>92</v>
      </c>
      <c r="G128" s="29" t="s">
        <v>71</v>
      </c>
      <c r="H128" s="29" t="s">
        <v>72</v>
      </c>
      <c r="I128" s="29" t="s">
        <v>73</v>
      </c>
      <c r="J128" s="29" t="s">
        <v>74</v>
      </c>
      <c r="K128" s="29" t="s">
        <v>227</v>
      </c>
      <c r="L128" s="29" t="s">
        <v>297</v>
      </c>
      <c r="M128" s="29" t="s">
        <v>340</v>
      </c>
      <c r="N128" s="29" t="s">
        <v>78</v>
      </c>
      <c r="O128" s="29" t="s">
        <v>78</v>
      </c>
      <c r="P128" s="29" t="s">
        <v>78</v>
      </c>
      <c r="Q128" s="29" t="s">
        <v>78</v>
      </c>
      <c r="R128" s="29" t="s">
        <v>93</v>
      </c>
      <c r="S128" s="26" t="s">
        <v>424</v>
      </c>
      <c r="T128" s="26" t="s">
        <v>133</v>
      </c>
    </row>
    <row r="129" customFormat="false" ht="19.5" hidden="false" customHeight="true" outlineLevel="0" collapsed="false">
      <c r="A129" s="23" t="s">
        <v>38</v>
      </c>
      <c r="B129" s="23" t="s">
        <v>425</v>
      </c>
      <c r="C129" s="23" t="s">
        <v>422</v>
      </c>
      <c r="D129" s="23" t="s">
        <v>426</v>
      </c>
      <c r="E129" s="32"/>
      <c r="F129" s="33" t="s">
        <v>92</v>
      </c>
      <c r="G129" s="16" t="s">
        <v>71</v>
      </c>
      <c r="H129" s="16" t="s">
        <v>72</v>
      </c>
      <c r="I129" s="16" t="s">
        <v>73</v>
      </c>
      <c r="J129" s="16" t="s">
        <v>74</v>
      </c>
      <c r="K129" s="16" t="s">
        <v>227</v>
      </c>
      <c r="L129" s="16" t="s">
        <v>297</v>
      </c>
      <c r="M129" s="16" t="s">
        <v>340</v>
      </c>
      <c r="N129" s="16" t="s">
        <v>78</v>
      </c>
      <c r="O129" s="16" t="s">
        <v>78</v>
      </c>
      <c r="P129" s="16" t="s">
        <v>78</v>
      </c>
      <c r="Q129" s="16" t="s">
        <v>78</v>
      </c>
      <c r="R129" s="16" t="s">
        <v>93</v>
      </c>
      <c r="S129" s="23" t="s">
        <v>424</v>
      </c>
      <c r="T129" s="23" t="s">
        <v>133</v>
      </c>
    </row>
    <row r="130" customFormat="false" ht="19.5" hidden="false" customHeight="true" outlineLevel="0" collapsed="false">
      <c r="A130" s="26" t="s">
        <v>38</v>
      </c>
      <c r="B130" s="26" t="s">
        <v>427</v>
      </c>
      <c r="C130" s="26" t="s">
        <v>422</v>
      </c>
      <c r="D130" s="26" t="s">
        <v>428</v>
      </c>
      <c r="E130" s="32"/>
      <c r="F130" s="33" t="s">
        <v>92</v>
      </c>
      <c r="G130" s="29" t="s">
        <v>71</v>
      </c>
      <c r="H130" s="29" t="s">
        <v>72</v>
      </c>
      <c r="I130" s="29" t="s">
        <v>73</v>
      </c>
      <c r="J130" s="29" t="s">
        <v>74</v>
      </c>
      <c r="K130" s="29" t="s">
        <v>227</v>
      </c>
      <c r="L130" s="29" t="s">
        <v>297</v>
      </c>
      <c r="M130" s="29" t="s">
        <v>340</v>
      </c>
      <c r="N130" s="29" t="s">
        <v>78</v>
      </c>
      <c r="O130" s="29" t="s">
        <v>78</v>
      </c>
      <c r="P130" s="29" t="s">
        <v>78</v>
      </c>
      <c r="Q130" s="29" t="s">
        <v>78</v>
      </c>
      <c r="R130" s="29" t="s">
        <v>93</v>
      </c>
      <c r="S130" s="26" t="s">
        <v>429</v>
      </c>
      <c r="T130" s="26" t="s">
        <v>133</v>
      </c>
    </row>
    <row r="131" customFormat="false" ht="19.5" hidden="false" customHeight="true" outlineLevel="0" collapsed="false">
      <c r="A131" s="23" t="s">
        <v>38</v>
      </c>
      <c r="B131" s="23" t="s">
        <v>430</v>
      </c>
      <c r="C131" s="23" t="s">
        <v>422</v>
      </c>
      <c r="D131" s="23" t="s">
        <v>431</v>
      </c>
      <c r="E131" s="32"/>
      <c r="F131" s="33" t="s">
        <v>92</v>
      </c>
      <c r="G131" s="16" t="s">
        <v>71</v>
      </c>
      <c r="H131" s="16" t="s">
        <v>72</v>
      </c>
      <c r="I131" s="16" t="s">
        <v>73</v>
      </c>
      <c r="J131" s="16" t="s">
        <v>74</v>
      </c>
      <c r="K131" s="16" t="s">
        <v>227</v>
      </c>
      <c r="L131" s="16" t="s">
        <v>297</v>
      </c>
      <c r="M131" s="16" t="s">
        <v>340</v>
      </c>
      <c r="N131" s="16" t="s">
        <v>78</v>
      </c>
      <c r="O131" s="16" t="s">
        <v>78</v>
      </c>
      <c r="P131" s="16" t="s">
        <v>78</v>
      </c>
      <c r="Q131" s="16" t="s">
        <v>78</v>
      </c>
      <c r="R131" s="16" t="s">
        <v>93</v>
      </c>
      <c r="S131" s="23" t="s">
        <v>424</v>
      </c>
      <c r="T131" s="23" t="s">
        <v>133</v>
      </c>
    </row>
    <row r="132" customFormat="false" ht="19.5" hidden="false" customHeight="true" outlineLevel="0" collapsed="false">
      <c r="A132" s="26" t="s">
        <v>39</v>
      </c>
      <c r="B132" s="26" t="s">
        <v>432</v>
      </c>
      <c r="C132" s="26" t="s">
        <v>433</v>
      </c>
      <c r="D132" s="26" t="s">
        <v>127</v>
      </c>
      <c r="E132" s="81"/>
      <c r="F132" s="82" t="s">
        <v>226</v>
      </c>
      <c r="G132" s="29" t="s">
        <v>71</v>
      </c>
      <c r="H132" s="29" t="s">
        <v>72</v>
      </c>
      <c r="I132" s="29" t="s">
        <v>73</v>
      </c>
      <c r="J132" s="29" t="s">
        <v>74</v>
      </c>
      <c r="K132" s="29" t="s">
        <v>227</v>
      </c>
      <c r="L132" s="29" t="s">
        <v>228</v>
      </c>
      <c r="M132" s="29" t="s">
        <v>229</v>
      </c>
      <c r="N132" s="29" t="s">
        <v>78</v>
      </c>
      <c r="O132" s="29" t="s">
        <v>78</v>
      </c>
      <c r="P132" s="29" t="s">
        <v>78</v>
      </c>
      <c r="Q132" s="29" t="s">
        <v>78</v>
      </c>
      <c r="R132" s="29" t="s">
        <v>230</v>
      </c>
      <c r="S132" s="26" t="s">
        <v>434</v>
      </c>
      <c r="T132" s="26" t="s">
        <v>232</v>
      </c>
    </row>
    <row r="133" customFormat="false" ht="19.5" hidden="false" customHeight="true" outlineLevel="0" collapsed="false">
      <c r="A133" s="23" t="s">
        <v>39</v>
      </c>
      <c r="B133" s="23" t="s">
        <v>435</v>
      </c>
      <c r="C133" s="23" t="s">
        <v>433</v>
      </c>
      <c r="D133" s="23" t="s">
        <v>135</v>
      </c>
      <c r="E133" s="39"/>
      <c r="F133" s="40" t="s">
        <v>136</v>
      </c>
      <c r="G133" s="16" t="s">
        <v>71</v>
      </c>
      <c r="H133" s="16" t="s">
        <v>72</v>
      </c>
      <c r="I133" s="16" t="s">
        <v>73</v>
      </c>
      <c r="J133" s="16" t="s">
        <v>74</v>
      </c>
      <c r="K133" s="16" t="s">
        <v>227</v>
      </c>
      <c r="L133" s="16" t="s">
        <v>228</v>
      </c>
      <c r="M133" s="16" t="s">
        <v>229</v>
      </c>
      <c r="N133" s="16" t="s">
        <v>78</v>
      </c>
      <c r="O133" s="16" t="s">
        <v>78</v>
      </c>
      <c r="P133" s="16" t="s">
        <v>78</v>
      </c>
      <c r="Q133" s="16" t="s">
        <v>78</v>
      </c>
      <c r="R133" s="16" t="s">
        <v>230</v>
      </c>
      <c r="S133" s="23" t="s">
        <v>434</v>
      </c>
      <c r="T133" s="23" t="s">
        <v>232</v>
      </c>
    </row>
    <row r="134" customFormat="false" ht="19.5" hidden="false" customHeight="true" outlineLevel="0" collapsed="false">
      <c r="A134" s="26" t="s">
        <v>39</v>
      </c>
      <c r="B134" s="26" t="s">
        <v>436</v>
      </c>
      <c r="C134" s="26" t="s">
        <v>433</v>
      </c>
      <c r="D134" s="26" t="s">
        <v>142</v>
      </c>
      <c r="E134" s="83"/>
      <c r="F134" s="84" t="s">
        <v>235</v>
      </c>
      <c r="G134" s="29" t="s">
        <v>71</v>
      </c>
      <c r="H134" s="29" t="s">
        <v>72</v>
      </c>
      <c r="I134" s="29" t="s">
        <v>73</v>
      </c>
      <c r="J134" s="29" t="s">
        <v>74</v>
      </c>
      <c r="K134" s="29" t="s">
        <v>227</v>
      </c>
      <c r="L134" s="29" t="s">
        <v>228</v>
      </c>
      <c r="M134" s="29" t="s">
        <v>229</v>
      </c>
      <c r="N134" s="29" t="s">
        <v>78</v>
      </c>
      <c r="O134" s="29" t="s">
        <v>78</v>
      </c>
      <c r="P134" s="29" t="s">
        <v>78</v>
      </c>
      <c r="Q134" s="29" t="s">
        <v>78</v>
      </c>
      <c r="R134" s="29" t="s">
        <v>230</v>
      </c>
      <c r="S134" s="26" t="s">
        <v>434</v>
      </c>
      <c r="T134" s="26" t="s">
        <v>232</v>
      </c>
    </row>
    <row r="135" customFormat="false" ht="19.5" hidden="false" customHeight="true" outlineLevel="0" collapsed="false">
      <c r="A135" s="23" t="s">
        <v>39</v>
      </c>
      <c r="B135" s="23" t="s">
        <v>437</v>
      </c>
      <c r="C135" s="23" t="s">
        <v>433</v>
      </c>
      <c r="D135" s="23" t="s">
        <v>241</v>
      </c>
      <c r="E135" s="85"/>
      <c r="F135" s="86" t="s">
        <v>242</v>
      </c>
      <c r="G135" s="16" t="s">
        <v>71</v>
      </c>
      <c r="H135" s="16" t="s">
        <v>72</v>
      </c>
      <c r="I135" s="16" t="s">
        <v>73</v>
      </c>
      <c r="J135" s="16" t="s">
        <v>74</v>
      </c>
      <c r="K135" s="16" t="s">
        <v>227</v>
      </c>
      <c r="L135" s="16" t="s">
        <v>228</v>
      </c>
      <c r="M135" s="16" t="s">
        <v>229</v>
      </c>
      <c r="N135" s="16" t="s">
        <v>78</v>
      </c>
      <c r="O135" s="16" t="s">
        <v>78</v>
      </c>
      <c r="P135" s="16" t="s">
        <v>78</v>
      </c>
      <c r="Q135" s="16" t="s">
        <v>78</v>
      </c>
      <c r="R135" s="16" t="s">
        <v>230</v>
      </c>
      <c r="S135" s="23" t="s">
        <v>434</v>
      </c>
      <c r="T135" s="23" t="s">
        <v>232</v>
      </c>
    </row>
    <row r="136" customFormat="false" ht="19.5" hidden="false" customHeight="true" outlineLevel="0" collapsed="false">
      <c r="A136" s="26" t="s">
        <v>39</v>
      </c>
      <c r="B136" s="26" t="s">
        <v>438</v>
      </c>
      <c r="C136" s="26" t="s">
        <v>433</v>
      </c>
      <c r="D136" s="26" t="s">
        <v>91</v>
      </c>
      <c r="E136" s="87"/>
      <c r="F136" s="33" t="s">
        <v>244</v>
      </c>
      <c r="G136" s="29" t="s">
        <v>71</v>
      </c>
      <c r="H136" s="29" t="s">
        <v>72</v>
      </c>
      <c r="I136" s="29" t="s">
        <v>73</v>
      </c>
      <c r="J136" s="29" t="s">
        <v>74</v>
      </c>
      <c r="K136" s="29" t="s">
        <v>227</v>
      </c>
      <c r="L136" s="29" t="s">
        <v>228</v>
      </c>
      <c r="M136" s="29" t="s">
        <v>229</v>
      </c>
      <c r="N136" s="29" t="s">
        <v>78</v>
      </c>
      <c r="O136" s="29" t="s">
        <v>78</v>
      </c>
      <c r="P136" s="29" t="s">
        <v>78</v>
      </c>
      <c r="Q136" s="29" t="s">
        <v>78</v>
      </c>
      <c r="R136" s="29" t="s">
        <v>230</v>
      </c>
      <c r="S136" s="26" t="s">
        <v>434</v>
      </c>
      <c r="T136" s="26" t="s">
        <v>232</v>
      </c>
    </row>
    <row r="137" customFormat="false" ht="19.5" hidden="false" customHeight="true" outlineLevel="0" collapsed="false">
      <c r="A137" s="23" t="s">
        <v>39</v>
      </c>
      <c r="B137" s="23" t="s">
        <v>439</v>
      </c>
      <c r="C137" s="23" t="s">
        <v>433</v>
      </c>
      <c r="D137" s="23" t="s">
        <v>246</v>
      </c>
      <c r="E137" s="88"/>
      <c r="F137" s="89" t="s">
        <v>247</v>
      </c>
      <c r="G137" s="16" t="s">
        <v>71</v>
      </c>
      <c r="H137" s="16" t="s">
        <v>72</v>
      </c>
      <c r="I137" s="16" t="s">
        <v>73</v>
      </c>
      <c r="J137" s="16" t="s">
        <v>74</v>
      </c>
      <c r="K137" s="16" t="s">
        <v>227</v>
      </c>
      <c r="L137" s="16" t="s">
        <v>228</v>
      </c>
      <c r="M137" s="16" t="s">
        <v>229</v>
      </c>
      <c r="N137" s="16" t="s">
        <v>78</v>
      </c>
      <c r="O137" s="16" t="s">
        <v>78</v>
      </c>
      <c r="P137" s="16" t="s">
        <v>78</v>
      </c>
      <c r="Q137" s="16" t="s">
        <v>78</v>
      </c>
      <c r="R137" s="16" t="s">
        <v>230</v>
      </c>
      <c r="S137" s="23" t="s">
        <v>434</v>
      </c>
      <c r="T137" s="23" t="s">
        <v>232</v>
      </c>
    </row>
    <row r="138" customFormat="false" ht="19.5" hidden="false" customHeight="true" outlineLevel="0" collapsed="false">
      <c r="A138" s="26" t="s">
        <v>39</v>
      </c>
      <c r="B138" s="26" t="s">
        <v>440</v>
      </c>
      <c r="C138" s="26" t="s">
        <v>433</v>
      </c>
      <c r="D138" s="26" t="s">
        <v>147</v>
      </c>
      <c r="E138" s="90"/>
      <c r="F138" s="68" t="s">
        <v>249</v>
      </c>
      <c r="G138" s="29" t="s">
        <v>71</v>
      </c>
      <c r="H138" s="29" t="s">
        <v>72</v>
      </c>
      <c r="I138" s="29" t="s">
        <v>73</v>
      </c>
      <c r="J138" s="29" t="s">
        <v>74</v>
      </c>
      <c r="K138" s="29" t="s">
        <v>227</v>
      </c>
      <c r="L138" s="29" t="s">
        <v>228</v>
      </c>
      <c r="M138" s="29" t="s">
        <v>229</v>
      </c>
      <c r="N138" s="29" t="s">
        <v>78</v>
      </c>
      <c r="O138" s="29" t="s">
        <v>78</v>
      </c>
      <c r="P138" s="29" t="s">
        <v>78</v>
      </c>
      <c r="Q138" s="29" t="s">
        <v>78</v>
      </c>
      <c r="R138" s="29" t="s">
        <v>230</v>
      </c>
      <c r="S138" s="26" t="s">
        <v>434</v>
      </c>
      <c r="T138" s="26" t="s">
        <v>232</v>
      </c>
    </row>
    <row r="139" customFormat="false" ht="19.5" hidden="false" customHeight="true" outlineLevel="0" collapsed="false">
      <c r="A139" s="23" t="s">
        <v>39</v>
      </c>
      <c r="B139" s="23" t="s">
        <v>441</v>
      </c>
      <c r="C139" s="23" t="s">
        <v>433</v>
      </c>
      <c r="D139" s="23" t="s">
        <v>170</v>
      </c>
      <c r="E139" s="91"/>
      <c r="F139" s="62" t="s">
        <v>251</v>
      </c>
      <c r="G139" s="16" t="s">
        <v>71</v>
      </c>
      <c r="H139" s="16" t="s">
        <v>72</v>
      </c>
      <c r="I139" s="16" t="s">
        <v>73</v>
      </c>
      <c r="J139" s="16" t="s">
        <v>74</v>
      </c>
      <c r="K139" s="16" t="s">
        <v>227</v>
      </c>
      <c r="L139" s="16" t="s">
        <v>228</v>
      </c>
      <c r="M139" s="16" t="s">
        <v>229</v>
      </c>
      <c r="N139" s="16" t="s">
        <v>78</v>
      </c>
      <c r="O139" s="16" t="s">
        <v>78</v>
      </c>
      <c r="P139" s="16" t="s">
        <v>78</v>
      </c>
      <c r="Q139" s="16" t="s">
        <v>78</v>
      </c>
      <c r="R139" s="16" t="s">
        <v>230</v>
      </c>
      <c r="S139" s="23" t="s">
        <v>434</v>
      </c>
      <c r="T139" s="23" t="s">
        <v>232</v>
      </c>
    </row>
    <row r="140" customFormat="false" ht="19.5" hidden="false" customHeight="true" outlineLevel="0" collapsed="false">
      <c r="A140" s="26" t="s">
        <v>39</v>
      </c>
      <c r="B140" s="26" t="s">
        <v>442</v>
      </c>
      <c r="C140" s="26" t="s">
        <v>433</v>
      </c>
      <c r="D140" s="26" t="s">
        <v>193</v>
      </c>
      <c r="E140" s="92"/>
      <c r="F140" s="93" t="s">
        <v>253</v>
      </c>
      <c r="G140" s="29" t="s">
        <v>71</v>
      </c>
      <c r="H140" s="29" t="s">
        <v>72</v>
      </c>
      <c r="I140" s="29" t="s">
        <v>73</v>
      </c>
      <c r="J140" s="29" t="s">
        <v>74</v>
      </c>
      <c r="K140" s="29" t="s">
        <v>227</v>
      </c>
      <c r="L140" s="29" t="s">
        <v>228</v>
      </c>
      <c r="M140" s="29" t="s">
        <v>229</v>
      </c>
      <c r="N140" s="29" t="s">
        <v>78</v>
      </c>
      <c r="O140" s="29" t="s">
        <v>78</v>
      </c>
      <c r="P140" s="29" t="s">
        <v>78</v>
      </c>
      <c r="Q140" s="29" t="s">
        <v>78</v>
      </c>
      <c r="R140" s="29" t="s">
        <v>230</v>
      </c>
      <c r="S140" s="26" t="s">
        <v>434</v>
      </c>
      <c r="T140" s="26" t="s">
        <v>232</v>
      </c>
    </row>
    <row r="141" customFormat="false" ht="19.5" hidden="false" customHeight="true" outlineLevel="0" collapsed="false">
      <c r="A141" s="23" t="s">
        <v>39</v>
      </c>
      <c r="B141" s="23" t="s">
        <v>443</v>
      </c>
      <c r="C141" s="23" t="s">
        <v>433</v>
      </c>
      <c r="D141" s="23" t="s">
        <v>97</v>
      </c>
      <c r="E141" s="34"/>
      <c r="F141" s="45" t="s">
        <v>150</v>
      </c>
      <c r="G141" s="16" t="s">
        <v>71</v>
      </c>
      <c r="H141" s="16" t="s">
        <v>72</v>
      </c>
      <c r="I141" s="16" t="s">
        <v>73</v>
      </c>
      <c r="J141" s="16" t="s">
        <v>74</v>
      </c>
      <c r="K141" s="16" t="s">
        <v>227</v>
      </c>
      <c r="L141" s="16" t="s">
        <v>228</v>
      </c>
      <c r="M141" s="16" t="s">
        <v>229</v>
      </c>
      <c r="N141" s="16" t="s">
        <v>78</v>
      </c>
      <c r="O141" s="16" t="s">
        <v>78</v>
      </c>
      <c r="P141" s="16" t="s">
        <v>78</v>
      </c>
      <c r="Q141" s="16" t="s">
        <v>78</v>
      </c>
      <c r="R141" s="16" t="s">
        <v>230</v>
      </c>
      <c r="S141" s="23" t="s">
        <v>434</v>
      </c>
      <c r="T141" s="23" t="s">
        <v>232</v>
      </c>
    </row>
    <row r="142" customFormat="false" ht="19.5" hidden="false" customHeight="true" outlineLevel="0" collapsed="false">
      <c r="A142" s="26" t="s">
        <v>39</v>
      </c>
      <c r="B142" s="26" t="s">
        <v>444</v>
      </c>
      <c r="C142" s="26" t="s">
        <v>433</v>
      </c>
      <c r="D142" s="26" t="s">
        <v>256</v>
      </c>
      <c r="E142" s="74"/>
      <c r="F142" s="94" t="s">
        <v>257</v>
      </c>
      <c r="G142" s="29" t="s">
        <v>71</v>
      </c>
      <c r="H142" s="29" t="s">
        <v>72</v>
      </c>
      <c r="I142" s="29" t="s">
        <v>73</v>
      </c>
      <c r="J142" s="29" t="s">
        <v>74</v>
      </c>
      <c r="K142" s="29" t="s">
        <v>227</v>
      </c>
      <c r="L142" s="29" t="s">
        <v>228</v>
      </c>
      <c r="M142" s="29" t="s">
        <v>229</v>
      </c>
      <c r="N142" s="29" t="s">
        <v>78</v>
      </c>
      <c r="O142" s="29" t="s">
        <v>78</v>
      </c>
      <c r="P142" s="29" t="s">
        <v>78</v>
      </c>
      <c r="Q142" s="29" t="s">
        <v>78</v>
      </c>
      <c r="R142" s="29" t="s">
        <v>230</v>
      </c>
      <c r="S142" s="26" t="s">
        <v>434</v>
      </c>
      <c r="T142" s="26" t="s">
        <v>232</v>
      </c>
    </row>
    <row r="143" customFormat="false" ht="19.5" hidden="false" customHeight="true" outlineLevel="0" collapsed="false">
      <c r="A143" s="23" t="s">
        <v>39</v>
      </c>
      <c r="B143" s="23" t="s">
        <v>445</v>
      </c>
      <c r="C143" s="23" t="s">
        <v>433</v>
      </c>
      <c r="D143" s="23" t="s">
        <v>259</v>
      </c>
      <c r="E143" s="95"/>
      <c r="F143" s="96" t="s">
        <v>260</v>
      </c>
      <c r="G143" s="16" t="s">
        <v>71</v>
      </c>
      <c r="H143" s="16" t="s">
        <v>72</v>
      </c>
      <c r="I143" s="16" t="s">
        <v>73</v>
      </c>
      <c r="J143" s="16" t="s">
        <v>74</v>
      </c>
      <c r="K143" s="16" t="s">
        <v>227</v>
      </c>
      <c r="L143" s="16" t="s">
        <v>228</v>
      </c>
      <c r="M143" s="16" t="s">
        <v>229</v>
      </c>
      <c r="N143" s="16" t="s">
        <v>78</v>
      </c>
      <c r="O143" s="16" t="s">
        <v>78</v>
      </c>
      <c r="P143" s="16" t="s">
        <v>78</v>
      </c>
      <c r="Q143" s="16" t="s">
        <v>78</v>
      </c>
      <c r="R143" s="16" t="s">
        <v>230</v>
      </c>
      <c r="S143" s="23" t="s">
        <v>434</v>
      </c>
      <c r="T143" s="23" t="s">
        <v>232</v>
      </c>
    </row>
    <row r="144" customFormat="false" ht="19.5" hidden="false" customHeight="true" outlineLevel="0" collapsed="false">
      <c r="A144" s="26" t="s">
        <v>39</v>
      </c>
      <c r="B144" s="26" t="s">
        <v>446</v>
      </c>
      <c r="C144" s="26" t="s">
        <v>433</v>
      </c>
      <c r="D144" s="26" t="s">
        <v>152</v>
      </c>
      <c r="E144" s="97"/>
      <c r="F144" s="98" t="s">
        <v>262</v>
      </c>
      <c r="G144" s="29" t="s">
        <v>71</v>
      </c>
      <c r="H144" s="29" t="s">
        <v>72</v>
      </c>
      <c r="I144" s="29" t="s">
        <v>73</v>
      </c>
      <c r="J144" s="29" t="s">
        <v>74</v>
      </c>
      <c r="K144" s="29" t="s">
        <v>227</v>
      </c>
      <c r="L144" s="29" t="s">
        <v>228</v>
      </c>
      <c r="M144" s="29" t="s">
        <v>229</v>
      </c>
      <c r="N144" s="29" t="s">
        <v>78</v>
      </c>
      <c r="O144" s="29" t="s">
        <v>78</v>
      </c>
      <c r="P144" s="29" t="s">
        <v>78</v>
      </c>
      <c r="Q144" s="29" t="s">
        <v>78</v>
      </c>
      <c r="R144" s="29" t="s">
        <v>230</v>
      </c>
      <c r="S144" s="26" t="s">
        <v>434</v>
      </c>
      <c r="T144" s="26" t="s">
        <v>232</v>
      </c>
    </row>
    <row r="145" customFormat="false" ht="19.5" hidden="false" customHeight="true" outlineLevel="0" collapsed="false">
      <c r="A145" s="23" t="s">
        <v>39</v>
      </c>
      <c r="B145" s="23" t="s">
        <v>447</v>
      </c>
      <c r="C145" s="23" t="s">
        <v>433</v>
      </c>
      <c r="D145" s="23" t="s">
        <v>264</v>
      </c>
      <c r="E145" s="99"/>
      <c r="F145" s="100" t="s">
        <v>265</v>
      </c>
      <c r="G145" s="16" t="s">
        <v>71</v>
      </c>
      <c r="H145" s="16" t="s">
        <v>72</v>
      </c>
      <c r="I145" s="16" t="s">
        <v>73</v>
      </c>
      <c r="J145" s="16" t="s">
        <v>74</v>
      </c>
      <c r="K145" s="16" t="s">
        <v>227</v>
      </c>
      <c r="L145" s="16" t="s">
        <v>228</v>
      </c>
      <c r="M145" s="16" t="s">
        <v>229</v>
      </c>
      <c r="N145" s="16" t="s">
        <v>78</v>
      </c>
      <c r="O145" s="16" t="s">
        <v>78</v>
      </c>
      <c r="P145" s="16" t="s">
        <v>78</v>
      </c>
      <c r="Q145" s="16" t="s">
        <v>78</v>
      </c>
      <c r="R145" s="16" t="s">
        <v>230</v>
      </c>
      <c r="S145" s="23" t="s">
        <v>434</v>
      </c>
      <c r="T145" s="23" t="s">
        <v>266</v>
      </c>
    </row>
    <row r="146" customFormat="false" ht="19.5" hidden="false" customHeight="true" outlineLevel="0" collapsed="false">
      <c r="A146" s="26" t="s">
        <v>39</v>
      </c>
      <c r="B146" s="26" t="s">
        <v>448</v>
      </c>
      <c r="C146" s="26" t="s">
        <v>433</v>
      </c>
      <c r="D146" s="26" t="s">
        <v>100</v>
      </c>
      <c r="E146" s="16"/>
      <c r="F146" s="36" t="s">
        <v>101</v>
      </c>
      <c r="G146" s="29" t="s">
        <v>71</v>
      </c>
      <c r="H146" s="29" t="s">
        <v>72</v>
      </c>
      <c r="I146" s="29" t="s">
        <v>73</v>
      </c>
      <c r="J146" s="29" t="s">
        <v>74</v>
      </c>
      <c r="K146" s="29" t="s">
        <v>227</v>
      </c>
      <c r="L146" s="29" t="s">
        <v>228</v>
      </c>
      <c r="M146" s="29" t="s">
        <v>229</v>
      </c>
      <c r="N146" s="29" t="s">
        <v>78</v>
      </c>
      <c r="O146" s="29" t="s">
        <v>78</v>
      </c>
      <c r="P146" s="29" t="s">
        <v>78</v>
      </c>
      <c r="Q146" s="29" t="s">
        <v>78</v>
      </c>
      <c r="R146" s="29" t="s">
        <v>230</v>
      </c>
      <c r="S146" s="26" t="s">
        <v>434</v>
      </c>
      <c r="T146" s="26" t="s">
        <v>232</v>
      </c>
    </row>
    <row r="147" customFormat="false" ht="19.5" hidden="false" customHeight="true" outlineLevel="0" collapsed="false">
      <c r="A147" s="23" t="s">
        <v>39</v>
      </c>
      <c r="B147" s="23" t="s">
        <v>449</v>
      </c>
      <c r="C147" s="23" t="s">
        <v>433</v>
      </c>
      <c r="D147" s="23" t="s">
        <v>269</v>
      </c>
      <c r="E147" s="101"/>
      <c r="F147" s="102" t="s">
        <v>270</v>
      </c>
      <c r="G147" s="16" t="s">
        <v>71</v>
      </c>
      <c r="H147" s="16" t="s">
        <v>72</v>
      </c>
      <c r="I147" s="16" t="s">
        <v>73</v>
      </c>
      <c r="J147" s="16" t="s">
        <v>74</v>
      </c>
      <c r="K147" s="16" t="s">
        <v>227</v>
      </c>
      <c r="L147" s="16" t="s">
        <v>228</v>
      </c>
      <c r="M147" s="16" t="s">
        <v>229</v>
      </c>
      <c r="N147" s="16" t="s">
        <v>78</v>
      </c>
      <c r="O147" s="16" t="s">
        <v>78</v>
      </c>
      <c r="P147" s="16" t="s">
        <v>78</v>
      </c>
      <c r="Q147" s="16" t="s">
        <v>78</v>
      </c>
      <c r="R147" s="16" t="s">
        <v>230</v>
      </c>
      <c r="S147" s="23" t="s">
        <v>434</v>
      </c>
      <c r="T147" s="23" t="s">
        <v>232</v>
      </c>
    </row>
    <row r="148" customFormat="false" ht="19.5" hidden="false" customHeight="true" outlineLevel="0" collapsed="false">
      <c r="A148" s="26" t="s">
        <v>39</v>
      </c>
      <c r="B148" s="26" t="s">
        <v>450</v>
      </c>
      <c r="C148" s="26" t="s">
        <v>433</v>
      </c>
      <c r="D148" s="26" t="s">
        <v>159</v>
      </c>
      <c r="E148" s="103"/>
      <c r="F148" s="104" t="s">
        <v>272</v>
      </c>
      <c r="G148" s="29" t="s">
        <v>71</v>
      </c>
      <c r="H148" s="29" t="s">
        <v>72</v>
      </c>
      <c r="I148" s="29" t="s">
        <v>73</v>
      </c>
      <c r="J148" s="29" t="s">
        <v>74</v>
      </c>
      <c r="K148" s="29" t="s">
        <v>227</v>
      </c>
      <c r="L148" s="29" t="s">
        <v>228</v>
      </c>
      <c r="M148" s="29" t="s">
        <v>229</v>
      </c>
      <c r="N148" s="29" t="s">
        <v>78</v>
      </c>
      <c r="O148" s="29" t="s">
        <v>78</v>
      </c>
      <c r="P148" s="29" t="s">
        <v>78</v>
      </c>
      <c r="Q148" s="29" t="s">
        <v>78</v>
      </c>
      <c r="R148" s="29" t="s">
        <v>230</v>
      </c>
      <c r="S148" s="26" t="s">
        <v>434</v>
      </c>
      <c r="T148" s="26" t="s">
        <v>232</v>
      </c>
    </row>
    <row r="149" customFormat="false" ht="19.5" hidden="false" customHeight="true" outlineLevel="0" collapsed="false">
      <c r="A149" s="23" t="s">
        <v>40</v>
      </c>
      <c r="B149" s="23" t="s">
        <v>451</v>
      </c>
      <c r="C149" s="23" t="s">
        <v>452</v>
      </c>
      <c r="D149" s="23" t="s">
        <v>127</v>
      </c>
      <c r="E149" s="32"/>
      <c r="F149" s="33" t="s">
        <v>92</v>
      </c>
      <c r="G149" s="16" t="s">
        <v>71</v>
      </c>
      <c r="H149" s="16" t="s">
        <v>128</v>
      </c>
      <c r="I149" s="16" t="s">
        <v>73</v>
      </c>
      <c r="J149" s="16" t="s">
        <v>74</v>
      </c>
      <c r="K149" s="16" t="s">
        <v>296</v>
      </c>
      <c r="L149" s="16" t="s">
        <v>297</v>
      </c>
      <c r="M149" s="16" t="s">
        <v>298</v>
      </c>
      <c r="N149" s="16" t="s">
        <v>78</v>
      </c>
      <c r="O149" s="16" t="s">
        <v>78</v>
      </c>
      <c r="P149" s="16" t="s">
        <v>78</v>
      </c>
      <c r="Q149" s="16" t="s">
        <v>78</v>
      </c>
      <c r="R149" s="16" t="s">
        <v>93</v>
      </c>
      <c r="S149" s="23" t="s">
        <v>453</v>
      </c>
      <c r="T149" s="23" t="s">
        <v>133</v>
      </c>
    </row>
    <row r="150" customFormat="false" ht="19.5" hidden="false" customHeight="true" outlineLevel="0" collapsed="false">
      <c r="A150" s="26" t="s">
        <v>40</v>
      </c>
      <c r="B150" s="26" t="s">
        <v>454</v>
      </c>
      <c r="C150" s="26" t="s">
        <v>452</v>
      </c>
      <c r="D150" s="26" t="s">
        <v>135</v>
      </c>
      <c r="E150" s="32"/>
      <c r="F150" s="33" t="s">
        <v>92</v>
      </c>
      <c r="G150" s="29" t="s">
        <v>71</v>
      </c>
      <c r="H150" s="29" t="s">
        <v>128</v>
      </c>
      <c r="I150" s="29" t="s">
        <v>73</v>
      </c>
      <c r="J150" s="29" t="s">
        <v>74</v>
      </c>
      <c r="K150" s="29" t="s">
        <v>296</v>
      </c>
      <c r="L150" s="29" t="s">
        <v>297</v>
      </c>
      <c r="M150" s="29" t="s">
        <v>298</v>
      </c>
      <c r="N150" s="29" t="s">
        <v>78</v>
      </c>
      <c r="O150" s="29" t="s">
        <v>78</v>
      </c>
      <c r="P150" s="29" t="s">
        <v>78</v>
      </c>
      <c r="Q150" s="29" t="s">
        <v>78</v>
      </c>
      <c r="R150" s="29" t="s">
        <v>93</v>
      </c>
      <c r="S150" s="26" t="s">
        <v>453</v>
      </c>
      <c r="T150" s="26" t="s">
        <v>133</v>
      </c>
    </row>
    <row r="151" customFormat="false" ht="19.5" hidden="false" customHeight="true" outlineLevel="0" collapsed="false">
      <c r="A151" s="23" t="s">
        <v>40</v>
      </c>
      <c r="B151" s="23" t="s">
        <v>455</v>
      </c>
      <c r="C151" s="23" t="s">
        <v>452</v>
      </c>
      <c r="D151" s="23" t="s">
        <v>84</v>
      </c>
      <c r="E151" s="32"/>
      <c r="F151" s="33" t="s">
        <v>92</v>
      </c>
      <c r="G151" s="16" t="s">
        <v>71</v>
      </c>
      <c r="H151" s="16" t="s">
        <v>128</v>
      </c>
      <c r="I151" s="16" t="s">
        <v>73</v>
      </c>
      <c r="J151" s="16" t="s">
        <v>74</v>
      </c>
      <c r="K151" s="16" t="s">
        <v>296</v>
      </c>
      <c r="L151" s="16" t="s">
        <v>297</v>
      </c>
      <c r="M151" s="16" t="s">
        <v>298</v>
      </c>
      <c r="N151" s="16" t="s">
        <v>78</v>
      </c>
      <c r="O151" s="16" t="s">
        <v>78</v>
      </c>
      <c r="P151" s="16" t="s">
        <v>78</v>
      </c>
      <c r="Q151" s="16" t="s">
        <v>78</v>
      </c>
      <c r="R151" s="16" t="s">
        <v>93</v>
      </c>
      <c r="S151" s="23" t="s">
        <v>453</v>
      </c>
      <c r="T151" s="23" t="s">
        <v>133</v>
      </c>
    </row>
    <row r="152" customFormat="false" ht="19.5" hidden="false" customHeight="true" outlineLevel="0" collapsed="false">
      <c r="A152" s="26" t="s">
        <v>40</v>
      </c>
      <c r="B152" s="26" t="s">
        <v>456</v>
      </c>
      <c r="C152" s="26" t="s">
        <v>452</v>
      </c>
      <c r="D152" s="26" t="s">
        <v>184</v>
      </c>
      <c r="E152" s="133"/>
      <c r="F152" s="80" t="s">
        <v>457</v>
      </c>
      <c r="G152" s="29" t="s">
        <v>71</v>
      </c>
      <c r="H152" s="29" t="s">
        <v>128</v>
      </c>
      <c r="I152" s="29" t="s">
        <v>73</v>
      </c>
      <c r="J152" s="29" t="s">
        <v>74</v>
      </c>
      <c r="K152" s="29" t="s">
        <v>296</v>
      </c>
      <c r="L152" s="29" t="s">
        <v>297</v>
      </c>
      <c r="M152" s="29" t="s">
        <v>298</v>
      </c>
      <c r="N152" s="29" t="s">
        <v>78</v>
      </c>
      <c r="O152" s="29" t="s">
        <v>78</v>
      </c>
      <c r="P152" s="29" t="s">
        <v>78</v>
      </c>
      <c r="Q152" s="29" t="s">
        <v>78</v>
      </c>
      <c r="R152" s="29" t="s">
        <v>80</v>
      </c>
      <c r="S152" s="26" t="s">
        <v>458</v>
      </c>
      <c r="T152" s="26" t="s">
        <v>138</v>
      </c>
    </row>
    <row r="153" customFormat="false" ht="19.5" hidden="false" customHeight="true" outlineLevel="0" collapsed="false">
      <c r="A153" s="23" t="s">
        <v>40</v>
      </c>
      <c r="B153" s="23" t="s">
        <v>459</v>
      </c>
      <c r="C153" s="23" t="s">
        <v>452</v>
      </c>
      <c r="D153" s="23" t="s">
        <v>144</v>
      </c>
      <c r="E153" s="32"/>
      <c r="F153" s="33" t="s">
        <v>92</v>
      </c>
      <c r="G153" s="16" t="s">
        <v>71</v>
      </c>
      <c r="H153" s="16" t="s">
        <v>128</v>
      </c>
      <c r="I153" s="16" t="s">
        <v>73</v>
      </c>
      <c r="J153" s="16" t="s">
        <v>74</v>
      </c>
      <c r="K153" s="16" t="s">
        <v>296</v>
      </c>
      <c r="L153" s="16" t="s">
        <v>297</v>
      </c>
      <c r="M153" s="16" t="s">
        <v>298</v>
      </c>
      <c r="N153" s="16" t="s">
        <v>78</v>
      </c>
      <c r="O153" s="16" t="s">
        <v>78</v>
      </c>
      <c r="P153" s="16" t="s">
        <v>78</v>
      </c>
      <c r="Q153" s="16" t="s">
        <v>78</v>
      </c>
      <c r="R153" s="16" t="s">
        <v>93</v>
      </c>
      <c r="S153" s="23" t="s">
        <v>453</v>
      </c>
      <c r="T153" s="23" t="s">
        <v>133</v>
      </c>
    </row>
    <row r="154" customFormat="false" ht="19.5" hidden="false" customHeight="true" outlineLevel="0" collapsed="false">
      <c r="A154" s="26" t="s">
        <v>40</v>
      </c>
      <c r="B154" s="26" t="s">
        <v>460</v>
      </c>
      <c r="C154" s="26" t="s">
        <v>452</v>
      </c>
      <c r="D154" s="26" t="s">
        <v>91</v>
      </c>
      <c r="E154" s="32"/>
      <c r="F154" s="33" t="s">
        <v>92</v>
      </c>
      <c r="G154" s="29" t="s">
        <v>71</v>
      </c>
      <c r="H154" s="29" t="s">
        <v>128</v>
      </c>
      <c r="I154" s="29" t="s">
        <v>73</v>
      </c>
      <c r="J154" s="29" t="s">
        <v>74</v>
      </c>
      <c r="K154" s="29" t="s">
        <v>296</v>
      </c>
      <c r="L154" s="29" t="s">
        <v>297</v>
      </c>
      <c r="M154" s="29" t="s">
        <v>298</v>
      </c>
      <c r="N154" s="29" t="s">
        <v>78</v>
      </c>
      <c r="O154" s="29" t="s">
        <v>78</v>
      </c>
      <c r="P154" s="29" t="s">
        <v>78</v>
      </c>
      <c r="Q154" s="29" t="s">
        <v>78</v>
      </c>
      <c r="R154" s="29" t="s">
        <v>93</v>
      </c>
      <c r="S154" s="26" t="s">
        <v>453</v>
      </c>
      <c r="T154" s="26" t="s">
        <v>133</v>
      </c>
    </row>
    <row r="155" customFormat="false" ht="19.5" hidden="false" customHeight="true" outlineLevel="0" collapsed="false">
      <c r="A155" s="23" t="s">
        <v>40</v>
      </c>
      <c r="B155" s="23" t="s">
        <v>461</v>
      </c>
      <c r="C155" s="23" t="s">
        <v>452</v>
      </c>
      <c r="D155" s="23" t="s">
        <v>315</v>
      </c>
      <c r="E155" s="32"/>
      <c r="F155" s="33" t="s">
        <v>92</v>
      </c>
      <c r="G155" s="16" t="s">
        <v>71</v>
      </c>
      <c r="H155" s="16" t="s">
        <v>128</v>
      </c>
      <c r="I155" s="16" t="s">
        <v>73</v>
      </c>
      <c r="J155" s="16" t="s">
        <v>74</v>
      </c>
      <c r="K155" s="16" t="s">
        <v>296</v>
      </c>
      <c r="L155" s="16" t="s">
        <v>297</v>
      </c>
      <c r="M155" s="16" t="s">
        <v>298</v>
      </c>
      <c r="N155" s="16" t="s">
        <v>78</v>
      </c>
      <c r="O155" s="16" t="s">
        <v>78</v>
      </c>
      <c r="P155" s="16" t="s">
        <v>78</v>
      </c>
      <c r="Q155" s="16" t="s">
        <v>78</v>
      </c>
      <c r="R155" s="16" t="s">
        <v>93</v>
      </c>
      <c r="S155" s="23" t="s">
        <v>453</v>
      </c>
      <c r="T155" s="23" t="s">
        <v>133</v>
      </c>
    </row>
    <row r="156" customFormat="false" ht="19.5" hidden="false" customHeight="true" outlineLevel="0" collapsed="false">
      <c r="A156" s="26" t="s">
        <v>40</v>
      </c>
      <c r="B156" s="26" t="s">
        <v>462</v>
      </c>
      <c r="C156" s="26" t="s">
        <v>452</v>
      </c>
      <c r="D156" s="26" t="s">
        <v>463</v>
      </c>
      <c r="E156" s="32"/>
      <c r="F156" s="33" t="s">
        <v>92</v>
      </c>
      <c r="G156" s="29" t="s">
        <v>71</v>
      </c>
      <c r="H156" s="29" t="s">
        <v>128</v>
      </c>
      <c r="I156" s="29" t="s">
        <v>73</v>
      </c>
      <c r="J156" s="29" t="s">
        <v>74</v>
      </c>
      <c r="K156" s="29" t="s">
        <v>296</v>
      </c>
      <c r="L156" s="29" t="s">
        <v>297</v>
      </c>
      <c r="M156" s="29" t="s">
        <v>298</v>
      </c>
      <c r="N156" s="29" t="s">
        <v>78</v>
      </c>
      <c r="O156" s="29" t="s">
        <v>78</v>
      </c>
      <c r="P156" s="29" t="s">
        <v>78</v>
      </c>
      <c r="Q156" s="29" t="s">
        <v>78</v>
      </c>
      <c r="R156" s="29" t="s">
        <v>93</v>
      </c>
      <c r="S156" s="26" t="s">
        <v>453</v>
      </c>
      <c r="T156" s="26" t="s">
        <v>133</v>
      </c>
    </row>
    <row r="157" customFormat="false" ht="19.5" hidden="false" customHeight="true" outlineLevel="0" collapsed="false">
      <c r="A157" s="23" t="s">
        <v>40</v>
      </c>
      <c r="B157" s="23" t="s">
        <v>464</v>
      </c>
      <c r="C157" s="23" t="s">
        <v>452</v>
      </c>
      <c r="D157" s="23" t="s">
        <v>246</v>
      </c>
      <c r="E157" s="32"/>
      <c r="F157" s="33" t="s">
        <v>92</v>
      </c>
      <c r="G157" s="16" t="s">
        <v>71</v>
      </c>
      <c r="H157" s="16" t="s">
        <v>128</v>
      </c>
      <c r="I157" s="16" t="s">
        <v>73</v>
      </c>
      <c r="J157" s="16" t="s">
        <v>74</v>
      </c>
      <c r="K157" s="16" t="s">
        <v>296</v>
      </c>
      <c r="L157" s="16" t="s">
        <v>297</v>
      </c>
      <c r="M157" s="16" t="s">
        <v>298</v>
      </c>
      <c r="N157" s="16" t="s">
        <v>78</v>
      </c>
      <c r="O157" s="16" t="s">
        <v>78</v>
      </c>
      <c r="P157" s="16" t="s">
        <v>78</v>
      </c>
      <c r="Q157" s="16" t="s">
        <v>78</v>
      </c>
      <c r="R157" s="16" t="s">
        <v>93</v>
      </c>
      <c r="S157" s="23" t="s">
        <v>453</v>
      </c>
      <c r="T157" s="23" t="s">
        <v>133</v>
      </c>
    </row>
    <row r="158" customFormat="false" ht="19.5" hidden="false" customHeight="true" outlineLevel="0" collapsed="false">
      <c r="A158" s="26" t="s">
        <v>40</v>
      </c>
      <c r="B158" s="26" t="s">
        <v>465</v>
      </c>
      <c r="C158" s="26" t="s">
        <v>452</v>
      </c>
      <c r="D158" s="26" t="s">
        <v>193</v>
      </c>
      <c r="E158" s="32"/>
      <c r="F158" s="33" t="s">
        <v>92</v>
      </c>
      <c r="G158" s="29" t="s">
        <v>71</v>
      </c>
      <c r="H158" s="29" t="s">
        <v>128</v>
      </c>
      <c r="I158" s="29" t="s">
        <v>73</v>
      </c>
      <c r="J158" s="29" t="s">
        <v>74</v>
      </c>
      <c r="K158" s="29" t="s">
        <v>296</v>
      </c>
      <c r="L158" s="29" t="s">
        <v>297</v>
      </c>
      <c r="M158" s="29" t="s">
        <v>298</v>
      </c>
      <c r="N158" s="29" t="s">
        <v>78</v>
      </c>
      <c r="O158" s="29" t="s">
        <v>78</v>
      </c>
      <c r="P158" s="29" t="s">
        <v>78</v>
      </c>
      <c r="Q158" s="29" t="s">
        <v>78</v>
      </c>
      <c r="R158" s="29" t="s">
        <v>93</v>
      </c>
      <c r="S158" s="26" t="s">
        <v>453</v>
      </c>
      <c r="T158" s="26" t="s">
        <v>133</v>
      </c>
    </row>
    <row r="159" customFormat="false" ht="19.5" hidden="false" customHeight="true" outlineLevel="0" collapsed="false">
      <c r="A159" s="23" t="s">
        <v>40</v>
      </c>
      <c r="B159" s="23" t="s">
        <v>466</v>
      </c>
      <c r="C159" s="23" t="s">
        <v>452</v>
      </c>
      <c r="D159" s="23" t="s">
        <v>175</v>
      </c>
      <c r="E159" s="32"/>
      <c r="F159" s="33" t="s">
        <v>92</v>
      </c>
      <c r="G159" s="16" t="s">
        <v>71</v>
      </c>
      <c r="H159" s="16" t="s">
        <v>128</v>
      </c>
      <c r="I159" s="16" t="s">
        <v>73</v>
      </c>
      <c r="J159" s="16" t="s">
        <v>74</v>
      </c>
      <c r="K159" s="16" t="s">
        <v>296</v>
      </c>
      <c r="L159" s="16" t="s">
        <v>297</v>
      </c>
      <c r="M159" s="16" t="s">
        <v>298</v>
      </c>
      <c r="N159" s="16" t="s">
        <v>78</v>
      </c>
      <c r="O159" s="16" t="s">
        <v>78</v>
      </c>
      <c r="P159" s="16" t="s">
        <v>78</v>
      </c>
      <c r="Q159" s="16" t="s">
        <v>78</v>
      </c>
      <c r="R159" s="16" t="s">
        <v>93</v>
      </c>
      <c r="S159" s="23" t="s">
        <v>453</v>
      </c>
      <c r="T159" s="23" t="s">
        <v>133</v>
      </c>
    </row>
    <row r="160" customFormat="false" ht="19.5" hidden="false" customHeight="true" outlineLevel="0" collapsed="false">
      <c r="A160" s="26" t="s">
        <v>40</v>
      </c>
      <c r="B160" s="26" t="s">
        <v>467</v>
      </c>
      <c r="C160" s="26" t="s">
        <v>452</v>
      </c>
      <c r="D160" s="26" t="s">
        <v>468</v>
      </c>
      <c r="E160" s="32"/>
      <c r="F160" s="33" t="s">
        <v>92</v>
      </c>
      <c r="G160" s="29" t="s">
        <v>71</v>
      </c>
      <c r="H160" s="29" t="s">
        <v>128</v>
      </c>
      <c r="I160" s="29" t="s">
        <v>73</v>
      </c>
      <c r="J160" s="29" t="s">
        <v>74</v>
      </c>
      <c r="K160" s="29" t="s">
        <v>296</v>
      </c>
      <c r="L160" s="29" t="s">
        <v>297</v>
      </c>
      <c r="M160" s="29" t="s">
        <v>298</v>
      </c>
      <c r="N160" s="29" t="s">
        <v>78</v>
      </c>
      <c r="O160" s="29" t="s">
        <v>78</v>
      </c>
      <c r="P160" s="29" t="s">
        <v>78</v>
      </c>
      <c r="Q160" s="29" t="s">
        <v>78</v>
      </c>
      <c r="R160" s="29" t="s">
        <v>93</v>
      </c>
      <c r="S160" s="26" t="s">
        <v>453</v>
      </c>
      <c r="T160" s="26" t="s">
        <v>133</v>
      </c>
    </row>
    <row r="161" customFormat="false" ht="19.5" hidden="false" customHeight="true" outlineLevel="0" collapsed="false">
      <c r="A161" s="23" t="s">
        <v>40</v>
      </c>
      <c r="B161" s="23" t="s">
        <v>469</v>
      </c>
      <c r="C161" s="23" t="s">
        <v>452</v>
      </c>
      <c r="D161" s="23" t="s">
        <v>100</v>
      </c>
      <c r="E161" s="32"/>
      <c r="F161" s="33" t="s">
        <v>92</v>
      </c>
      <c r="G161" s="16" t="s">
        <v>71</v>
      </c>
      <c r="H161" s="16" t="s">
        <v>128</v>
      </c>
      <c r="I161" s="16" t="s">
        <v>73</v>
      </c>
      <c r="J161" s="16" t="s">
        <v>74</v>
      </c>
      <c r="K161" s="16" t="s">
        <v>296</v>
      </c>
      <c r="L161" s="16" t="s">
        <v>297</v>
      </c>
      <c r="M161" s="16" t="s">
        <v>298</v>
      </c>
      <c r="N161" s="16" t="s">
        <v>78</v>
      </c>
      <c r="O161" s="16" t="s">
        <v>78</v>
      </c>
      <c r="P161" s="16" t="s">
        <v>78</v>
      </c>
      <c r="Q161" s="16" t="s">
        <v>78</v>
      </c>
      <c r="R161" s="16" t="s">
        <v>93</v>
      </c>
      <c r="S161" s="23" t="s">
        <v>453</v>
      </c>
      <c r="T161" s="23" t="s">
        <v>133</v>
      </c>
    </row>
    <row r="162" customFormat="false" ht="19.5" hidden="false" customHeight="true" outlineLevel="0" collapsed="false">
      <c r="A162" s="26" t="s">
        <v>40</v>
      </c>
      <c r="B162" s="26" t="s">
        <v>470</v>
      </c>
      <c r="C162" s="26" t="s">
        <v>452</v>
      </c>
      <c r="D162" s="26" t="s">
        <v>159</v>
      </c>
      <c r="E162" s="32"/>
      <c r="F162" s="33" t="s">
        <v>92</v>
      </c>
      <c r="G162" s="29" t="s">
        <v>71</v>
      </c>
      <c r="H162" s="29" t="s">
        <v>128</v>
      </c>
      <c r="I162" s="29" t="s">
        <v>73</v>
      </c>
      <c r="J162" s="29" t="s">
        <v>74</v>
      </c>
      <c r="K162" s="29" t="s">
        <v>296</v>
      </c>
      <c r="L162" s="29" t="s">
        <v>297</v>
      </c>
      <c r="M162" s="29" t="s">
        <v>298</v>
      </c>
      <c r="N162" s="29" t="s">
        <v>78</v>
      </c>
      <c r="O162" s="29" t="s">
        <v>78</v>
      </c>
      <c r="P162" s="29" t="s">
        <v>78</v>
      </c>
      <c r="Q162" s="29" t="s">
        <v>78</v>
      </c>
      <c r="R162" s="29" t="s">
        <v>93</v>
      </c>
      <c r="S162" s="26" t="s">
        <v>453</v>
      </c>
      <c r="T162" s="26" t="s">
        <v>133</v>
      </c>
    </row>
    <row r="163" customFormat="false" ht="19.5" hidden="false" customHeight="true" outlineLevel="0" collapsed="false">
      <c r="A163" s="23" t="s">
        <v>41</v>
      </c>
      <c r="B163" s="23" t="s">
        <v>471</v>
      </c>
      <c r="C163" s="23" t="s">
        <v>472</v>
      </c>
      <c r="D163" s="23" t="s">
        <v>473</v>
      </c>
      <c r="E163" s="32"/>
      <c r="F163" s="33" t="s">
        <v>92</v>
      </c>
      <c r="G163" s="16" t="s">
        <v>71</v>
      </c>
      <c r="H163" s="16" t="s">
        <v>72</v>
      </c>
      <c r="I163" s="16" t="s">
        <v>73</v>
      </c>
      <c r="J163" s="16" t="s">
        <v>74</v>
      </c>
      <c r="K163" s="16" t="s">
        <v>227</v>
      </c>
      <c r="L163" s="16" t="s">
        <v>228</v>
      </c>
      <c r="M163" s="16" t="s">
        <v>229</v>
      </c>
      <c r="N163" s="16" t="s">
        <v>78</v>
      </c>
      <c r="O163" s="16" t="s">
        <v>78</v>
      </c>
      <c r="P163" s="16" t="s">
        <v>78</v>
      </c>
      <c r="Q163" s="16" t="s">
        <v>78</v>
      </c>
      <c r="R163" s="16" t="s">
        <v>93</v>
      </c>
      <c r="S163" s="23" t="s">
        <v>474</v>
      </c>
      <c r="T163" s="23" t="s">
        <v>475</v>
      </c>
    </row>
    <row r="164" customFormat="false" ht="19.5" hidden="false" customHeight="true" outlineLevel="0" collapsed="false">
      <c r="A164" s="26" t="s">
        <v>41</v>
      </c>
      <c r="B164" s="26" t="s">
        <v>476</v>
      </c>
      <c r="C164" s="26" t="s">
        <v>472</v>
      </c>
      <c r="D164" s="26" t="s">
        <v>477</v>
      </c>
      <c r="E164" s="32"/>
      <c r="F164" s="33" t="s">
        <v>92</v>
      </c>
      <c r="G164" s="29" t="s">
        <v>71</v>
      </c>
      <c r="H164" s="29" t="s">
        <v>72</v>
      </c>
      <c r="I164" s="29" t="s">
        <v>73</v>
      </c>
      <c r="J164" s="29" t="s">
        <v>74</v>
      </c>
      <c r="K164" s="29" t="s">
        <v>227</v>
      </c>
      <c r="L164" s="29" t="s">
        <v>228</v>
      </c>
      <c r="M164" s="29" t="s">
        <v>229</v>
      </c>
      <c r="N164" s="29" t="s">
        <v>78</v>
      </c>
      <c r="O164" s="29" t="s">
        <v>78</v>
      </c>
      <c r="P164" s="29" t="s">
        <v>78</v>
      </c>
      <c r="Q164" s="29" t="s">
        <v>78</v>
      </c>
      <c r="R164" s="29" t="s">
        <v>93</v>
      </c>
      <c r="S164" s="26" t="s">
        <v>478</v>
      </c>
      <c r="T164" s="26" t="s">
        <v>475</v>
      </c>
    </row>
    <row r="165" customFormat="false" ht="19.5" hidden="false" customHeight="true" outlineLevel="0" collapsed="false">
      <c r="A165" s="23" t="s">
        <v>41</v>
      </c>
      <c r="B165" s="23" t="s">
        <v>479</v>
      </c>
      <c r="C165" s="23" t="s">
        <v>472</v>
      </c>
      <c r="D165" s="23" t="s">
        <v>480</v>
      </c>
      <c r="E165" s="32"/>
      <c r="F165" s="33" t="s">
        <v>92</v>
      </c>
      <c r="G165" s="16" t="s">
        <v>71</v>
      </c>
      <c r="H165" s="16" t="s">
        <v>72</v>
      </c>
      <c r="I165" s="16" t="s">
        <v>73</v>
      </c>
      <c r="J165" s="16" t="s">
        <v>74</v>
      </c>
      <c r="K165" s="16" t="s">
        <v>227</v>
      </c>
      <c r="L165" s="16" t="s">
        <v>228</v>
      </c>
      <c r="M165" s="16" t="s">
        <v>229</v>
      </c>
      <c r="N165" s="16" t="s">
        <v>78</v>
      </c>
      <c r="O165" s="16" t="s">
        <v>78</v>
      </c>
      <c r="P165" s="16" t="s">
        <v>78</v>
      </c>
      <c r="Q165" s="16" t="s">
        <v>78</v>
      </c>
      <c r="R165" s="16" t="s">
        <v>93</v>
      </c>
      <c r="S165" s="23" t="s">
        <v>481</v>
      </c>
      <c r="T165" s="23" t="s">
        <v>475</v>
      </c>
    </row>
    <row r="166" customFormat="false" ht="19.5" hidden="false" customHeight="true" outlineLevel="0" collapsed="false">
      <c r="A166" s="26" t="s">
        <v>41</v>
      </c>
      <c r="B166" s="26" t="s">
        <v>482</v>
      </c>
      <c r="C166" s="26" t="s">
        <v>472</v>
      </c>
      <c r="D166" s="26" t="s">
        <v>483</v>
      </c>
      <c r="E166" s="32"/>
      <c r="F166" s="33" t="s">
        <v>92</v>
      </c>
      <c r="G166" s="29" t="s">
        <v>71</v>
      </c>
      <c r="H166" s="29" t="s">
        <v>72</v>
      </c>
      <c r="I166" s="29" t="s">
        <v>73</v>
      </c>
      <c r="J166" s="29" t="s">
        <v>74</v>
      </c>
      <c r="K166" s="29" t="s">
        <v>227</v>
      </c>
      <c r="L166" s="29" t="s">
        <v>228</v>
      </c>
      <c r="M166" s="29" t="s">
        <v>229</v>
      </c>
      <c r="N166" s="29" t="s">
        <v>78</v>
      </c>
      <c r="O166" s="29" t="s">
        <v>78</v>
      </c>
      <c r="P166" s="29" t="s">
        <v>78</v>
      </c>
      <c r="Q166" s="29" t="s">
        <v>78</v>
      </c>
      <c r="R166" s="29" t="s">
        <v>93</v>
      </c>
      <c r="S166" s="26" t="s">
        <v>484</v>
      </c>
      <c r="T166" s="26" t="s">
        <v>475</v>
      </c>
    </row>
    <row r="167" customFormat="false" ht="19.5" hidden="false" customHeight="true" outlineLevel="0" collapsed="false">
      <c r="A167" s="23" t="s">
        <v>41</v>
      </c>
      <c r="B167" s="23" t="s">
        <v>485</v>
      </c>
      <c r="C167" s="23" t="s">
        <v>472</v>
      </c>
      <c r="D167" s="23" t="s">
        <v>486</v>
      </c>
      <c r="E167" s="32"/>
      <c r="F167" s="33" t="s">
        <v>92</v>
      </c>
      <c r="G167" s="16" t="s">
        <v>71</v>
      </c>
      <c r="H167" s="16" t="s">
        <v>72</v>
      </c>
      <c r="I167" s="16" t="s">
        <v>73</v>
      </c>
      <c r="J167" s="16" t="s">
        <v>74</v>
      </c>
      <c r="K167" s="16" t="s">
        <v>227</v>
      </c>
      <c r="L167" s="16" t="s">
        <v>228</v>
      </c>
      <c r="M167" s="16" t="s">
        <v>229</v>
      </c>
      <c r="N167" s="16" t="s">
        <v>78</v>
      </c>
      <c r="O167" s="16" t="s">
        <v>78</v>
      </c>
      <c r="P167" s="16" t="s">
        <v>78</v>
      </c>
      <c r="Q167" s="16" t="s">
        <v>78</v>
      </c>
      <c r="R167" s="16" t="s">
        <v>93</v>
      </c>
      <c r="S167" s="23" t="s">
        <v>487</v>
      </c>
      <c r="T167" s="23" t="s">
        <v>475</v>
      </c>
    </row>
    <row r="168" customFormat="false" ht="19.5" hidden="false" customHeight="true" outlineLevel="0" collapsed="false">
      <c r="A168" s="26" t="s">
        <v>41</v>
      </c>
      <c r="B168" s="26" t="s">
        <v>488</v>
      </c>
      <c r="C168" s="26" t="s">
        <v>472</v>
      </c>
      <c r="D168" s="26" t="s">
        <v>489</v>
      </c>
      <c r="E168" s="32"/>
      <c r="F168" s="33" t="s">
        <v>92</v>
      </c>
      <c r="G168" s="29" t="s">
        <v>71</v>
      </c>
      <c r="H168" s="29" t="s">
        <v>72</v>
      </c>
      <c r="I168" s="29" t="s">
        <v>73</v>
      </c>
      <c r="J168" s="29" t="s">
        <v>74</v>
      </c>
      <c r="K168" s="29" t="s">
        <v>227</v>
      </c>
      <c r="L168" s="29" t="s">
        <v>228</v>
      </c>
      <c r="M168" s="29" t="s">
        <v>229</v>
      </c>
      <c r="N168" s="29" t="s">
        <v>78</v>
      </c>
      <c r="O168" s="29" t="s">
        <v>78</v>
      </c>
      <c r="P168" s="29" t="s">
        <v>78</v>
      </c>
      <c r="Q168" s="29" t="s">
        <v>78</v>
      </c>
      <c r="R168" s="29" t="s">
        <v>93</v>
      </c>
      <c r="S168" s="26" t="s">
        <v>490</v>
      </c>
      <c r="T168" s="26" t="s">
        <v>475</v>
      </c>
    </row>
    <row r="169" customFormat="false" ht="19.5" hidden="false" customHeight="true" outlineLevel="0" collapsed="false">
      <c r="A169" s="23" t="s">
        <v>41</v>
      </c>
      <c r="B169" s="23" t="s">
        <v>491</v>
      </c>
      <c r="C169" s="23" t="s">
        <v>472</v>
      </c>
      <c r="D169" s="23" t="s">
        <v>492</v>
      </c>
      <c r="E169" s="32"/>
      <c r="F169" s="33" t="s">
        <v>92</v>
      </c>
      <c r="G169" s="16" t="s">
        <v>71</v>
      </c>
      <c r="H169" s="16" t="s">
        <v>72</v>
      </c>
      <c r="I169" s="16" t="s">
        <v>73</v>
      </c>
      <c r="J169" s="16" t="s">
        <v>74</v>
      </c>
      <c r="K169" s="16" t="s">
        <v>227</v>
      </c>
      <c r="L169" s="16" t="s">
        <v>228</v>
      </c>
      <c r="M169" s="16" t="s">
        <v>229</v>
      </c>
      <c r="N169" s="16" t="s">
        <v>78</v>
      </c>
      <c r="O169" s="16" t="s">
        <v>78</v>
      </c>
      <c r="P169" s="16" t="s">
        <v>78</v>
      </c>
      <c r="Q169" s="16" t="s">
        <v>78</v>
      </c>
      <c r="R169" s="16" t="s">
        <v>93</v>
      </c>
      <c r="S169" s="23" t="s">
        <v>493</v>
      </c>
      <c r="T169" s="23" t="s">
        <v>475</v>
      </c>
    </row>
    <row r="170" customFormat="false" ht="19.5" hidden="false" customHeight="true" outlineLevel="0" collapsed="false">
      <c r="A170" s="26" t="s">
        <v>41</v>
      </c>
      <c r="B170" s="26" t="s">
        <v>494</v>
      </c>
      <c r="C170" s="26" t="s">
        <v>472</v>
      </c>
      <c r="D170" s="26" t="s">
        <v>495</v>
      </c>
      <c r="E170" s="134"/>
      <c r="F170" s="135" t="s">
        <v>496</v>
      </c>
      <c r="G170" s="29" t="s">
        <v>71</v>
      </c>
      <c r="H170" s="29" t="s">
        <v>72</v>
      </c>
      <c r="I170" s="29" t="s">
        <v>73</v>
      </c>
      <c r="J170" s="29" t="s">
        <v>74</v>
      </c>
      <c r="K170" s="29" t="s">
        <v>227</v>
      </c>
      <c r="L170" s="29" t="s">
        <v>228</v>
      </c>
      <c r="M170" s="29" t="s">
        <v>229</v>
      </c>
      <c r="N170" s="29" t="s">
        <v>78</v>
      </c>
      <c r="O170" s="29" t="s">
        <v>78</v>
      </c>
      <c r="P170" s="29" t="s">
        <v>78</v>
      </c>
      <c r="Q170" s="29" t="s">
        <v>78</v>
      </c>
      <c r="R170" s="29" t="s">
        <v>80</v>
      </c>
      <c r="S170" s="26" t="s">
        <v>497</v>
      </c>
      <c r="T170" s="26" t="s">
        <v>354</v>
      </c>
    </row>
    <row r="171" customFormat="false" ht="19.5" hidden="false" customHeight="true" outlineLevel="0" collapsed="false">
      <c r="A171" s="23" t="s">
        <v>41</v>
      </c>
      <c r="B171" s="23" t="s">
        <v>498</v>
      </c>
      <c r="C171" s="23" t="s">
        <v>472</v>
      </c>
      <c r="D171" s="23" t="s">
        <v>499</v>
      </c>
      <c r="E171" s="32"/>
      <c r="F171" s="33" t="s">
        <v>92</v>
      </c>
      <c r="G171" s="16" t="s">
        <v>71</v>
      </c>
      <c r="H171" s="16" t="s">
        <v>72</v>
      </c>
      <c r="I171" s="16" t="s">
        <v>73</v>
      </c>
      <c r="J171" s="16" t="s">
        <v>74</v>
      </c>
      <c r="K171" s="16" t="s">
        <v>227</v>
      </c>
      <c r="L171" s="16" t="s">
        <v>228</v>
      </c>
      <c r="M171" s="16" t="s">
        <v>229</v>
      </c>
      <c r="N171" s="16" t="s">
        <v>78</v>
      </c>
      <c r="O171" s="16" t="s">
        <v>78</v>
      </c>
      <c r="P171" s="16" t="s">
        <v>78</v>
      </c>
      <c r="Q171" s="16" t="s">
        <v>78</v>
      </c>
      <c r="R171" s="16" t="s">
        <v>93</v>
      </c>
      <c r="S171" s="23" t="s">
        <v>500</v>
      </c>
      <c r="T171" s="23" t="s">
        <v>501</v>
      </c>
    </row>
    <row r="172" customFormat="false" ht="19.5" hidden="false" customHeight="true" outlineLevel="0" collapsed="false">
      <c r="A172" s="26" t="s">
        <v>41</v>
      </c>
      <c r="B172" s="26" t="s">
        <v>502</v>
      </c>
      <c r="C172" s="26" t="s">
        <v>472</v>
      </c>
      <c r="D172" s="26" t="s">
        <v>503</v>
      </c>
      <c r="E172" s="32"/>
      <c r="F172" s="33" t="s">
        <v>92</v>
      </c>
      <c r="G172" s="29" t="s">
        <v>71</v>
      </c>
      <c r="H172" s="29" t="s">
        <v>72</v>
      </c>
      <c r="I172" s="29" t="s">
        <v>73</v>
      </c>
      <c r="J172" s="29" t="s">
        <v>74</v>
      </c>
      <c r="K172" s="29" t="s">
        <v>227</v>
      </c>
      <c r="L172" s="29" t="s">
        <v>228</v>
      </c>
      <c r="M172" s="29" t="s">
        <v>229</v>
      </c>
      <c r="N172" s="29" t="s">
        <v>78</v>
      </c>
      <c r="O172" s="29" t="s">
        <v>78</v>
      </c>
      <c r="P172" s="29" t="s">
        <v>78</v>
      </c>
      <c r="Q172" s="29" t="s">
        <v>78</v>
      </c>
      <c r="R172" s="29" t="s">
        <v>93</v>
      </c>
      <c r="S172" s="26" t="s">
        <v>504</v>
      </c>
      <c r="T172" s="26" t="s">
        <v>475</v>
      </c>
    </row>
    <row r="173" customFormat="false" ht="19.5" hidden="false" customHeight="true" outlineLevel="0" collapsed="false">
      <c r="A173" s="23" t="s">
        <v>41</v>
      </c>
      <c r="B173" s="23" t="s">
        <v>505</v>
      </c>
      <c r="C173" s="23" t="s">
        <v>472</v>
      </c>
      <c r="D173" s="23" t="s">
        <v>506</v>
      </c>
      <c r="E173" s="136"/>
      <c r="F173" s="25" t="s">
        <v>507</v>
      </c>
      <c r="G173" s="16" t="s">
        <v>71</v>
      </c>
      <c r="H173" s="16" t="s">
        <v>72</v>
      </c>
      <c r="I173" s="16" t="s">
        <v>73</v>
      </c>
      <c r="J173" s="16" t="s">
        <v>74</v>
      </c>
      <c r="K173" s="16" t="s">
        <v>227</v>
      </c>
      <c r="L173" s="16" t="s">
        <v>228</v>
      </c>
      <c r="M173" s="16" t="s">
        <v>229</v>
      </c>
      <c r="N173" s="16" t="s">
        <v>78</v>
      </c>
      <c r="O173" s="16" t="s">
        <v>78</v>
      </c>
      <c r="P173" s="16" t="s">
        <v>78</v>
      </c>
      <c r="Q173" s="16" t="s">
        <v>78</v>
      </c>
      <c r="R173" s="16" t="s">
        <v>80</v>
      </c>
      <c r="S173" s="23" t="s">
        <v>508</v>
      </c>
      <c r="T173" s="23" t="s">
        <v>354</v>
      </c>
    </row>
    <row r="174" customFormat="false" ht="19.5" hidden="false" customHeight="true" outlineLevel="0" collapsed="false">
      <c r="A174" s="26" t="s">
        <v>41</v>
      </c>
      <c r="B174" s="26" t="s">
        <v>509</v>
      </c>
      <c r="C174" s="26" t="s">
        <v>472</v>
      </c>
      <c r="D174" s="26" t="s">
        <v>315</v>
      </c>
      <c r="E174" s="32"/>
      <c r="F174" s="33" t="s">
        <v>92</v>
      </c>
      <c r="G174" s="29" t="s">
        <v>71</v>
      </c>
      <c r="H174" s="29" t="s">
        <v>72</v>
      </c>
      <c r="I174" s="29" t="s">
        <v>73</v>
      </c>
      <c r="J174" s="29" t="s">
        <v>74</v>
      </c>
      <c r="K174" s="29" t="s">
        <v>227</v>
      </c>
      <c r="L174" s="29" t="s">
        <v>228</v>
      </c>
      <c r="M174" s="29" t="s">
        <v>229</v>
      </c>
      <c r="N174" s="29" t="s">
        <v>78</v>
      </c>
      <c r="O174" s="29" t="s">
        <v>78</v>
      </c>
      <c r="P174" s="29" t="s">
        <v>78</v>
      </c>
      <c r="Q174" s="29" t="s">
        <v>78</v>
      </c>
      <c r="R174" s="29" t="s">
        <v>93</v>
      </c>
      <c r="S174" s="26" t="s">
        <v>510</v>
      </c>
      <c r="T174" s="26" t="s">
        <v>511</v>
      </c>
    </row>
    <row r="175" customFormat="false" ht="19.5" hidden="false" customHeight="true" outlineLevel="0" collapsed="false">
      <c r="A175" s="23" t="s">
        <v>41</v>
      </c>
      <c r="B175" s="23" t="s">
        <v>512</v>
      </c>
      <c r="C175" s="23" t="s">
        <v>472</v>
      </c>
      <c r="D175" s="23" t="s">
        <v>405</v>
      </c>
      <c r="E175" s="24"/>
      <c r="F175" s="89" t="s">
        <v>513</v>
      </c>
      <c r="G175" s="16" t="s">
        <v>71</v>
      </c>
      <c r="H175" s="16" t="s">
        <v>72</v>
      </c>
      <c r="I175" s="16" t="s">
        <v>73</v>
      </c>
      <c r="J175" s="16" t="s">
        <v>74</v>
      </c>
      <c r="K175" s="16" t="s">
        <v>227</v>
      </c>
      <c r="L175" s="16" t="s">
        <v>228</v>
      </c>
      <c r="M175" s="16" t="s">
        <v>229</v>
      </c>
      <c r="N175" s="16" t="s">
        <v>78</v>
      </c>
      <c r="O175" s="16" t="s">
        <v>78</v>
      </c>
      <c r="P175" s="16" t="s">
        <v>78</v>
      </c>
      <c r="Q175" s="16" t="s">
        <v>78</v>
      </c>
      <c r="R175" s="16" t="s">
        <v>80</v>
      </c>
      <c r="S175" s="23" t="s">
        <v>514</v>
      </c>
      <c r="T175" s="23" t="s">
        <v>354</v>
      </c>
    </row>
    <row r="176" customFormat="false" ht="19.5" hidden="false" customHeight="true" outlineLevel="0" collapsed="false">
      <c r="A176" s="26" t="s">
        <v>41</v>
      </c>
      <c r="B176" s="26" t="s">
        <v>515</v>
      </c>
      <c r="C176" s="26" t="s">
        <v>472</v>
      </c>
      <c r="D176" s="26" t="s">
        <v>97</v>
      </c>
      <c r="E176" s="137"/>
      <c r="F176" s="138" t="s">
        <v>516</v>
      </c>
      <c r="G176" s="29" t="s">
        <v>71</v>
      </c>
      <c r="H176" s="29" t="s">
        <v>72</v>
      </c>
      <c r="I176" s="29" t="s">
        <v>73</v>
      </c>
      <c r="J176" s="29" t="s">
        <v>74</v>
      </c>
      <c r="K176" s="29" t="s">
        <v>227</v>
      </c>
      <c r="L176" s="29" t="s">
        <v>228</v>
      </c>
      <c r="M176" s="29" t="s">
        <v>229</v>
      </c>
      <c r="N176" s="29" t="s">
        <v>78</v>
      </c>
      <c r="O176" s="29" t="s">
        <v>78</v>
      </c>
      <c r="P176" s="29" t="s">
        <v>78</v>
      </c>
      <c r="Q176" s="29" t="s">
        <v>78</v>
      </c>
      <c r="R176" s="29" t="s">
        <v>80</v>
      </c>
      <c r="S176" s="26" t="s">
        <v>517</v>
      </c>
      <c r="T176" s="26" t="s">
        <v>354</v>
      </c>
    </row>
    <row r="177" customFormat="false" ht="19.5" hidden="false" customHeight="true" outlineLevel="0" collapsed="false">
      <c r="A177" s="23" t="s">
        <v>41</v>
      </c>
      <c r="B177" s="23" t="s">
        <v>518</v>
      </c>
      <c r="C177" s="23" t="s">
        <v>472</v>
      </c>
      <c r="D177" s="23" t="s">
        <v>175</v>
      </c>
      <c r="E177" s="32"/>
      <c r="F177" s="33" t="s">
        <v>519</v>
      </c>
      <c r="G177" s="16" t="s">
        <v>71</v>
      </c>
      <c r="H177" s="16" t="s">
        <v>72</v>
      </c>
      <c r="I177" s="16" t="s">
        <v>73</v>
      </c>
      <c r="J177" s="16" t="s">
        <v>74</v>
      </c>
      <c r="K177" s="16" t="s">
        <v>227</v>
      </c>
      <c r="L177" s="16" t="s">
        <v>228</v>
      </c>
      <c r="M177" s="16" t="s">
        <v>229</v>
      </c>
      <c r="N177" s="16" t="s">
        <v>78</v>
      </c>
      <c r="O177" s="16" t="s">
        <v>78</v>
      </c>
      <c r="P177" s="16" t="s">
        <v>78</v>
      </c>
      <c r="Q177" s="16" t="s">
        <v>78</v>
      </c>
      <c r="R177" s="16" t="s">
        <v>80</v>
      </c>
      <c r="S177" s="23" t="s">
        <v>520</v>
      </c>
      <c r="T177" s="23" t="s">
        <v>354</v>
      </c>
    </row>
    <row r="178" customFormat="false" ht="19.5" hidden="false" customHeight="true" outlineLevel="0" collapsed="false">
      <c r="A178" s="26" t="s">
        <v>41</v>
      </c>
      <c r="B178" s="26" t="s">
        <v>521</v>
      </c>
      <c r="C178" s="26" t="s">
        <v>472</v>
      </c>
      <c r="D178" s="26" t="s">
        <v>100</v>
      </c>
      <c r="E178" s="139"/>
      <c r="F178" s="100" t="s">
        <v>522</v>
      </c>
      <c r="G178" s="29" t="s">
        <v>71</v>
      </c>
      <c r="H178" s="29" t="s">
        <v>72</v>
      </c>
      <c r="I178" s="29" t="s">
        <v>73</v>
      </c>
      <c r="J178" s="29" t="s">
        <v>74</v>
      </c>
      <c r="K178" s="29" t="s">
        <v>227</v>
      </c>
      <c r="L178" s="29" t="s">
        <v>228</v>
      </c>
      <c r="M178" s="29" t="s">
        <v>229</v>
      </c>
      <c r="N178" s="29" t="s">
        <v>78</v>
      </c>
      <c r="O178" s="29" t="s">
        <v>78</v>
      </c>
      <c r="P178" s="29" t="s">
        <v>78</v>
      </c>
      <c r="Q178" s="29" t="s">
        <v>78</v>
      </c>
      <c r="R178" s="29" t="s">
        <v>80</v>
      </c>
      <c r="S178" s="26" t="s">
        <v>508</v>
      </c>
      <c r="T178" s="26" t="s">
        <v>354</v>
      </c>
    </row>
    <row r="179" customFormat="false" ht="19.5" hidden="false" customHeight="true" outlineLevel="0" collapsed="false">
      <c r="A179" s="23" t="s">
        <v>42</v>
      </c>
      <c r="B179" s="23" t="s">
        <v>523</v>
      </c>
      <c r="C179" s="23" t="s">
        <v>524</v>
      </c>
      <c r="D179" s="23" t="s">
        <v>525</v>
      </c>
      <c r="E179" s="30"/>
      <c r="F179" s="40" t="s">
        <v>526</v>
      </c>
      <c r="G179" s="16" t="s">
        <v>71</v>
      </c>
      <c r="H179" s="16" t="s">
        <v>72</v>
      </c>
      <c r="I179" s="16" t="s">
        <v>73</v>
      </c>
      <c r="J179" s="16" t="s">
        <v>74</v>
      </c>
      <c r="K179" s="16" t="s">
        <v>227</v>
      </c>
      <c r="L179" s="16" t="s">
        <v>297</v>
      </c>
      <c r="M179" s="16" t="s">
        <v>298</v>
      </c>
      <c r="N179" s="16" t="s">
        <v>78</v>
      </c>
      <c r="O179" s="16" t="s">
        <v>78</v>
      </c>
      <c r="P179" s="16" t="s">
        <v>78</v>
      </c>
      <c r="Q179" s="16" t="s">
        <v>78</v>
      </c>
      <c r="R179" s="16" t="s">
        <v>80</v>
      </c>
      <c r="S179" s="23" t="s">
        <v>527</v>
      </c>
      <c r="T179" s="23" t="s">
        <v>528</v>
      </c>
    </row>
    <row r="180" customFormat="false" ht="19.5" hidden="false" customHeight="true" outlineLevel="0" collapsed="false">
      <c r="A180" s="26" t="s">
        <v>42</v>
      </c>
      <c r="B180" s="26" t="s">
        <v>529</v>
      </c>
      <c r="C180" s="26" t="s">
        <v>524</v>
      </c>
      <c r="D180" s="26" t="s">
        <v>530</v>
      </c>
      <c r="E180" s="63"/>
      <c r="F180" s="84" t="s">
        <v>531</v>
      </c>
      <c r="G180" s="29" t="s">
        <v>71</v>
      </c>
      <c r="H180" s="29" t="s">
        <v>72</v>
      </c>
      <c r="I180" s="29" t="s">
        <v>73</v>
      </c>
      <c r="J180" s="29" t="s">
        <v>74</v>
      </c>
      <c r="K180" s="29" t="s">
        <v>227</v>
      </c>
      <c r="L180" s="29" t="s">
        <v>297</v>
      </c>
      <c r="M180" s="29" t="s">
        <v>298</v>
      </c>
      <c r="N180" s="29" t="s">
        <v>78</v>
      </c>
      <c r="O180" s="29" t="s">
        <v>78</v>
      </c>
      <c r="P180" s="29" t="s">
        <v>78</v>
      </c>
      <c r="Q180" s="29" t="s">
        <v>78</v>
      </c>
      <c r="R180" s="29" t="s">
        <v>80</v>
      </c>
      <c r="S180" s="26" t="s">
        <v>527</v>
      </c>
      <c r="T180" s="26" t="s">
        <v>532</v>
      </c>
    </row>
    <row r="181" customFormat="false" ht="19.5" hidden="false" customHeight="true" outlineLevel="0" collapsed="false">
      <c r="A181" s="23" t="s">
        <v>42</v>
      </c>
      <c r="B181" s="23" t="s">
        <v>533</v>
      </c>
      <c r="C181" s="23" t="s">
        <v>524</v>
      </c>
      <c r="D181" s="23" t="s">
        <v>534</v>
      </c>
      <c r="E181" s="140"/>
      <c r="F181" s="141" t="s">
        <v>535</v>
      </c>
      <c r="G181" s="16" t="s">
        <v>71</v>
      </c>
      <c r="H181" s="16" t="s">
        <v>72</v>
      </c>
      <c r="I181" s="16" t="s">
        <v>73</v>
      </c>
      <c r="J181" s="16" t="s">
        <v>74</v>
      </c>
      <c r="K181" s="16" t="s">
        <v>227</v>
      </c>
      <c r="L181" s="16" t="s">
        <v>297</v>
      </c>
      <c r="M181" s="16" t="s">
        <v>298</v>
      </c>
      <c r="N181" s="16" t="s">
        <v>78</v>
      </c>
      <c r="O181" s="16" t="s">
        <v>78</v>
      </c>
      <c r="P181" s="16" t="s">
        <v>78</v>
      </c>
      <c r="Q181" s="16" t="s">
        <v>78</v>
      </c>
      <c r="R181" s="16" t="s">
        <v>80</v>
      </c>
      <c r="S181" s="23" t="s">
        <v>527</v>
      </c>
      <c r="T181" s="23" t="s">
        <v>536</v>
      </c>
    </row>
    <row r="182" customFormat="false" ht="19.5" hidden="false" customHeight="true" outlineLevel="0" collapsed="false">
      <c r="A182" s="26" t="s">
        <v>42</v>
      </c>
      <c r="B182" s="26" t="s">
        <v>537</v>
      </c>
      <c r="C182" s="26" t="s">
        <v>524</v>
      </c>
      <c r="D182" s="26" t="s">
        <v>538</v>
      </c>
      <c r="E182" s="32"/>
      <c r="F182" s="33" t="s">
        <v>92</v>
      </c>
      <c r="G182" s="29" t="s">
        <v>71</v>
      </c>
      <c r="H182" s="29" t="s">
        <v>72</v>
      </c>
      <c r="I182" s="29" t="s">
        <v>73</v>
      </c>
      <c r="J182" s="29" t="s">
        <v>74</v>
      </c>
      <c r="K182" s="29" t="s">
        <v>227</v>
      </c>
      <c r="L182" s="29" t="s">
        <v>297</v>
      </c>
      <c r="M182" s="29" t="s">
        <v>298</v>
      </c>
      <c r="N182" s="29" t="s">
        <v>78</v>
      </c>
      <c r="O182" s="29" t="s">
        <v>78</v>
      </c>
      <c r="P182" s="29" t="s">
        <v>78</v>
      </c>
      <c r="Q182" s="29" t="s">
        <v>78</v>
      </c>
      <c r="R182" s="29" t="s">
        <v>93</v>
      </c>
      <c r="S182" s="26" t="s">
        <v>539</v>
      </c>
      <c r="T182" s="26" t="s">
        <v>540</v>
      </c>
    </row>
    <row r="183" customFormat="false" ht="19.5" hidden="false" customHeight="true" outlineLevel="0" collapsed="false">
      <c r="A183" s="23" t="s">
        <v>42</v>
      </c>
      <c r="B183" s="23" t="s">
        <v>541</v>
      </c>
      <c r="C183" s="23" t="s">
        <v>524</v>
      </c>
      <c r="D183" s="23" t="s">
        <v>542</v>
      </c>
      <c r="E183" s="76"/>
      <c r="F183" s="142" t="s">
        <v>543</v>
      </c>
      <c r="G183" s="16" t="s">
        <v>71</v>
      </c>
      <c r="H183" s="16" t="s">
        <v>72</v>
      </c>
      <c r="I183" s="16" t="s">
        <v>73</v>
      </c>
      <c r="J183" s="16" t="s">
        <v>74</v>
      </c>
      <c r="K183" s="16" t="s">
        <v>227</v>
      </c>
      <c r="L183" s="16" t="s">
        <v>297</v>
      </c>
      <c r="M183" s="16" t="s">
        <v>298</v>
      </c>
      <c r="N183" s="16" t="s">
        <v>78</v>
      </c>
      <c r="O183" s="16" t="s">
        <v>78</v>
      </c>
      <c r="P183" s="16" t="s">
        <v>78</v>
      </c>
      <c r="Q183" s="16" t="s">
        <v>78</v>
      </c>
      <c r="R183" s="16" t="s">
        <v>80</v>
      </c>
      <c r="S183" s="23" t="s">
        <v>527</v>
      </c>
      <c r="T183" s="23" t="s">
        <v>544</v>
      </c>
    </row>
    <row r="184" customFormat="false" ht="19.5" hidden="false" customHeight="true" outlineLevel="0" collapsed="false">
      <c r="A184" s="26" t="s">
        <v>42</v>
      </c>
      <c r="B184" s="26" t="s">
        <v>545</v>
      </c>
      <c r="C184" s="26" t="s">
        <v>524</v>
      </c>
      <c r="D184" s="26" t="s">
        <v>546</v>
      </c>
      <c r="E184" s="83"/>
      <c r="F184" s="143" t="s">
        <v>547</v>
      </c>
      <c r="G184" s="29" t="s">
        <v>71</v>
      </c>
      <c r="H184" s="29" t="s">
        <v>72</v>
      </c>
      <c r="I184" s="29" t="s">
        <v>73</v>
      </c>
      <c r="J184" s="29" t="s">
        <v>74</v>
      </c>
      <c r="K184" s="29" t="s">
        <v>227</v>
      </c>
      <c r="L184" s="29" t="s">
        <v>297</v>
      </c>
      <c r="M184" s="29" t="s">
        <v>298</v>
      </c>
      <c r="N184" s="29" t="s">
        <v>78</v>
      </c>
      <c r="O184" s="29" t="s">
        <v>78</v>
      </c>
      <c r="P184" s="29" t="s">
        <v>78</v>
      </c>
      <c r="Q184" s="29" t="s">
        <v>78</v>
      </c>
      <c r="R184" s="29" t="s">
        <v>80</v>
      </c>
      <c r="S184" s="26" t="s">
        <v>527</v>
      </c>
      <c r="T184" s="26" t="s">
        <v>528</v>
      </c>
    </row>
    <row r="185" customFormat="false" ht="19.5" hidden="false" customHeight="true" outlineLevel="0" collapsed="false">
      <c r="A185" s="23" t="s">
        <v>42</v>
      </c>
      <c r="B185" s="23" t="s">
        <v>548</v>
      </c>
      <c r="C185" s="23" t="s">
        <v>524</v>
      </c>
      <c r="D185" s="23" t="s">
        <v>549</v>
      </c>
      <c r="E185" s="95"/>
      <c r="F185" s="96" t="s">
        <v>550</v>
      </c>
      <c r="G185" s="16" t="s">
        <v>71</v>
      </c>
      <c r="H185" s="16" t="s">
        <v>72</v>
      </c>
      <c r="I185" s="16" t="s">
        <v>73</v>
      </c>
      <c r="J185" s="16" t="s">
        <v>74</v>
      </c>
      <c r="K185" s="16" t="s">
        <v>227</v>
      </c>
      <c r="L185" s="16" t="s">
        <v>297</v>
      </c>
      <c r="M185" s="16" t="s">
        <v>298</v>
      </c>
      <c r="N185" s="16" t="s">
        <v>78</v>
      </c>
      <c r="O185" s="16" t="s">
        <v>78</v>
      </c>
      <c r="P185" s="16" t="s">
        <v>78</v>
      </c>
      <c r="Q185" s="16" t="s">
        <v>78</v>
      </c>
      <c r="R185" s="16" t="s">
        <v>80</v>
      </c>
      <c r="S185" s="23" t="s">
        <v>527</v>
      </c>
      <c r="T185" s="23" t="s">
        <v>528</v>
      </c>
    </row>
    <row r="186" customFormat="false" ht="19.5" hidden="false" customHeight="true" outlineLevel="0" collapsed="false">
      <c r="A186" s="26" t="s">
        <v>43</v>
      </c>
      <c r="B186" s="26" t="s">
        <v>551</v>
      </c>
      <c r="C186" s="26" t="s">
        <v>552</v>
      </c>
      <c r="D186" s="26" t="s">
        <v>553</v>
      </c>
      <c r="E186" s="144"/>
      <c r="F186" s="110" t="s">
        <v>554</v>
      </c>
      <c r="G186" s="29" t="s">
        <v>71</v>
      </c>
      <c r="H186" s="29" t="s">
        <v>72</v>
      </c>
      <c r="I186" s="29" t="s">
        <v>73</v>
      </c>
      <c r="J186" s="29" t="s">
        <v>74</v>
      </c>
      <c r="K186" s="29" t="s">
        <v>227</v>
      </c>
      <c r="L186" s="29" t="s">
        <v>297</v>
      </c>
      <c r="M186" s="29" t="s">
        <v>340</v>
      </c>
      <c r="N186" s="29" t="s">
        <v>78</v>
      </c>
      <c r="O186" s="29" t="s">
        <v>78</v>
      </c>
      <c r="P186" s="29" t="s">
        <v>78</v>
      </c>
      <c r="Q186" s="29" t="s">
        <v>78</v>
      </c>
      <c r="R186" s="29" t="s">
        <v>80</v>
      </c>
      <c r="S186" s="26" t="s">
        <v>555</v>
      </c>
      <c r="T186" s="26" t="s">
        <v>556</v>
      </c>
    </row>
    <row r="187" customFormat="false" ht="19.5" hidden="false" customHeight="true" outlineLevel="0" collapsed="false">
      <c r="A187" s="23" t="s">
        <v>43</v>
      </c>
      <c r="B187" s="23" t="s">
        <v>557</v>
      </c>
      <c r="C187" s="23" t="s">
        <v>552</v>
      </c>
      <c r="D187" s="23" t="s">
        <v>558</v>
      </c>
      <c r="E187" s="145"/>
      <c r="F187" s="72" t="s">
        <v>559</v>
      </c>
      <c r="G187" s="16" t="s">
        <v>71</v>
      </c>
      <c r="H187" s="16" t="s">
        <v>72</v>
      </c>
      <c r="I187" s="16" t="s">
        <v>73</v>
      </c>
      <c r="J187" s="16" t="s">
        <v>74</v>
      </c>
      <c r="K187" s="16" t="s">
        <v>227</v>
      </c>
      <c r="L187" s="16" t="s">
        <v>297</v>
      </c>
      <c r="M187" s="16" t="s">
        <v>340</v>
      </c>
      <c r="N187" s="16" t="s">
        <v>78</v>
      </c>
      <c r="O187" s="16" t="s">
        <v>78</v>
      </c>
      <c r="P187" s="16" t="s">
        <v>78</v>
      </c>
      <c r="Q187" s="16" t="s">
        <v>78</v>
      </c>
      <c r="R187" s="16" t="s">
        <v>80</v>
      </c>
      <c r="S187" s="23" t="s">
        <v>560</v>
      </c>
      <c r="T187" s="23" t="s">
        <v>354</v>
      </c>
    </row>
    <row r="188" customFormat="false" ht="19.5" hidden="false" customHeight="true" outlineLevel="0" collapsed="false">
      <c r="A188" s="26" t="s">
        <v>43</v>
      </c>
      <c r="B188" s="26" t="s">
        <v>561</v>
      </c>
      <c r="C188" s="26" t="s">
        <v>552</v>
      </c>
      <c r="D188" s="26" t="s">
        <v>562</v>
      </c>
      <c r="E188" s="146"/>
      <c r="F188" s="147" t="s">
        <v>563</v>
      </c>
      <c r="G188" s="29" t="s">
        <v>71</v>
      </c>
      <c r="H188" s="29" t="s">
        <v>72</v>
      </c>
      <c r="I188" s="29" t="s">
        <v>73</v>
      </c>
      <c r="J188" s="29" t="s">
        <v>74</v>
      </c>
      <c r="K188" s="29" t="s">
        <v>227</v>
      </c>
      <c r="L188" s="29" t="s">
        <v>297</v>
      </c>
      <c r="M188" s="29" t="s">
        <v>340</v>
      </c>
      <c r="N188" s="29" t="s">
        <v>78</v>
      </c>
      <c r="O188" s="29" t="s">
        <v>78</v>
      </c>
      <c r="P188" s="29" t="s">
        <v>78</v>
      </c>
      <c r="Q188" s="29" t="s">
        <v>78</v>
      </c>
      <c r="R188" s="29" t="s">
        <v>80</v>
      </c>
      <c r="S188" s="26" t="s">
        <v>564</v>
      </c>
      <c r="T188" s="26" t="s">
        <v>565</v>
      </c>
    </row>
    <row r="189" customFormat="false" ht="19.5" hidden="false" customHeight="true" outlineLevel="0" collapsed="false">
      <c r="A189" s="23" t="s">
        <v>43</v>
      </c>
      <c r="B189" s="23" t="s">
        <v>566</v>
      </c>
      <c r="C189" s="23" t="s">
        <v>552</v>
      </c>
      <c r="D189" s="23" t="s">
        <v>567</v>
      </c>
      <c r="E189" s="134"/>
      <c r="F189" s="148" t="s">
        <v>568</v>
      </c>
      <c r="G189" s="16" t="s">
        <v>71</v>
      </c>
      <c r="H189" s="16" t="s">
        <v>72</v>
      </c>
      <c r="I189" s="16" t="s">
        <v>73</v>
      </c>
      <c r="J189" s="16" t="s">
        <v>74</v>
      </c>
      <c r="K189" s="16" t="s">
        <v>227</v>
      </c>
      <c r="L189" s="16" t="s">
        <v>297</v>
      </c>
      <c r="M189" s="16" t="s">
        <v>340</v>
      </c>
      <c r="N189" s="16" t="s">
        <v>78</v>
      </c>
      <c r="O189" s="16" t="s">
        <v>78</v>
      </c>
      <c r="P189" s="16" t="s">
        <v>78</v>
      </c>
      <c r="Q189" s="16" t="s">
        <v>78</v>
      </c>
      <c r="R189" s="16" t="s">
        <v>80</v>
      </c>
      <c r="S189" s="23" t="s">
        <v>555</v>
      </c>
      <c r="T189" s="23" t="s">
        <v>569</v>
      </c>
    </row>
    <row r="190" customFormat="false" ht="19.5" hidden="false" customHeight="true" outlineLevel="0" collapsed="false">
      <c r="A190" s="26" t="s">
        <v>44</v>
      </c>
      <c r="B190" s="26" t="s">
        <v>570</v>
      </c>
      <c r="C190" s="26" t="s">
        <v>571</v>
      </c>
      <c r="D190" s="26" t="s">
        <v>104</v>
      </c>
      <c r="E190" s="32"/>
      <c r="F190" s="33" t="s">
        <v>92</v>
      </c>
      <c r="G190" s="29" t="s">
        <v>71</v>
      </c>
      <c r="H190" s="29" t="s">
        <v>72</v>
      </c>
      <c r="I190" s="29" t="s">
        <v>73</v>
      </c>
      <c r="J190" s="29" t="s">
        <v>74</v>
      </c>
      <c r="K190" s="29" t="s">
        <v>572</v>
      </c>
      <c r="L190" s="29" t="s">
        <v>573</v>
      </c>
      <c r="M190" s="29" t="s">
        <v>574</v>
      </c>
      <c r="N190" s="29" t="s">
        <v>78</v>
      </c>
      <c r="O190" s="29" t="s">
        <v>78</v>
      </c>
      <c r="P190" s="29" t="s">
        <v>78</v>
      </c>
      <c r="Q190" s="29" t="s">
        <v>78</v>
      </c>
      <c r="R190" s="29" t="s">
        <v>93</v>
      </c>
      <c r="S190" s="26" t="s">
        <v>575</v>
      </c>
      <c r="T190" s="26" t="s">
        <v>576</v>
      </c>
    </row>
    <row r="191" customFormat="false" ht="19.5" hidden="false" customHeight="true" outlineLevel="0" collapsed="false">
      <c r="A191" s="23" t="s">
        <v>44</v>
      </c>
      <c r="B191" s="23" t="s">
        <v>577</v>
      </c>
      <c r="C191" s="23" t="s">
        <v>571</v>
      </c>
      <c r="D191" s="23" t="s">
        <v>110</v>
      </c>
      <c r="E191" s="32"/>
      <c r="F191" s="33" t="s">
        <v>92</v>
      </c>
      <c r="G191" s="16" t="s">
        <v>71</v>
      </c>
      <c r="H191" s="16" t="s">
        <v>72</v>
      </c>
      <c r="I191" s="16" t="s">
        <v>73</v>
      </c>
      <c r="J191" s="16" t="s">
        <v>74</v>
      </c>
      <c r="K191" s="16" t="s">
        <v>572</v>
      </c>
      <c r="L191" s="16" t="s">
        <v>573</v>
      </c>
      <c r="M191" s="16" t="s">
        <v>574</v>
      </c>
      <c r="N191" s="16" t="s">
        <v>78</v>
      </c>
      <c r="O191" s="16" t="s">
        <v>78</v>
      </c>
      <c r="P191" s="16" t="s">
        <v>78</v>
      </c>
      <c r="Q191" s="16" t="s">
        <v>78</v>
      </c>
      <c r="R191" s="16" t="s">
        <v>93</v>
      </c>
      <c r="S191" s="23" t="s">
        <v>575</v>
      </c>
      <c r="T191" s="23" t="s">
        <v>576</v>
      </c>
    </row>
    <row r="192" customFormat="false" ht="19.5" hidden="false" customHeight="true" outlineLevel="0" collapsed="false">
      <c r="A192" s="26" t="s">
        <v>44</v>
      </c>
      <c r="B192" s="26" t="s">
        <v>578</v>
      </c>
      <c r="C192" s="26" t="s">
        <v>571</v>
      </c>
      <c r="D192" s="26" t="s">
        <v>579</v>
      </c>
      <c r="E192" s="32"/>
      <c r="F192" s="33" t="s">
        <v>92</v>
      </c>
      <c r="G192" s="29" t="s">
        <v>71</v>
      </c>
      <c r="H192" s="29" t="s">
        <v>72</v>
      </c>
      <c r="I192" s="29" t="s">
        <v>73</v>
      </c>
      <c r="J192" s="29" t="s">
        <v>74</v>
      </c>
      <c r="K192" s="29" t="s">
        <v>572</v>
      </c>
      <c r="L192" s="29" t="s">
        <v>573</v>
      </c>
      <c r="M192" s="29" t="s">
        <v>574</v>
      </c>
      <c r="N192" s="29" t="s">
        <v>78</v>
      </c>
      <c r="O192" s="29" t="s">
        <v>78</v>
      </c>
      <c r="P192" s="29" t="s">
        <v>78</v>
      </c>
      <c r="Q192" s="29" t="s">
        <v>78</v>
      </c>
      <c r="R192" s="29" t="s">
        <v>93</v>
      </c>
      <c r="S192" s="26" t="s">
        <v>575</v>
      </c>
      <c r="T192" s="26" t="s">
        <v>576</v>
      </c>
    </row>
    <row r="193" customFormat="false" ht="19.5" hidden="false" customHeight="true" outlineLevel="0" collapsed="false">
      <c r="A193" s="23" t="s">
        <v>44</v>
      </c>
      <c r="B193" s="23" t="s">
        <v>580</v>
      </c>
      <c r="C193" s="23" t="s">
        <v>571</v>
      </c>
      <c r="D193" s="23" t="s">
        <v>113</v>
      </c>
      <c r="E193" s="32"/>
      <c r="F193" s="33" t="s">
        <v>92</v>
      </c>
      <c r="G193" s="16" t="s">
        <v>71</v>
      </c>
      <c r="H193" s="16" t="s">
        <v>72</v>
      </c>
      <c r="I193" s="16" t="s">
        <v>73</v>
      </c>
      <c r="J193" s="16" t="s">
        <v>74</v>
      </c>
      <c r="K193" s="16" t="s">
        <v>572</v>
      </c>
      <c r="L193" s="16" t="s">
        <v>573</v>
      </c>
      <c r="M193" s="16" t="s">
        <v>574</v>
      </c>
      <c r="N193" s="16" t="s">
        <v>78</v>
      </c>
      <c r="O193" s="16" t="s">
        <v>78</v>
      </c>
      <c r="P193" s="16" t="s">
        <v>78</v>
      </c>
      <c r="Q193" s="16" t="s">
        <v>78</v>
      </c>
      <c r="R193" s="16" t="s">
        <v>93</v>
      </c>
      <c r="S193" s="23" t="s">
        <v>575</v>
      </c>
      <c r="T193" s="23" t="s">
        <v>576</v>
      </c>
    </row>
    <row r="194" customFormat="false" ht="19.5" hidden="false" customHeight="true" outlineLevel="0" collapsed="false">
      <c r="A194" s="26" t="s">
        <v>44</v>
      </c>
      <c r="B194" s="26" t="s">
        <v>581</v>
      </c>
      <c r="C194" s="26" t="s">
        <v>571</v>
      </c>
      <c r="D194" s="26" t="s">
        <v>118</v>
      </c>
      <c r="E194" s="32"/>
      <c r="F194" s="33" t="s">
        <v>92</v>
      </c>
      <c r="G194" s="29" t="s">
        <v>71</v>
      </c>
      <c r="H194" s="29" t="s">
        <v>72</v>
      </c>
      <c r="I194" s="29" t="s">
        <v>73</v>
      </c>
      <c r="J194" s="29" t="s">
        <v>74</v>
      </c>
      <c r="K194" s="29" t="s">
        <v>572</v>
      </c>
      <c r="L194" s="29" t="s">
        <v>573</v>
      </c>
      <c r="M194" s="29" t="s">
        <v>574</v>
      </c>
      <c r="N194" s="29" t="s">
        <v>78</v>
      </c>
      <c r="O194" s="29" t="s">
        <v>78</v>
      </c>
      <c r="P194" s="29" t="s">
        <v>78</v>
      </c>
      <c r="Q194" s="29" t="s">
        <v>78</v>
      </c>
      <c r="R194" s="29" t="s">
        <v>93</v>
      </c>
      <c r="S194" s="26" t="s">
        <v>575</v>
      </c>
      <c r="T194" s="26" t="s">
        <v>576</v>
      </c>
    </row>
    <row r="195" customFormat="false" ht="19.5" hidden="false" customHeight="true" outlineLevel="0" collapsed="false">
      <c r="A195" s="23" t="s">
        <v>44</v>
      </c>
      <c r="B195" s="23" t="s">
        <v>582</v>
      </c>
      <c r="C195" s="23" t="s">
        <v>571</v>
      </c>
      <c r="D195" s="23" t="s">
        <v>220</v>
      </c>
      <c r="E195" s="32"/>
      <c r="F195" s="33" t="s">
        <v>92</v>
      </c>
      <c r="G195" s="16" t="s">
        <v>71</v>
      </c>
      <c r="H195" s="16" t="s">
        <v>72</v>
      </c>
      <c r="I195" s="16" t="s">
        <v>73</v>
      </c>
      <c r="J195" s="16" t="s">
        <v>74</v>
      </c>
      <c r="K195" s="16" t="s">
        <v>572</v>
      </c>
      <c r="L195" s="16" t="s">
        <v>573</v>
      </c>
      <c r="M195" s="16" t="s">
        <v>574</v>
      </c>
      <c r="N195" s="16" t="s">
        <v>78</v>
      </c>
      <c r="O195" s="16" t="s">
        <v>78</v>
      </c>
      <c r="P195" s="16" t="s">
        <v>78</v>
      </c>
      <c r="Q195" s="16" t="s">
        <v>78</v>
      </c>
      <c r="R195" s="16" t="s">
        <v>93</v>
      </c>
      <c r="S195" s="23" t="s">
        <v>575</v>
      </c>
      <c r="T195" s="23" t="s">
        <v>576</v>
      </c>
    </row>
    <row r="196" customFormat="false" ht="19.5" hidden="false" customHeight="true" outlineLevel="0" collapsed="false">
      <c r="A196" s="26" t="s">
        <v>44</v>
      </c>
      <c r="B196" s="26" t="s">
        <v>583</v>
      </c>
      <c r="C196" s="26" t="s">
        <v>571</v>
      </c>
      <c r="D196" s="26" t="s">
        <v>121</v>
      </c>
      <c r="E196" s="32"/>
      <c r="F196" s="33" t="s">
        <v>92</v>
      </c>
      <c r="G196" s="29" t="s">
        <v>71</v>
      </c>
      <c r="H196" s="29" t="s">
        <v>72</v>
      </c>
      <c r="I196" s="29" t="s">
        <v>73</v>
      </c>
      <c r="J196" s="29" t="s">
        <v>74</v>
      </c>
      <c r="K196" s="29" t="s">
        <v>572</v>
      </c>
      <c r="L196" s="29" t="s">
        <v>573</v>
      </c>
      <c r="M196" s="29" t="s">
        <v>574</v>
      </c>
      <c r="N196" s="29" t="s">
        <v>78</v>
      </c>
      <c r="O196" s="29" t="s">
        <v>78</v>
      </c>
      <c r="P196" s="29" t="s">
        <v>78</v>
      </c>
      <c r="Q196" s="29" t="s">
        <v>78</v>
      </c>
      <c r="R196" s="29" t="s">
        <v>93</v>
      </c>
      <c r="S196" s="26" t="s">
        <v>575</v>
      </c>
      <c r="T196" s="26" t="s">
        <v>576</v>
      </c>
    </row>
    <row r="197" customFormat="false" ht="19.5" hidden="false" customHeight="true" outlineLevel="0" collapsed="false">
      <c r="A197" s="23" t="s">
        <v>45</v>
      </c>
      <c r="B197" s="23" t="s">
        <v>584</v>
      </c>
      <c r="C197" s="23" t="s">
        <v>585</v>
      </c>
      <c r="D197" s="23" t="s">
        <v>127</v>
      </c>
      <c r="E197" s="32"/>
      <c r="F197" s="33" t="s">
        <v>92</v>
      </c>
      <c r="G197" s="16" t="s">
        <v>71</v>
      </c>
      <c r="H197" s="16" t="s">
        <v>72</v>
      </c>
      <c r="I197" s="16" t="s">
        <v>73</v>
      </c>
      <c r="J197" s="16" t="s">
        <v>74</v>
      </c>
      <c r="K197" s="16" t="s">
        <v>296</v>
      </c>
      <c r="L197" s="16" t="s">
        <v>297</v>
      </c>
      <c r="M197" s="16" t="s">
        <v>298</v>
      </c>
      <c r="N197" s="16" t="s">
        <v>78</v>
      </c>
      <c r="O197" s="16" t="s">
        <v>78</v>
      </c>
      <c r="P197" s="16" t="s">
        <v>78</v>
      </c>
      <c r="Q197" s="16" t="s">
        <v>78</v>
      </c>
      <c r="R197" s="16" t="s">
        <v>93</v>
      </c>
      <c r="S197" s="23" t="s">
        <v>586</v>
      </c>
      <c r="T197" s="23" t="s">
        <v>587</v>
      </c>
    </row>
    <row r="198" customFormat="false" ht="19.5" hidden="false" customHeight="true" outlineLevel="0" collapsed="false">
      <c r="A198" s="26" t="s">
        <v>45</v>
      </c>
      <c r="B198" s="26" t="s">
        <v>588</v>
      </c>
      <c r="C198" s="26" t="s">
        <v>585</v>
      </c>
      <c r="D198" s="26" t="s">
        <v>135</v>
      </c>
      <c r="E198" s="32"/>
      <c r="F198" s="33" t="s">
        <v>92</v>
      </c>
      <c r="G198" s="29" t="s">
        <v>71</v>
      </c>
      <c r="H198" s="29" t="s">
        <v>72</v>
      </c>
      <c r="I198" s="29" t="s">
        <v>73</v>
      </c>
      <c r="J198" s="29" t="s">
        <v>74</v>
      </c>
      <c r="K198" s="29" t="s">
        <v>296</v>
      </c>
      <c r="L198" s="29" t="s">
        <v>297</v>
      </c>
      <c r="M198" s="29" t="s">
        <v>298</v>
      </c>
      <c r="N198" s="29" t="s">
        <v>78</v>
      </c>
      <c r="O198" s="29" t="s">
        <v>78</v>
      </c>
      <c r="P198" s="29" t="s">
        <v>78</v>
      </c>
      <c r="Q198" s="29" t="s">
        <v>78</v>
      </c>
      <c r="R198" s="29" t="s">
        <v>93</v>
      </c>
      <c r="S198" s="26" t="s">
        <v>586</v>
      </c>
      <c r="T198" s="26" t="s">
        <v>587</v>
      </c>
    </row>
    <row r="199" customFormat="false" ht="19.5" hidden="false" customHeight="true" outlineLevel="0" collapsed="false">
      <c r="A199" s="23" t="s">
        <v>45</v>
      </c>
      <c r="B199" s="23" t="s">
        <v>589</v>
      </c>
      <c r="C199" s="23" t="s">
        <v>585</v>
      </c>
      <c r="D199" s="23" t="s">
        <v>84</v>
      </c>
      <c r="E199" s="32"/>
      <c r="F199" s="33" t="s">
        <v>92</v>
      </c>
      <c r="G199" s="16" t="s">
        <v>71</v>
      </c>
      <c r="H199" s="16" t="s">
        <v>72</v>
      </c>
      <c r="I199" s="16" t="s">
        <v>73</v>
      </c>
      <c r="J199" s="16" t="s">
        <v>74</v>
      </c>
      <c r="K199" s="16" t="s">
        <v>296</v>
      </c>
      <c r="L199" s="16" t="s">
        <v>297</v>
      </c>
      <c r="M199" s="16" t="s">
        <v>298</v>
      </c>
      <c r="N199" s="16" t="s">
        <v>78</v>
      </c>
      <c r="O199" s="16" t="s">
        <v>78</v>
      </c>
      <c r="P199" s="16" t="s">
        <v>78</v>
      </c>
      <c r="Q199" s="16" t="s">
        <v>78</v>
      </c>
      <c r="R199" s="16" t="s">
        <v>93</v>
      </c>
      <c r="S199" s="23" t="s">
        <v>586</v>
      </c>
      <c r="T199" s="23" t="s">
        <v>587</v>
      </c>
    </row>
    <row r="200" customFormat="false" ht="19.5" hidden="false" customHeight="true" outlineLevel="0" collapsed="false">
      <c r="A200" s="26" t="s">
        <v>45</v>
      </c>
      <c r="B200" s="26" t="s">
        <v>590</v>
      </c>
      <c r="C200" s="26" t="s">
        <v>585</v>
      </c>
      <c r="D200" s="26" t="s">
        <v>591</v>
      </c>
      <c r="E200" s="32"/>
      <c r="F200" s="33" t="s">
        <v>92</v>
      </c>
      <c r="G200" s="29" t="s">
        <v>71</v>
      </c>
      <c r="H200" s="29" t="s">
        <v>72</v>
      </c>
      <c r="I200" s="29" t="s">
        <v>73</v>
      </c>
      <c r="J200" s="29" t="s">
        <v>74</v>
      </c>
      <c r="K200" s="29" t="s">
        <v>296</v>
      </c>
      <c r="L200" s="29" t="s">
        <v>297</v>
      </c>
      <c r="M200" s="29" t="s">
        <v>298</v>
      </c>
      <c r="N200" s="29" t="s">
        <v>78</v>
      </c>
      <c r="O200" s="29" t="s">
        <v>78</v>
      </c>
      <c r="P200" s="29" t="s">
        <v>78</v>
      </c>
      <c r="Q200" s="29" t="s">
        <v>78</v>
      </c>
      <c r="R200" s="29" t="s">
        <v>93</v>
      </c>
      <c r="S200" s="26" t="s">
        <v>586</v>
      </c>
      <c r="T200" s="26" t="s">
        <v>587</v>
      </c>
    </row>
    <row r="201" customFormat="false" ht="19.5" hidden="false" customHeight="true" outlineLevel="0" collapsed="false">
      <c r="A201" s="23" t="s">
        <v>45</v>
      </c>
      <c r="B201" s="23" t="s">
        <v>592</v>
      </c>
      <c r="C201" s="23" t="s">
        <v>585</v>
      </c>
      <c r="D201" s="23" t="s">
        <v>142</v>
      </c>
      <c r="E201" s="32"/>
      <c r="F201" s="33" t="s">
        <v>92</v>
      </c>
      <c r="G201" s="16" t="s">
        <v>71</v>
      </c>
      <c r="H201" s="16" t="s">
        <v>72</v>
      </c>
      <c r="I201" s="16" t="s">
        <v>73</v>
      </c>
      <c r="J201" s="16" t="s">
        <v>74</v>
      </c>
      <c r="K201" s="16" t="s">
        <v>296</v>
      </c>
      <c r="L201" s="16" t="s">
        <v>297</v>
      </c>
      <c r="M201" s="16" t="s">
        <v>298</v>
      </c>
      <c r="N201" s="16" t="s">
        <v>78</v>
      </c>
      <c r="O201" s="16" t="s">
        <v>78</v>
      </c>
      <c r="P201" s="16" t="s">
        <v>78</v>
      </c>
      <c r="Q201" s="16" t="s">
        <v>78</v>
      </c>
      <c r="R201" s="16" t="s">
        <v>93</v>
      </c>
      <c r="S201" s="23" t="s">
        <v>586</v>
      </c>
      <c r="T201" s="23" t="s">
        <v>587</v>
      </c>
    </row>
    <row r="202" customFormat="false" ht="19.5" hidden="false" customHeight="true" outlineLevel="0" collapsed="false">
      <c r="A202" s="26" t="s">
        <v>45</v>
      </c>
      <c r="B202" s="26" t="s">
        <v>593</v>
      </c>
      <c r="C202" s="26" t="s">
        <v>585</v>
      </c>
      <c r="D202" s="26" t="s">
        <v>594</v>
      </c>
      <c r="E202" s="32"/>
      <c r="F202" s="33" t="s">
        <v>92</v>
      </c>
      <c r="G202" s="29" t="s">
        <v>71</v>
      </c>
      <c r="H202" s="29" t="s">
        <v>72</v>
      </c>
      <c r="I202" s="29" t="s">
        <v>73</v>
      </c>
      <c r="J202" s="29" t="s">
        <v>74</v>
      </c>
      <c r="K202" s="29" t="s">
        <v>296</v>
      </c>
      <c r="L202" s="29" t="s">
        <v>297</v>
      </c>
      <c r="M202" s="29" t="s">
        <v>298</v>
      </c>
      <c r="N202" s="29" t="s">
        <v>78</v>
      </c>
      <c r="O202" s="29" t="s">
        <v>78</v>
      </c>
      <c r="P202" s="29" t="s">
        <v>78</v>
      </c>
      <c r="Q202" s="29" t="s">
        <v>78</v>
      </c>
      <c r="R202" s="29" t="s">
        <v>93</v>
      </c>
      <c r="S202" s="26" t="s">
        <v>586</v>
      </c>
      <c r="T202" s="26" t="s">
        <v>587</v>
      </c>
    </row>
    <row r="203" customFormat="false" ht="19.5" hidden="false" customHeight="true" outlineLevel="0" collapsed="false">
      <c r="A203" s="23" t="s">
        <v>45</v>
      </c>
      <c r="B203" s="23" t="s">
        <v>595</v>
      </c>
      <c r="C203" s="23" t="s">
        <v>585</v>
      </c>
      <c r="D203" s="23" t="s">
        <v>596</v>
      </c>
      <c r="E203" s="32"/>
      <c r="F203" s="33" t="s">
        <v>92</v>
      </c>
      <c r="G203" s="16" t="s">
        <v>71</v>
      </c>
      <c r="H203" s="16" t="s">
        <v>72</v>
      </c>
      <c r="I203" s="16" t="s">
        <v>73</v>
      </c>
      <c r="J203" s="16" t="s">
        <v>74</v>
      </c>
      <c r="K203" s="16" t="s">
        <v>296</v>
      </c>
      <c r="L203" s="16" t="s">
        <v>297</v>
      </c>
      <c r="M203" s="16" t="s">
        <v>298</v>
      </c>
      <c r="N203" s="16" t="s">
        <v>78</v>
      </c>
      <c r="O203" s="16" t="s">
        <v>78</v>
      </c>
      <c r="P203" s="16" t="s">
        <v>78</v>
      </c>
      <c r="Q203" s="16" t="s">
        <v>78</v>
      </c>
      <c r="R203" s="16" t="s">
        <v>93</v>
      </c>
      <c r="S203" s="23" t="s">
        <v>586</v>
      </c>
      <c r="T203" s="23" t="s">
        <v>587</v>
      </c>
    </row>
    <row r="204" customFormat="false" ht="19.5" hidden="false" customHeight="true" outlineLevel="0" collapsed="false">
      <c r="A204" s="26" t="s">
        <v>45</v>
      </c>
      <c r="B204" s="26" t="s">
        <v>597</v>
      </c>
      <c r="C204" s="26" t="s">
        <v>585</v>
      </c>
      <c r="D204" s="26" t="s">
        <v>598</v>
      </c>
      <c r="E204" s="32"/>
      <c r="F204" s="33" t="s">
        <v>92</v>
      </c>
      <c r="G204" s="29" t="s">
        <v>71</v>
      </c>
      <c r="H204" s="29" t="s">
        <v>72</v>
      </c>
      <c r="I204" s="29" t="s">
        <v>73</v>
      </c>
      <c r="J204" s="29" t="s">
        <v>74</v>
      </c>
      <c r="K204" s="29" t="s">
        <v>296</v>
      </c>
      <c r="L204" s="29" t="s">
        <v>297</v>
      </c>
      <c r="M204" s="29" t="s">
        <v>298</v>
      </c>
      <c r="N204" s="29" t="s">
        <v>78</v>
      </c>
      <c r="O204" s="29" t="s">
        <v>78</v>
      </c>
      <c r="P204" s="29" t="s">
        <v>78</v>
      </c>
      <c r="Q204" s="29" t="s">
        <v>78</v>
      </c>
      <c r="R204" s="29" t="s">
        <v>93</v>
      </c>
      <c r="S204" s="26" t="s">
        <v>586</v>
      </c>
      <c r="T204" s="26" t="s">
        <v>587</v>
      </c>
    </row>
    <row r="205" customFormat="false" ht="19.5" hidden="false" customHeight="true" outlineLevel="0" collapsed="false">
      <c r="A205" s="23" t="s">
        <v>45</v>
      </c>
      <c r="B205" s="23" t="s">
        <v>599</v>
      </c>
      <c r="C205" s="23" t="s">
        <v>585</v>
      </c>
      <c r="D205" s="23" t="s">
        <v>144</v>
      </c>
      <c r="E205" s="32"/>
      <c r="F205" s="33" t="s">
        <v>92</v>
      </c>
      <c r="G205" s="16" t="s">
        <v>71</v>
      </c>
      <c r="H205" s="16" t="s">
        <v>72</v>
      </c>
      <c r="I205" s="16" t="s">
        <v>73</v>
      </c>
      <c r="J205" s="16" t="s">
        <v>74</v>
      </c>
      <c r="K205" s="16" t="s">
        <v>296</v>
      </c>
      <c r="L205" s="16" t="s">
        <v>297</v>
      </c>
      <c r="M205" s="16" t="s">
        <v>298</v>
      </c>
      <c r="N205" s="16" t="s">
        <v>78</v>
      </c>
      <c r="O205" s="16" t="s">
        <v>78</v>
      </c>
      <c r="P205" s="16" t="s">
        <v>78</v>
      </c>
      <c r="Q205" s="16" t="s">
        <v>78</v>
      </c>
      <c r="R205" s="16" t="s">
        <v>93</v>
      </c>
      <c r="S205" s="23" t="s">
        <v>586</v>
      </c>
      <c r="T205" s="23" t="s">
        <v>587</v>
      </c>
    </row>
    <row r="206" customFormat="false" ht="19.5" hidden="false" customHeight="true" outlineLevel="0" collapsed="false">
      <c r="A206" s="26" t="s">
        <v>45</v>
      </c>
      <c r="B206" s="26" t="s">
        <v>600</v>
      </c>
      <c r="C206" s="26" t="s">
        <v>585</v>
      </c>
      <c r="D206" s="26" t="s">
        <v>91</v>
      </c>
      <c r="E206" s="32"/>
      <c r="F206" s="33" t="s">
        <v>92</v>
      </c>
      <c r="G206" s="29" t="s">
        <v>71</v>
      </c>
      <c r="H206" s="29" t="s">
        <v>72</v>
      </c>
      <c r="I206" s="29" t="s">
        <v>73</v>
      </c>
      <c r="J206" s="29" t="s">
        <v>74</v>
      </c>
      <c r="K206" s="29" t="s">
        <v>296</v>
      </c>
      <c r="L206" s="29" t="s">
        <v>297</v>
      </c>
      <c r="M206" s="29" t="s">
        <v>298</v>
      </c>
      <c r="N206" s="29" t="s">
        <v>78</v>
      </c>
      <c r="O206" s="29" t="s">
        <v>78</v>
      </c>
      <c r="P206" s="29" t="s">
        <v>78</v>
      </c>
      <c r="Q206" s="29" t="s">
        <v>78</v>
      </c>
      <c r="R206" s="29" t="s">
        <v>93</v>
      </c>
      <c r="S206" s="26" t="s">
        <v>586</v>
      </c>
      <c r="T206" s="26" t="s">
        <v>587</v>
      </c>
    </row>
    <row r="207" customFormat="false" ht="19.5" hidden="false" customHeight="true" outlineLevel="0" collapsed="false">
      <c r="A207" s="23" t="s">
        <v>45</v>
      </c>
      <c r="B207" s="23" t="s">
        <v>601</v>
      </c>
      <c r="C207" s="23" t="s">
        <v>585</v>
      </c>
      <c r="D207" s="23" t="s">
        <v>402</v>
      </c>
      <c r="E207" s="32"/>
      <c r="F207" s="33" t="s">
        <v>92</v>
      </c>
      <c r="G207" s="16" t="s">
        <v>71</v>
      </c>
      <c r="H207" s="16" t="s">
        <v>72</v>
      </c>
      <c r="I207" s="16" t="s">
        <v>73</v>
      </c>
      <c r="J207" s="16" t="s">
        <v>74</v>
      </c>
      <c r="K207" s="16" t="s">
        <v>296</v>
      </c>
      <c r="L207" s="16" t="s">
        <v>297</v>
      </c>
      <c r="M207" s="16" t="s">
        <v>298</v>
      </c>
      <c r="N207" s="16" t="s">
        <v>78</v>
      </c>
      <c r="O207" s="16" t="s">
        <v>78</v>
      </c>
      <c r="P207" s="16" t="s">
        <v>78</v>
      </c>
      <c r="Q207" s="16" t="s">
        <v>78</v>
      </c>
      <c r="R207" s="16" t="s">
        <v>93</v>
      </c>
      <c r="S207" s="23" t="s">
        <v>586</v>
      </c>
      <c r="T207" s="23" t="s">
        <v>587</v>
      </c>
    </row>
    <row r="208" customFormat="false" ht="19.5" hidden="false" customHeight="true" outlineLevel="0" collapsed="false">
      <c r="A208" s="26" t="s">
        <v>45</v>
      </c>
      <c r="B208" s="26" t="s">
        <v>602</v>
      </c>
      <c r="C208" s="26" t="s">
        <v>585</v>
      </c>
      <c r="D208" s="26" t="s">
        <v>603</v>
      </c>
      <c r="E208" s="32"/>
      <c r="F208" s="33" t="s">
        <v>92</v>
      </c>
      <c r="G208" s="29" t="s">
        <v>71</v>
      </c>
      <c r="H208" s="29" t="s">
        <v>72</v>
      </c>
      <c r="I208" s="29" t="s">
        <v>73</v>
      </c>
      <c r="J208" s="29" t="s">
        <v>74</v>
      </c>
      <c r="K208" s="29" t="s">
        <v>296</v>
      </c>
      <c r="L208" s="29" t="s">
        <v>297</v>
      </c>
      <c r="M208" s="29" t="s">
        <v>298</v>
      </c>
      <c r="N208" s="29" t="s">
        <v>78</v>
      </c>
      <c r="O208" s="29" t="s">
        <v>78</v>
      </c>
      <c r="P208" s="29" t="s">
        <v>78</v>
      </c>
      <c r="Q208" s="29" t="s">
        <v>78</v>
      </c>
      <c r="R208" s="29" t="s">
        <v>93</v>
      </c>
      <c r="S208" s="26" t="s">
        <v>586</v>
      </c>
      <c r="T208" s="26" t="s">
        <v>587</v>
      </c>
    </row>
    <row r="209" customFormat="false" ht="19.5" hidden="false" customHeight="true" outlineLevel="0" collapsed="false">
      <c r="A209" s="23" t="s">
        <v>45</v>
      </c>
      <c r="B209" s="23" t="s">
        <v>604</v>
      </c>
      <c r="C209" s="23" t="s">
        <v>585</v>
      </c>
      <c r="D209" s="23" t="s">
        <v>605</v>
      </c>
      <c r="E209" s="32"/>
      <c r="F209" s="33" t="s">
        <v>92</v>
      </c>
      <c r="G209" s="16" t="s">
        <v>71</v>
      </c>
      <c r="H209" s="16" t="s">
        <v>72</v>
      </c>
      <c r="I209" s="16" t="s">
        <v>73</v>
      </c>
      <c r="J209" s="16" t="s">
        <v>74</v>
      </c>
      <c r="K209" s="16" t="s">
        <v>296</v>
      </c>
      <c r="L209" s="16" t="s">
        <v>297</v>
      </c>
      <c r="M209" s="16" t="s">
        <v>298</v>
      </c>
      <c r="N209" s="16" t="s">
        <v>78</v>
      </c>
      <c r="O209" s="16" t="s">
        <v>78</v>
      </c>
      <c r="P209" s="16" t="s">
        <v>78</v>
      </c>
      <c r="Q209" s="16" t="s">
        <v>78</v>
      </c>
      <c r="R209" s="16" t="s">
        <v>93</v>
      </c>
      <c r="S209" s="23" t="s">
        <v>586</v>
      </c>
      <c r="T209" s="23" t="s">
        <v>587</v>
      </c>
    </row>
    <row r="210" customFormat="false" ht="19.5" hidden="false" customHeight="true" outlineLevel="0" collapsed="false">
      <c r="A210" s="26" t="s">
        <v>45</v>
      </c>
      <c r="B210" s="26" t="s">
        <v>606</v>
      </c>
      <c r="C210" s="26" t="s">
        <v>585</v>
      </c>
      <c r="D210" s="26" t="s">
        <v>607</v>
      </c>
      <c r="E210" s="32"/>
      <c r="F210" s="33" t="s">
        <v>92</v>
      </c>
      <c r="G210" s="29" t="s">
        <v>71</v>
      </c>
      <c r="H210" s="29" t="s">
        <v>72</v>
      </c>
      <c r="I210" s="29" t="s">
        <v>73</v>
      </c>
      <c r="J210" s="29" t="s">
        <v>74</v>
      </c>
      <c r="K210" s="29" t="s">
        <v>296</v>
      </c>
      <c r="L210" s="29" t="s">
        <v>297</v>
      </c>
      <c r="M210" s="29" t="s">
        <v>298</v>
      </c>
      <c r="N210" s="29" t="s">
        <v>78</v>
      </c>
      <c r="O210" s="29" t="s">
        <v>78</v>
      </c>
      <c r="P210" s="29" t="s">
        <v>78</v>
      </c>
      <c r="Q210" s="29" t="s">
        <v>78</v>
      </c>
      <c r="R210" s="29" t="s">
        <v>93</v>
      </c>
      <c r="S210" s="26" t="s">
        <v>586</v>
      </c>
      <c r="T210" s="26" t="s">
        <v>587</v>
      </c>
    </row>
    <row r="211" customFormat="false" ht="19.5" hidden="false" customHeight="true" outlineLevel="0" collapsed="false">
      <c r="A211" s="23" t="s">
        <v>45</v>
      </c>
      <c r="B211" s="23" t="s">
        <v>608</v>
      </c>
      <c r="C211" s="23" t="s">
        <v>585</v>
      </c>
      <c r="D211" s="23" t="s">
        <v>609</v>
      </c>
      <c r="E211" s="32"/>
      <c r="F211" s="33" t="s">
        <v>92</v>
      </c>
      <c r="G211" s="16" t="s">
        <v>71</v>
      </c>
      <c r="H211" s="16" t="s">
        <v>72</v>
      </c>
      <c r="I211" s="16" t="s">
        <v>73</v>
      </c>
      <c r="J211" s="16" t="s">
        <v>74</v>
      </c>
      <c r="K211" s="16" t="s">
        <v>296</v>
      </c>
      <c r="L211" s="16" t="s">
        <v>297</v>
      </c>
      <c r="M211" s="16" t="s">
        <v>298</v>
      </c>
      <c r="N211" s="16" t="s">
        <v>78</v>
      </c>
      <c r="O211" s="16" t="s">
        <v>78</v>
      </c>
      <c r="P211" s="16" t="s">
        <v>78</v>
      </c>
      <c r="Q211" s="16" t="s">
        <v>78</v>
      </c>
      <c r="R211" s="16" t="s">
        <v>93</v>
      </c>
      <c r="S211" s="23" t="s">
        <v>586</v>
      </c>
      <c r="T211" s="23" t="s">
        <v>587</v>
      </c>
    </row>
    <row r="212" customFormat="false" ht="19.5" hidden="false" customHeight="true" outlineLevel="0" collapsed="false">
      <c r="A212" s="26" t="s">
        <v>45</v>
      </c>
      <c r="B212" s="26" t="s">
        <v>610</v>
      </c>
      <c r="C212" s="26" t="s">
        <v>585</v>
      </c>
      <c r="D212" s="26" t="s">
        <v>187</v>
      </c>
      <c r="E212" s="32"/>
      <c r="F212" s="33" t="s">
        <v>92</v>
      </c>
      <c r="G212" s="29" t="s">
        <v>71</v>
      </c>
      <c r="H212" s="29" t="s">
        <v>72</v>
      </c>
      <c r="I212" s="29" t="s">
        <v>73</v>
      </c>
      <c r="J212" s="29" t="s">
        <v>74</v>
      </c>
      <c r="K212" s="29" t="s">
        <v>296</v>
      </c>
      <c r="L212" s="29" t="s">
        <v>297</v>
      </c>
      <c r="M212" s="29" t="s">
        <v>298</v>
      </c>
      <c r="N212" s="29" t="s">
        <v>78</v>
      </c>
      <c r="O212" s="29" t="s">
        <v>78</v>
      </c>
      <c r="P212" s="29" t="s">
        <v>78</v>
      </c>
      <c r="Q212" s="29" t="s">
        <v>78</v>
      </c>
      <c r="R212" s="29" t="s">
        <v>93</v>
      </c>
      <c r="S212" s="26" t="s">
        <v>586</v>
      </c>
      <c r="T212" s="26" t="s">
        <v>587</v>
      </c>
    </row>
    <row r="213" customFormat="false" ht="19.5" hidden="false" customHeight="true" outlineLevel="0" collapsed="false">
      <c r="A213" s="23" t="s">
        <v>45</v>
      </c>
      <c r="B213" s="23" t="s">
        <v>611</v>
      </c>
      <c r="C213" s="23" t="s">
        <v>585</v>
      </c>
      <c r="D213" s="23" t="s">
        <v>147</v>
      </c>
      <c r="E213" s="67"/>
      <c r="F213" s="149" t="s">
        <v>612</v>
      </c>
      <c r="G213" s="16" t="s">
        <v>71</v>
      </c>
      <c r="H213" s="16" t="s">
        <v>72</v>
      </c>
      <c r="I213" s="16" t="s">
        <v>73</v>
      </c>
      <c r="J213" s="16" t="s">
        <v>74</v>
      </c>
      <c r="K213" s="16" t="s">
        <v>296</v>
      </c>
      <c r="L213" s="16" t="s">
        <v>297</v>
      </c>
      <c r="M213" s="16" t="s">
        <v>298</v>
      </c>
      <c r="N213" s="16" t="s">
        <v>78</v>
      </c>
      <c r="O213" s="16" t="s">
        <v>78</v>
      </c>
      <c r="P213" s="16" t="s">
        <v>78</v>
      </c>
      <c r="Q213" s="16" t="s">
        <v>78</v>
      </c>
      <c r="R213" s="16" t="s">
        <v>80</v>
      </c>
      <c r="S213" s="23" t="s">
        <v>613</v>
      </c>
      <c r="T213" s="23" t="s">
        <v>614</v>
      </c>
    </row>
    <row r="214" customFormat="false" ht="19.5" hidden="false" customHeight="true" outlineLevel="0" collapsed="false">
      <c r="A214" s="26" t="s">
        <v>45</v>
      </c>
      <c r="B214" s="26" t="s">
        <v>615</v>
      </c>
      <c r="C214" s="26" t="s">
        <v>585</v>
      </c>
      <c r="D214" s="26" t="s">
        <v>616</v>
      </c>
      <c r="E214" s="32"/>
      <c r="F214" s="33" t="s">
        <v>92</v>
      </c>
      <c r="G214" s="29" t="s">
        <v>71</v>
      </c>
      <c r="H214" s="29" t="s">
        <v>72</v>
      </c>
      <c r="I214" s="29" t="s">
        <v>73</v>
      </c>
      <c r="J214" s="29" t="s">
        <v>74</v>
      </c>
      <c r="K214" s="29" t="s">
        <v>296</v>
      </c>
      <c r="L214" s="29" t="s">
        <v>297</v>
      </c>
      <c r="M214" s="29" t="s">
        <v>298</v>
      </c>
      <c r="N214" s="29" t="s">
        <v>78</v>
      </c>
      <c r="O214" s="29" t="s">
        <v>78</v>
      </c>
      <c r="P214" s="29" t="s">
        <v>78</v>
      </c>
      <c r="Q214" s="29" t="s">
        <v>78</v>
      </c>
      <c r="R214" s="29" t="s">
        <v>93</v>
      </c>
      <c r="S214" s="26" t="s">
        <v>586</v>
      </c>
      <c r="T214" s="26" t="s">
        <v>587</v>
      </c>
    </row>
    <row r="215" customFormat="false" ht="19.5" hidden="false" customHeight="true" outlineLevel="0" collapsed="false">
      <c r="A215" s="23" t="s">
        <v>45</v>
      </c>
      <c r="B215" s="23" t="s">
        <v>617</v>
      </c>
      <c r="C215" s="23" t="s">
        <v>585</v>
      </c>
      <c r="D215" s="23" t="s">
        <v>618</v>
      </c>
      <c r="E215" s="32"/>
      <c r="F215" s="33" t="s">
        <v>92</v>
      </c>
      <c r="G215" s="16" t="s">
        <v>71</v>
      </c>
      <c r="H215" s="16" t="s">
        <v>72</v>
      </c>
      <c r="I215" s="16" t="s">
        <v>73</v>
      </c>
      <c r="J215" s="16" t="s">
        <v>74</v>
      </c>
      <c r="K215" s="16" t="s">
        <v>296</v>
      </c>
      <c r="L215" s="16" t="s">
        <v>297</v>
      </c>
      <c r="M215" s="16" t="s">
        <v>298</v>
      </c>
      <c r="N215" s="16" t="s">
        <v>78</v>
      </c>
      <c r="O215" s="16" t="s">
        <v>78</v>
      </c>
      <c r="P215" s="16" t="s">
        <v>78</v>
      </c>
      <c r="Q215" s="16" t="s">
        <v>78</v>
      </c>
      <c r="R215" s="16" t="s">
        <v>93</v>
      </c>
      <c r="S215" s="23" t="s">
        <v>586</v>
      </c>
      <c r="T215" s="23" t="s">
        <v>587</v>
      </c>
    </row>
    <row r="216" customFormat="false" ht="19.5" hidden="false" customHeight="true" outlineLevel="0" collapsed="false">
      <c r="A216" s="26" t="s">
        <v>45</v>
      </c>
      <c r="B216" s="26" t="s">
        <v>619</v>
      </c>
      <c r="C216" s="26" t="s">
        <v>585</v>
      </c>
      <c r="D216" s="26" t="s">
        <v>97</v>
      </c>
      <c r="E216" s="32"/>
      <c r="F216" s="33" t="s">
        <v>92</v>
      </c>
      <c r="G216" s="29" t="s">
        <v>71</v>
      </c>
      <c r="H216" s="29" t="s">
        <v>72</v>
      </c>
      <c r="I216" s="29" t="s">
        <v>73</v>
      </c>
      <c r="J216" s="29" t="s">
        <v>74</v>
      </c>
      <c r="K216" s="29" t="s">
        <v>296</v>
      </c>
      <c r="L216" s="29" t="s">
        <v>297</v>
      </c>
      <c r="M216" s="29" t="s">
        <v>298</v>
      </c>
      <c r="N216" s="29" t="s">
        <v>78</v>
      </c>
      <c r="O216" s="29" t="s">
        <v>78</v>
      </c>
      <c r="P216" s="29" t="s">
        <v>78</v>
      </c>
      <c r="Q216" s="29" t="s">
        <v>78</v>
      </c>
      <c r="R216" s="29" t="s">
        <v>93</v>
      </c>
      <c r="S216" s="26" t="s">
        <v>586</v>
      </c>
      <c r="T216" s="26" t="s">
        <v>587</v>
      </c>
    </row>
    <row r="217" customFormat="false" ht="19.5" hidden="false" customHeight="true" outlineLevel="0" collapsed="false">
      <c r="A217" s="23" t="s">
        <v>45</v>
      </c>
      <c r="B217" s="23" t="s">
        <v>620</v>
      </c>
      <c r="C217" s="23" t="s">
        <v>585</v>
      </c>
      <c r="D217" s="23" t="s">
        <v>621</v>
      </c>
      <c r="E217" s="32"/>
      <c r="F217" s="33" t="s">
        <v>92</v>
      </c>
      <c r="G217" s="16" t="s">
        <v>71</v>
      </c>
      <c r="H217" s="16" t="s">
        <v>72</v>
      </c>
      <c r="I217" s="16" t="s">
        <v>73</v>
      </c>
      <c r="J217" s="16" t="s">
        <v>74</v>
      </c>
      <c r="K217" s="16" t="s">
        <v>296</v>
      </c>
      <c r="L217" s="16" t="s">
        <v>297</v>
      </c>
      <c r="M217" s="16" t="s">
        <v>298</v>
      </c>
      <c r="N217" s="16" t="s">
        <v>78</v>
      </c>
      <c r="O217" s="16" t="s">
        <v>78</v>
      </c>
      <c r="P217" s="16" t="s">
        <v>78</v>
      </c>
      <c r="Q217" s="16" t="s">
        <v>78</v>
      </c>
      <c r="R217" s="16" t="s">
        <v>93</v>
      </c>
      <c r="S217" s="23" t="s">
        <v>586</v>
      </c>
      <c r="T217" s="23" t="s">
        <v>587</v>
      </c>
    </row>
    <row r="218" customFormat="false" ht="19.5" hidden="false" customHeight="true" outlineLevel="0" collapsed="false">
      <c r="A218" s="26" t="s">
        <v>45</v>
      </c>
      <c r="B218" s="26" t="s">
        <v>622</v>
      </c>
      <c r="C218" s="26" t="s">
        <v>585</v>
      </c>
      <c r="D218" s="26" t="s">
        <v>175</v>
      </c>
      <c r="E218" s="32"/>
      <c r="F218" s="33" t="s">
        <v>92</v>
      </c>
      <c r="G218" s="29" t="s">
        <v>71</v>
      </c>
      <c r="H218" s="29" t="s">
        <v>72</v>
      </c>
      <c r="I218" s="29" t="s">
        <v>73</v>
      </c>
      <c r="J218" s="29" t="s">
        <v>74</v>
      </c>
      <c r="K218" s="29" t="s">
        <v>296</v>
      </c>
      <c r="L218" s="29" t="s">
        <v>297</v>
      </c>
      <c r="M218" s="29" t="s">
        <v>298</v>
      </c>
      <c r="N218" s="29" t="s">
        <v>78</v>
      </c>
      <c r="O218" s="29" t="s">
        <v>78</v>
      </c>
      <c r="P218" s="29" t="s">
        <v>78</v>
      </c>
      <c r="Q218" s="29" t="s">
        <v>78</v>
      </c>
      <c r="R218" s="29" t="s">
        <v>93</v>
      </c>
      <c r="S218" s="26" t="s">
        <v>586</v>
      </c>
      <c r="T218" s="26" t="s">
        <v>587</v>
      </c>
    </row>
    <row r="219" customFormat="false" ht="19.5" hidden="false" customHeight="true" outlineLevel="0" collapsed="false">
      <c r="A219" s="23" t="s">
        <v>45</v>
      </c>
      <c r="B219" s="23" t="s">
        <v>623</v>
      </c>
      <c r="C219" s="23" t="s">
        <v>585</v>
      </c>
      <c r="D219" s="23" t="s">
        <v>624</v>
      </c>
      <c r="E219" s="32"/>
      <c r="F219" s="33" t="s">
        <v>92</v>
      </c>
      <c r="G219" s="16" t="s">
        <v>71</v>
      </c>
      <c r="H219" s="16" t="s">
        <v>72</v>
      </c>
      <c r="I219" s="16" t="s">
        <v>73</v>
      </c>
      <c r="J219" s="16" t="s">
        <v>74</v>
      </c>
      <c r="K219" s="16" t="s">
        <v>296</v>
      </c>
      <c r="L219" s="16" t="s">
        <v>297</v>
      </c>
      <c r="M219" s="16" t="s">
        <v>298</v>
      </c>
      <c r="N219" s="16" t="s">
        <v>78</v>
      </c>
      <c r="O219" s="16" t="s">
        <v>78</v>
      </c>
      <c r="P219" s="16" t="s">
        <v>78</v>
      </c>
      <c r="Q219" s="16" t="s">
        <v>78</v>
      </c>
      <c r="R219" s="16" t="s">
        <v>93</v>
      </c>
      <c r="S219" s="23" t="s">
        <v>586</v>
      </c>
      <c r="T219" s="23" t="s">
        <v>587</v>
      </c>
    </row>
    <row r="220" customFormat="false" ht="19.5" hidden="false" customHeight="true" outlineLevel="0" collapsed="false">
      <c r="A220" s="26" t="s">
        <v>45</v>
      </c>
      <c r="B220" s="26" t="s">
        <v>625</v>
      </c>
      <c r="C220" s="26" t="s">
        <v>585</v>
      </c>
      <c r="D220" s="26" t="s">
        <v>626</v>
      </c>
      <c r="E220" s="32"/>
      <c r="F220" s="33" t="s">
        <v>92</v>
      </c>
      <c r="G220" s="29" t="s">
        <v>71</v>
      </c>
      <c r="H220" s="29" t="s">
        <v>72</v>
      </c>
      <c r="I220" s="29" t="s">
        <v>73</v>
      </c>
      <c r="J220" s="29" t="s">
        <v>74</v>
      </c>
      <c r="K220" s="29" t="s">
        <v>296</v>
      </c>
      <c r="L220" s="29" t="s">
        <v>297</v>
      </c>
      <c r="M220" s="29" t="s">
        <v>298</v>
      </c>
      <c r="N220" s="29" t="s">
        <v>78</v>
      </c>
      <c r="O220" s="29" t="s">
        <v>78</v>
      </c>
      <c r="P220" s="29" t="s">
        <v>78</v>
      </c>
      <c r="Q220" s="29" t="s">
        <v>78</v>
      </c>
      <c r="R220" s="29" t="s">
        <v>93</v>
      </c>
      <c r="S220" s="26" t="s">
        <v>586</v>
      </c>
      <c r="T220" s="26" t="s">
        <v>587</v>
      </c>
    </row>
    <row r="221" customFormat="false" ht="19.5" hidden="false" customHeight="true" outlineLevel="0" collapsed="false">
      <c r="A221" s="23" t="s">
        <v>45</v>
      </c>
      <c r="B221" s="23" t="s">
        <v>627</v>
      </c>
      <c r="C221" s="23" t="s">
        <v>585</v>
      </c>
      <c r="D221" s="23" t="s">
        <v>100</v>
      </c>
      <c r="E221" s="32"/>
      <c r="F221" s="33" t="s">
        <v>92</v>
      </c>
      <c r="G221" s="16" t="s">
        <v>71</v>
      </c>
      <c r="H221" s="16" t="s">
        <v>72</v>
      </c>
      <c r="I221" s="16" t="s">
        <v>73</v>
      </c>
      <c r="J221" s="16" t="s">
        <v>74</v>
      </c>
      <c r="K221" s="16" t="s">
        <v>296</v>
      </c>
      <c r="L221" s="16" t="s">
        <v>297</v>
      </c>
      <c r="M221" s="16" t="s">
        <v>298</v>
      </c>
      <c r="N221" s="16" t="s">
        <v>78</v>
      </c>
      <c r="O221" s="16" t="s">
        <v>78</v>
      </c>
      <c r="P221" s="16" t="s">
        <v>78</v>
      </c>
      <c r="Q221" s="16" t="s">
        <v>78</v>
      </c>
      <c r="R221" s="16" t="s">
        <v>93</v>
      </c>
      <c r="S221" s="23" t="s">
        <v>586</v>
      </c>
      <c r="T221" s="23" t="s">
        <v>587</v>
      </c>
    </row>
    <row r="222" customFormat="false" ht="19.5" hidden="false" customHeight="true" outlineLevel="0" collapsed="false">
      <c r="A222" s="26" t="s">
        <v>45</v>
      </c>
      <c r="B222" s="26" t="s">
        <v>628</v>
      </c>
      <c r="C222" s="26" t="s">
        <v>585</v>
      </c>
      <c r="D222" s="26" t="s">
        <v>159</v>
      </c>
      <c r="E222" s="32"/>
      <c r="F222" s="33" t="s">
        <v>92</v>
      </c>
      <c r="G222" s="29" t="s">
        <v>71</v>
      </c>
      <c r="H222" s="29" t="s">
        <v>72</v>
      </c>
      <c r="I222" s="29" t="s">
        <v>73</v>
      </c>
      <c r="J222" s="29" t="s">
        <v>74</v>
      </c>
      <c r="K222" s="29" t="s">
        <v>296</v>
      </c>
      <c r="L222" s="29" t="s">
        <v>297</v>
      </c>
      <c r="M222" s="29" t="s">
        <v>298</v>
      </c>
      <c r="N222" s="29" t="s">
        <v>78</v>
      </c>
      <c r="O222" s="29" t="s">
        <v>78</v>
      </c>
      <c r="P222" s="29" t="s">
        <v>78</v>
      </c>
      <c r="Q222" s="29" t="s">
        <v>78</v>
      </c>
      <c r="R222" s="29" t="s">
        <v>93</v>
      </c>
      <c r="S222" s="26" t="s">
        <v>586</v>
      </c>
      <c r="T222" s="26" t="s">
        <v>587</v>
      </c>
    </row>
    <row r="223" customFormat="false" ht="19.5" hidden="false" customHeight="true" outlineLevel="0" collapsed="false">
      <c r="A223" s="23" t="s">
        <v>46</v>
      </c>
      <c r="B223" s="23" t="s">
        <v>629</v>
      </c>
      <c r="C223" s="23" t="s">
        <v>630</v>
      </c>
      <c r="D223" s="23" t="s">
        <v>135</v>
      </c>
      <c r="E223" s="39"/>
      <c r="F223" s="40" t="s">
        <v>136</v>
      </c>
      <c r="G223" s="16" t="s">
        <v>71</v>
      </c>
      <c r="H223" s="16" t="s">
        <v>72</v>
      </c>
      <c r="I223" s="16" t="s">
        <v>73</v>
      </c>
      <c r="J223" s="16" t="s">
        <v>74</v>
      </c>
      <c r="K223" s="16" t="s">
        <v>572</v>
      </c>
      <c r="L223" s="16" t="s">
        <v>631</v>
      </c>
      <c r="M223" s="16" t="s">
        <v>632</v>
      </c>
      <c r="N223" s="16" t="s">
        <v>79</v>
      </c>
      <c r="O223" s="16" t="s">
        <v>79</v>
      </c>
      <c r="P223" s="16" t="s">
        <v>79</v>
      </c>
      <c r="Q223" s="16" t="s">
        <v>79</v>
      </c>
      <c r="R223" s="16" t="s">
        <v>230</v>
      </c>
      <c r="S223" s="23" t="s">
        <v>633</v>
      </c>
      <c r="T223" s="23" t="s">
        <v>634</v>
      </c>
    </row>
    <row r="224" customFormat="false" ht="19.5" hidden="false" customHeight="true" outlineLevel="0" collapsed="false">
      <c r="A224" s="26" t="s">
        <v>46</v>
      </c>
      <c r="B224" s="26" t="s">
        <v>635</v>
      </c>
      <c r="C224" s="26" t="s">
        <v>630</v>
      </c>
      <c r="D224" s="26" t="s">
        <v>84</v>
      </c>
      <c r="E224" s="32"/>
      <c r="F224" s="33" t="s">
        <v>92</v>
      </c>
      <c r="G224" s="29" t="s">
        <v>71</v>
      </c>
      <c r="H224" s="29" t="s">
        <v>72</v>
      </c>
      <c r="I224" s="29" t="s">
        <v>73</v>
      </c>
      <c r="J224" s="29" t="s">
        <v>74</v>
      </c>
      <c r="K224" s="29" t="s">
        <v>572</v>
      </c>
      <c r="L224" s="29" t="s">
        <v>631</v>
      </c>
      <c r="M224" s="29" t="s">
        <v>632</v>
      </c>
      <c r="N224" s="29" t="s">
        <v>79</v>
      </c>
      <c r="O224" s="29" t="s">
        <v>79</v>
      </c>
      <c r="P224" s="29" t="s">
        <v>79</v>
      </c>
      <c r="Q224" s="29" t="s">
        <v>79</v>
      </c>
      <c r="R224" s="29" t="s">
        <v>93</v>
      </c>
      <c r="S224" s="26" t="s">
        <v>636</v>
      </c>
      <c r="T224" s="26" t="s">
        <v>637</v>
      </c>
    </row>
    <row r="225" customFormat="false" ht="19.5" hidden="false" customHeight="true" outlineLevel="0" collapsed="false">
      <c r="A225" s="23" t="s">
        <v>46</v>
      </c>
      <c r="B225" s="23" t="s">
        <v>638</v>
      </c>
      <c r="C225" s="23" t="s">
        <v>630</v>
      </c>
      <c r="D225" s="23" t="s">
        <v>144</v>
      </c>
      <c r="E225" s="32"/>
      <c r="F225" s="33" t="s">
        <v>92</v>
      </c>
      <c r="G225" s="16" t="s">
        <v>71</v>
      </c>
      <c r="H225" s="16" t="s">
        <v>72</v>
      </c>
      <c r="I225" s="16" t="s">
        <v>73</v>
      </c>
      <c r="J225" s="16" t="s">
        <v>74</v>
      </c>
      <c r="K225" s="16" t="s">
        <v>572</v>
      </c>
      <c r="L225" s="16" t="s">
        <v>631</v>
      </c>
      <c r="M225" s="16" t="s">
        <v>632</v>
      </c>
      <c r="N225" s="16" t="s">
        <v>79</v>
      </c>
      <c r="O225" s="16" t="s">
        <v>79</v>
      </c>
      <c r="P225" s="16" t="s">
        <v>79</v>
      </c>
      <c r="Q225" s="16" t="s">
        <v>79</v>
      </c>
      <c r="R225" s="16" t="s">
        <v>93</v>
      </c>
      <c r="S225" s="23" t="s">
        <v>636</v>
      </c>
      <c r="T225" s="23" t="s">
        <v>637</v>
      </c>
    </row>
    <row r="226" customFormat="false" ht="19.5" hidden="false" customHeight="true" outlineLevel="0" collapsed="false">
      <c r="A226" s="26" t="s">
        <v>46</v>
      </c>
      <c r="B226" s="26" t="s">
        <v>639</v>
      </c>
      <c r="C226" s="26" t="s">
        <v>630</v>
      </c>
      <c r="D226" s="26" t="s">
        <v>91</v>
      </c>
      <c r="E226" s="87"/>
      <c r="F226" s="33" t="s">
        <v>244</v>
      </c>
      <c r="G226" s="29" t="s">
        <v>71</v>
      </c>
      <c r="H226" s="29" t="s">
        <v>72</v>
      </c>
      <c r="I226" s="29" t="s">
        <v>73</v>
      </c>
      <c r="J226" s="29" t="s">
        <v>74</v>
      </c>
      <c r="K226" s="29" t="s">
        <v>572</v>
      </c>
      <c r="L226" s="29" t="s">
        <v>631</v>
      </c>
      <c r="M226" s="29" t="s">
        <v>632</v>
      </c>
      <c r="N226" s="29" t="s">
        <v>79</v>
      </c>
      <c r="O226" s="29" t="s">
        <v>79</v>
      </c>
      <c r="P226" s="29" t="s">
        <v>79</v>
      </c>
      <c r="Q226" s="29" t="s">
        <v>79</v>
      </c>
      <c r="R226" s="29" t="s">
        <v>230</v>
      </c>
      <c r="S226" s="26" t="s">
        <v>633</v>
      </c>
      <c r="T226" s="26" t="s">
        <v>634</v>
      </c>
    </row>
    <row r="227" customFormat="false" ht="19.5" hidden="false" customHeight="true" outlineLevel="0" collapsed="false">
      <c r="A227" s="23" t="s">
        <v>46</v>
      </c>
      <c r="B227" s="23" t="s">
        <v>640</v>
      </c>
      <c r="C227" s="23" t="s">
        <v>630</v>
      </c>
      <c r="D227" s="23" t="s">
        <v>97</v>
      </c>
      <c r="E227" s="34"/>
      <c r="F227" s="45" t="s">
        <v>150</v>
      </c>
      <c r="G227" s="16" t="s">
        <v>71</v>
      </c>
      <c r="H227" s="16" t="s">
        <v>72</v>
      </c>
      <c r="I227" s="16" t="s">
        <v>73</v>
      </c>
      <c r="J227" s="16" t="s">
        <v>74</v>
      </c>
      <c r="K227" s="16" t="s">
        <v>572</v>
      </c>
      <c r="L227" s="16" t="s">
        <v>631</v>
      </c>
      <c r="M227" s="16" t="s">
        <v>632</v>
      </c>
      <c r="N227" s="16" t="s">
        <v>79</v>
      </c>
      <c r="O227" s="16" t="s">
        <v>79</v>
      </c>
      <c r="P227" s="16" t="s">
        <v>79</v>
      </c>
      <c r="Q227" s="16" t="s">
        <v>79</v>
      </c>
      <c r="R227" s="16" t="s">
        <v>230</v>
      </c>
      <c r="S227" s="23" t="s">
        <v>633</v>
      </c>
      <c r="T227" s="23" t="s">
        <v>634</v>
      </c>
    </row>
    <row r="228" customFormat="false" ht="19.5" hidden="false" customHeight="true" outlineLevel="0" collapsed="false">
      <c r="A228" s="26" t="s">
        <v>46</v>
      </c>
      <c r="B228" s="26" t="s">
        <v>641</v>
      </c>
      <c r="C228" s="26" t="s">
        <v>630</v>
      </c>
      <c r="D228" s="26" t="s">
        <v>264</v>
      </c>
      <c r="E228" s="32"/>
      <c r="F228" s="33" t="s">
        <v>92</v>
      </c>
      <c r="G228" s="29" t="s">
        <v>71</v>
      </c>
      <c r="H228" s="29" t="s">
        <v>72</v>
      </c>
      <c r="I228" s="29" t="s">
        <v>73</v>
      </c>
      <c r="J228" s="29" t="s">
        <v>74</v>
      </c>
      <c r="K228" s="29" t="s">
        <v>572</v>
      </c>
      <c r="L228" s="29" t="s">
        <v>631</v>
      </c>
      <c r="M228" s="29" t="s">
        <v>632</v>
      </c>
      <c r="N228" s="29" t="s">
        <v>79</v>
      </c>
      <c r="O228" s="29" t="s">
        <v>79</v>
      </c>
      <c r="P228" s="29" t="s">
        <v>79</v>
      </c>
      <c r="Q228" s="29" t="s">
        <v>79</v>
      </c>
      <c r="R228" s="29" t="s">
        <v>93</v>
      </c>
      <c r="S228" s="26" t="s">
        <v>636</v>
      </c>
      <c r="T228" s="26" t="s">
        <v>637</v>
      </c>
    </row>
    <row r="229" customFormat="false" ht="19.5" hidden="false" customHeight="true" outlineLevel="0" collapsed="false">
      <c r="A229" s="23" t="s">
        <v>46</v>
      </c>
      <c r="B229" s="23" t="s">
        <v>642</v>
      </c>
      <c r="C229" s="23" t="s">
        <v>630</v>
      </c>
      <c r="D229" s="23" t="s">
        <v>100</v>
      </c>
      <c r="E229" s="16"/>
      <c r="F229" s="36" t="s">
        <v>101</v>
      </c>
      <c r="G229" s="16" t="s">
        <v>71</v>
      </c>
      <c r="H229" s="16" t="s">
        <v>72</v>
      </c>
      <c r="I229" s="16" t="s">
        <v>73</v>
      </c>
      <c r="J229" s="16" t="s">
        <v>74</v>
      </c>
      <c r="K229" s="16" t="s">
        <v>572</v>
      </c>
      <c r="L229" s="16" t="s">
        <v>631</v>
      </c>
      <c r="M229" s="16" t="s">
        <v>632</v>
      </c>
      <c r="N229" s="16" t="s">
        <v>79</v>
      </c>
      <c r="O229" s="16" t="s">
        <v>79</v>
      </c>
      <c r="P229" s="16" t="s">
        <v>79</v>
      </c>
      <c r="Q229" s="16" t="s">
        <v>79</v>
      </c>
      <c r="R229" s="16" t="s">
        <v>230</v>
      </c>
      <c r="S229" s="23" t="s">
        <v>633</v>
      </c>
      <c r="T229" s="23" t="s">
        <v>634</v>
      </c>
    </row>
  </sheetData>
  <autoFilter ref="A2:T703"/>
  <mergeCells count="1">
    <mergeCell ref="A1:T1"/>
  </mergeCells>
  <conditionalFormatting sqref="R3:R703">
    <cfRule type="expression" priority="2" aboveAverage="0" equalAverage="0" bottom="0" percent="0" rank="0" text="" dxfId="183">
      <formula>$R3="S"</formula>
    </cfRule>
    <cfRule type="expression" priority="3" aboveAverage="0" equalAverage="0" bottom="0" percent="0" rank="0" text="" dxfId="184">
      <formula>$R3="A"</formula>
    </cfRule>
    <cfRule type="expression" priority="4" aboveAverage="0" equalAverage="0" bottom="0" percent="0" rank="0" text="" dxfId="185">
      <formula>$R3="B"</formula>
    </cfRule>
    <cfRule type="expression" priority="5" aboveAverage="0" equalAverage="0" bottom="0" percent="0" rank="0" text="" dxfId="186">
      <formula>$R3="C"</formula>
    </cfRule>
  </conditionalFormatting>
  <conditionalFormatting sqref="N3:N703">
    <cfRule type="expression" priority="6" aboveAverage="0" equalAverage="0" bottom="0" percent="0" rank="0" text="" dxfId="187">
      <formula>NOT(ISERROR(SEARCH("✓",$N3)))</formula>
    </cfRule>
    <cfRule type="expression" priority="7" aboveAverage="0" equalAverage="0" bottom="0" percent="0" rank="0" text="" dxfId="188">
      <formula>NOT(ISERROR(SEARCH("✗",$N3)))</formula>
    </cfRule>
    <cfRule type="expression" priority="8" aboveAverage="0" equalAverage="0" bottom="0" percent="0" rank="0" text="" dxfId="189">
      <formula>NOT(ISERROR(SEARCH("⚠",$N3)))</formula>
    </cfRule>
  </conditionalFormatting>
  <conditionalFormatting sqref="O3:O703">
    <cfRule type="expression" priority="9" aboveAverage="0" equalAverage="0" bottom="0" percent="0" rank="0" text="" dxfId="187">
      <formula>NOT(ISERROR(SEARCH("✓",$O3)))</formula>
    </cfRule>
    <cfRule type="expression" priority="10" aboveAverage="0" equalAverage="0" bottom="0" percent="0" rank="0" text="" dxfId="188">
      <formula>NOT(ISERROR(SEARCH("✗",$O3)))</formula>
    </cfRule>
    <cfRule type="expression" priority="11" aboveAverage="0" equalAverage="0" bottom="0" percent="0" rank="0" text="" dxfId="189">
      <formula>NOT(ISERROR(SEARCH("⚠",$O3)))</formula>
    </cfRule>
  </conditionalFormatting>
  <conditionalFormatting sqref="P3:P703">
    <cfRule type="expression" priority="12" aboveAverage="0" equalAverage="0" bottom="0" percent="0" rank="0" text="" dxfId="187">
      <formula>NOT(ISERROR(SEARCH("✓",$P3)))</formula>
    </cfRule>
    <cfRule type="expression" priority="13" aboveAverage="0" equalAverage="0" bottom="0" percent="0" rank="0" text="" dxfId="188">
      <formula>NOT(ISERROR(SEARCH("✗",$P3)))</formula>
    </cfRule>
    <cfRule type="expression" priority="14" aboveAverage="0" equalAverage="0" bottom="0" percent="0" rank="0" text="" dxfId="189">
      <formula>NOT(ISERROR(SEARCH("⚠",$P3)))</formula>
    </cfRule>
  </conditionalFormatting>
  <conditionalFormatting sqref="Q3:Q703">
    <cfRule type="expression" priority="15" aboveAverage="0" equalAverage="0" bottom="0" percent="0" rank="0" text="" dxfId="187">
      <formula>NOT(ISERROR(SEARCH("✓",$Q3)))</formula>
    </cfRule>
    <cfRule type="expression" priority="16" aboveAverage="0" equalAverage="0" bottom="0" percent="0" rank="0" text="" dxfId="188">
      <formula>NOT(ISERROR(SEARCH("✗",$Q3)))</formula>
    </cfRule>
    <cfRule type="expression" priority="17" aboveAverage="0" equalAverage="0" bottom="0" percent="0" rank="0" text="" dxfId="189">
      <formula>NOT(ISERROR(SEARCH("⚠",$Q3)))</formula>
    </cfRule>
  </conditionalFormatting>
  <conditionalFormatting sqref="J3:J703">
    <cfRule type="expression" priority="18" aboveAverage="0" equalAverage="0" bottom="0" percent="0" rank="0" text="" dxfId="189">
      <formula>$J3="Yes"</formula>
    </cfRule>
  </conditionalFormatting>
  <conditionalFormatting sqref="T3:T703">
    <cfRule type="expression" priority="19" aboveAverage="0" equalAverage="0" bottom="0" percent="0" rank="0" text="" dxfId="190">
      <formula>NOT(ISERROR(SEARCH("hardened nozzle",$T3)))</formula>
    </cfRule>
  </conditionalFormatting>
  <dataValidations count="8">
    <dataValidation allowBlank="true" errorStyle="stop" operator="between" showDropDown="false" showErrorMessage="false" showInputMessage="false" sqref="R3:R330" type="list">
      <formula1>"S,A,B,C"</formula1>
      <formula2>0</formula2>
    </dataValidation>
    <dataValidation allowBlank="true" errorStyle="stop" operator="between" showDropDown="false" showErrorMessage="false" showInputMessage="false" sqref="I3:I330" type="list">
      <formula1>"Cardboard,Plastic"</formula1>
      <formula2>0</formula2>
    </dataValidation>
    <dataValidation allowBlank="true" errorStyle="stop" operator="between" showDropDown="false" showErrorMessage="false" showInputMessage="false" sqref="J3:J330" type="list">
      <formula1>"Yes,No"</formula1>
      <formula2>0</formula2>
    </dataValidation>
    <dataValidation allowBlank="true" errorStyle="stop" operator="between" showDropDown="false" showErrorMessage="false" showInputMessage="false" sqref="G3:G330" type="list">
      <formula1>"1.75mm,2.85mm"</formula1>
      <formula2>0</formula2>
    </dataValidation>
    <dataValidation allowBlank="true" errorStyle="stop" operator="between" showDropDown="false" showErrorMessage="false" showInputMessage="false" sqref="N3:N330" type="list">
      <formula1>"✓,✗,⚠"</formula1>
      <formula2>0</formula2>
    </dataValidation>
    <dataValidation allowBlank="true" errorStyle="stop" operator="between" showDropDown="false" showErrorMessage="false" showInputMessage="false" sqref="O3:O330" type="list">
      <formula1>"✓,✗,⚠"</formula1>
      <formula2>0</formula2>
    </dataValidation>
    <dataValidation allowBlank="true" errorStyle="stop" operator="between" showDropDown="false" showErrorMessage="false" showInputMessage="false" sqref="P3:P330" type="list">
      <formula1>"✓,✗,⚠"</formula1>
      <formula2>0</formula2>
    </dataValidation>
    <dataValidation allowBlank="true" errorStyle="stop" operator="between" showDropDown="false" showErrorMessage="false" showInputMessage="false" sqref="Q3:Q330"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00"/>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7" min="6" style="0" width="16"/>
    <col collapsed="false" customWidth="true" hidden="false" outlineLevel="0" max="8" min="8" style="0" width="58"/>
  </cols>
  <sheetData>
    <row r="1" customFormat="false" ht="30" hidden="false" customHeight="true" outlineLevel="0" collapsed="false">
      <c r="A1" s="21" t="s">
        <v>643</v>
      </c>
      <c r="B1" s="21"/>
      <c r="C1" s="21"/>
      <c r="D1" s="21"/>
      <c r="E1" s="21"/>
      <c r="F1" s="21"/>
      <c r="G1" s="21"/>
      <c r="H1" s="21"/>
    </row>
    <row r="2" customFormat="false" ht="33.75" hidden="false" customHeight="true" outlineLevel="0" collapsed="false">
      <c r="A2" s="22" t="s">
        <v>644</v>
      </c>
      <c r="B2" s="22" t="s">
        <v>57</v>
      </c>
      <c r="C2" s="22" t="s">
        <v>58</v>
      </c>
      <c r="D2" s="22" t="s">
        <v>645</v>
      </c>
      <c r="E2" s="22" t="s">
        <v>646</v>
      </c>
      <c r="F2" s="22" t="s">
        <v>647</v>
      </c>
      <c r="G2" s="22" t="s">
        <v>59</v>
      </c>
      <c r="H2" s="22" t="s">
        <v>66</v>
      </c>
    </row>
    <row r="3" customFormat="false" ht="19.5" hidden="false" customHeight="true" outlineLevel="0" collapsed="false">
      <c r="A3" s="23" t="s">
        <v>30</v>
      </c>
      <c r="B3" s="16" t="s">
        <v>227</v>
      </c>
      <c r="C3" s="16" t="s">
        <v>228</v>
      </c>
      <c r="D3" s="16" t="s">
        <v>648</v>
      </c>
      <c r="E3" s="16" t="s">
        <v>78</v>
      </c>
      <c r="F3" s="16" t="s">
        <v>649</v>
      </c>
      <c r="G3" s="16" t="s">
        <v>229</v>
      </c>
      <c r="H3" s="23" t="s">
        <v>650</v>
      </c>
    </row>
    <row r="4" customFormat="false" ht="19.5" hidden="false" customHeight="true" outlineLevel="0" collapsed="false">
      <c r="A4" s="26" t="s">
        <v>32</v>
      </c>
      <c r="B4" s="29" t="s">
        <v>296</v>
      </c>
      <c r="C4" s="29" t="s">
        <v>297</v>
      </c>
      <c r="D4" s="29" t="s">
        <v>648</v>
      </c>
      <c r="E4" s="29" t="s">
        <v>78</v>
      </c>
      <c r="F4" s="29" t="s">
        <v>649</v>
      </c>
      <c r="G4" s="29" t="s">
        <v>298</v>
      </c>
      <c r="H4" s="26" t="s">
        <v>651</v>
      </c>
    </row>
    <row r="5" customFormat="false" ht="19.5" hidden="false" customHeight="true" outlineLevel="0" collapsed="false">
      <c r="A5" s="23" t="s">
        <v>39</v>
      </c>
      <c r="B5" s="16" t="s">
        <v>227</v>
      </c>
      <c r="C5" s="16" t="s">
        <v>228</v>
      </c>
      <c r="D5" s="16" t="s">
        <v>648</v>
      </c>
      <c r="E5" s="16" t="s">
        <v>78</v>
      </c>
      <c r="F5" s="16" t="s">
        <v>649</v>
      </c>
      <c r="G5" s="16" t="s">
        <v>229</v>
      </c>
      <c r="H5" s="23" t="s">
        <v>652</v>
      </c>
    </row>
    <row r="6" customFormat="false" ht="19.5" hidden="false" customHeight="true" outlineLevel="0" collapsed="false">
      <c r="A6" s="26" t="s">
        <v>46</v>
      </c>
      <c r="B6" s="29" t="s">
        <v>572</v>
      </c>
      <c r="C6" s="29" t="s">
        <v>631</v>
      </c>
      <c r="D6" s="29" t="s">
        <v>648</v>
      </c>
      <c r="E6" s="29" t="s">
        <v>648</v>
      </c>
      <c r="F6" s="29" t="s">
        <v>74</v>
      </c>
      <c r="G6" s="29" t="s">
        <v>632</v>
      </c>
      <c r="H6" s="26" t="s">
        <v>653</v>
      </c>
    </row>
    <row r="7" customFormat="false" ht="19.5" hidden="false" customHeight="true" outlineLevel="0" collapsed="false">
      <c r="A7" s="23" t="s">
        <v>24</v>
      </c>
      <c r="B7" s="16" t="s">
        <v>75</v>
      </c>
      <c r="C7" s="16" t="s">
        <v>76</v>
      </c>
      <c r="D7" s="16" t="s">
        <v>74</v>
      </c>
      <c r="E7" s="16" t="s">
        <v>78</v>
      </c>
      <c r="F7" s="16" t="s">
        <v>74</v>
      </c>
      <c r="G7" s="16" t="s">
        <v>77</v>
      </c>
      <c r="H7" s="23" t="s">
        <v>654</v>
      </c>
    </row>
    <row r="8" customFormat="false" ht="19.5" hidden="false" customHeight="true" outlineLevel="0" collapsed="false">
      <c r="A8" s="26" t="s">
        <v>26</v>
      </c>
      <c r="B8" s="29" t="s">
        <v>129</v>
      </c>
      <c r="C8" s="29" t="s">
        <v>130</v>
      </c>
      <c r="D8" s="29" t="s">
        <v>648</v>
      </c>
      <c r="E8" s="29" t="s">
        <v>78</v>
      </c>
      <c r="F8" s="29" t="s">
        <v>74</v>
      </c>
      <c r="G8" s="29" t="s">
        <v>131</v>
      </c>
      <c r="H8" s="26" t="s">
        <v>655</v>
      </c>
    </row>
    <row r="9" customFormat="false" ht="19.5" hidden="false" customHeight="true" outlineLevel="0" collapsed="false">
      <c r="A9" s="23" t="s">
        <v>40</v>
      </c>
      <c r="B9" s="16" t="s">
        <v>296</v>
      </c>
      <c r="C9" s="16" t="s">
        <v>297</v>
      </c>
      <c r="D9" s="16" t="s">
        <v>648</v>
      </c>
      <c r="E9" s="16" t="s">
        <v>78</v>
      </c>
      <c r="F9" s="16" t="s">
        <v>649</v>
      </c>
      <c r="G9" s="16" t="s">
        <v>298</v>
      </c>
      <c r="H9" s="23" t="s">
        <v>656</v>
      </c>
    </row>
    <row r="10" customFormat="false" ht="19.5" hidden="false" customHeight="true" outlineLevel="0" collapsed="false">
      <c r="A10" s="26" t="s">
        <v>31</v>
      </c>
      <c r="B10" s="29" t="s">
        <v>227</v>
      </c>
      <c r="C10" s="29" t="s">
        <v>228</v>
      </c>
      <c r="D10" s="29" t="s">
        <v>648</v>
      </c>
      <c r="E10" s="29" t="s">
        <v>78</v>
      </c>
      <c r="F10" s="29" t="s">
        <v>649</v>
      </c>
      <c r="G10" s="29" t="s">
        <v>229</v>
      </c>
      <c r="H10" s="26" t="s">
        <v>657</v>
      </c>
    </row>
    <row r="11" customFormat="false" ht="19.5" hidden="false" customHeight="true" outlineLevel="0" collapsed="false">
      <c r="A11" s="23" t="s">
        <v>36</v>
      </c>
      <c r="B11" s="16" t="s">
        <v>227</v>
      </c>
      <c r="C11" s="16" t="s">
        <v>297</v>
      </c>
      <c r="D11" s="16" t="s">
        <v>648</v>
      </c>
      <c r="E11" s="16" t="s">
        <v>78</v>
      </c>
      <c r="F11" s="16" t="s">
        <v>649</v>
      </c>
      <c r="G11" s="16" t="s">
        <v>340</v>
      </c>
      <c r="H11" s="23" t="s">
        <v>658</v>
      </c>
    </row>
    <row r="12" customFormat="false" ht="19.5" hidden="false" customHeight="true" outlineLevel="0" collapsed="false">
      <c r="A12" s="26" t="s">
        <v>42</v>
      </c>
      <c r="B12" s="29" t="s">
        <v>227</v>
      </c>
      <c r="C12" s="29" t="s">
        <v>297</v>
      </c>
      <c r="D12" s="29" t="s">
        <v>648</v>
      </c>
      <c r="E12" s="29" t="s">
        <v>78</v>
      </c>
      <c r="F12" s="29" t="s">
        <v>649</v>
      </c>
      <c r="G12" s="29" t="s">
        <v>298</v>
      </c>
      <c r="H12" s="26" t="s">
        <v>659</v>
      </c>
    </row>
    <row r="13" customFormat="false" ht="19.5" hidden="false" customHeight="true" outlineLevel="0" collapsed="false">
      <c r="A13" s="23" t="s">
        <v>25</v>
      </c>
      <c r="B13" s="16" t="s">
        <v>75</v>
      </c>
      <c r="C13" s="16" t="s">
        <v>105</v>
      </c>
      <c r="D13" s="16" t="s">
        <v>74</v>
      </c>
      <c r="E13" s="16" t="s">
        <v>78</v>
      </c>
      <c r="F13" s="16" t="s">
        <v>74</v>
      </c>
      <c r="G13" s="16" t="s">
        <v>106</v>
      </c>
      <c r="H13" s="23" t="s">
        <v>660</v>
      </c>
    </row>
    <row r="14" customFormat="false" ht="19.5" hidden="false" customHeight="true" outlineLevel="0" collapsed="false">
      <c r="A14" s="26" t="s">
        <v>44</v>
      </c>
      <c r="B14" s="29" t="s">
        <v>572</v>
      </c>
      <c r="C14" s="29" t="s">
        <v>573</v>
      </c>
      <c r="D14" s="29" t="s">
        <v>648</v>
      </c>
      <c r="E14" s="29" t="s">
        <v>78</v>
      </c>
      <c r="F14" s="29" t="s">
        <v>649</v>
      </c>
      <c r="G14" s="29" t="s">
        <v>574</v>
      </c>
      <c r="H14" s="26" t="s">
        <v>661</v>
      </c>
    </row>
    <row r="15" customFormat="false" ht="19.5" hidden="false" customHeight="true" outlineLevel="0" collapsed="false">
      <c r="A15" s="23" t="s">
        <v>37</v>
      </c>
      <c r="B15" s="16" t="s">
        <v>296</v>
      </c>
      <c r="C15" s="16" t="s">
        <v>297</v>
      </c>
      <c r="D15" s="16" t="s">
        <v>648</v>
      </c>
      <c r="E15" s="16" t="s">
        <v>78</v>
      </c>
      <c r="F15" s="16" t="s">
        <v>649</v>
      </c>
      <c r="G15" s="16" t="s">
        <v>298</v>
      </c>
      <c r="H15" s="23" t="s">
        <v>662</v>
      </c>
    </row>
    <row r="16" customFormat="false" ht="19.5" hidden="false" customHeight="true" outlineLevel="0" collapsed="false">
      <c r="A16" s="26" t="s">
        <v>41</v>
      </c>
      <c r="B16" s="29" t="s">
        <v>227</v>
      </c>
      <c r="C16" s="29" t="s">
        <v>228</v>
      </c>
      <c r="D16" s="29" t="s">
        <v>648</v>
      </c>
      <c r="E16" s="29" t="s">
        <v>78</v>
      </c>
      <c r="F16" s="29" t="s">
        <v>649</v>
      </c>
      <c r="G16" s="29" t="s">
        <v>229</v>
      </c>
      <c r="H16" s="26" t="s">
        <v>663</v>
      </c>
    </row>
    <row r="17" customFormat="false" ht="19.5" hidden="false" customHeight="true" outlineLevel="0" collapsed="false">
      <c r="A17" s="23" t="s">
        <v>34</v>
      </c>
      <c r="B17" s="16" t="s">
        <v>227</v>
      </c>
      <c r="C17" s="16" t="s">
        <v>297</v>
      </c>
      <c r="D17" s="16" t="s">
        <v>648</v>
      </c>
      <c r="E17" s="16" t="s">
        <v>78</v>
      </c>
      <c r="F17" s="16" t="s">
        <v>649</v>
      </c>
      <c r="G17" s="16" t="s">
        <v>340</v>
      </c>
      <c r="H17" s="23" t="s">
        <v>664</v>
      </c>
    </row>
    <row r="18" customFormat="false" ht="19.5" hidden="false" customHeight="true" outlineLevel="0" collapsed="false">
      <c r="A18" s="26" t="s">
        <v>38</v>
      </c>
      <c r="B18" s="29" t="s">
        <v>227</v>
      </c>
      <c r="C18" s="29" t="s">
        <v>297</v>
      </c>
      <c r="D18" s="29" t="s">
        <v>648</v>
      </c>
      <c r="E18" s="29" t="s">
        <v>78</v>
      </c>
      <c r="F18" s="29" t="s">
        <v>649</v>
      </c>
      <c r="G18" s="29" t="s">
        <v>340</v>
      </c>
      <c r="H18" s="26" t="s">
        <v>665</v>
      </c>
    </row>
    <row r="19" customFormat="false" ht="19.5" hidden="false" customHeight="true" outlineLevel="0" collapsed="false">
      <c r="A19" s="23" t="s">
        <v>43</v>
      </c>
      <c r="B19" s="16" t="s">
        <v>227</v>
      </c>
      <c r="C19" s="16" t="s">
        <v>297</v>
      </c>
      <c r="D19" s="16" t="s">
        <v>648</v>
      </c>
      <c r="E19" s="16" t="s">
        <v>78</v>
      </c>
      <c r="F19" s="16" t="s">
        <v>649</v>
      </c>
      <c r="G19" s="16" t="s">
        <v>340</v>
      </c>
      <c r="H19" s="23" t="s">
        <v>666</v>
      </c>
    </row>
    <row r="20" customFormat="false" ht="19.5" hidden="false" customHeight="true" outlineLevel="0" collapsed="false">
      <c r="A20" s="26" t="s">
        <v>35</v>
      </c>
      <c r="B20" s="29" t="s">
        <v>227</v>
      </c>
      <c r="C20" s="29" t="s">
        <v>297</v>
      </c>
      <c r="D20" s="29" t="s">
        <v>648</v>
      </c>
      <c r="E20" s="29" t="s">
        <v>78</v>
      </c>
      <c r="F20" s="29" t="s">
        <v>649</v>
      </c>
      <c r="G20" s="29" t="s">
        <v>340</v>
      </c>
      <c r="H20" s="26" t="s">
        <v>667</v>
      </c>
    </row>
    <row r="21" customFormat="false" ht="19.5" hidden="false" customHeight="true" outlineLevel="0" collapsed="false">
      <c r="A21" s="23" t="s">
        <v>33</v>
      </c>
      <c r="B21" s="16" t="s">
        <v>227</v>
      </c>
      <c r="C21" s="16" t="s">
        <v>297</v>
      </c>
      <c r="D21" s="16" t="s">
        <v>648</v>
      </c>
      <c r="E21" s="16" t="s">
        <v>78</v>
      </c>
      <c r="F21" s="16" t="s">
        <v>649</v>
      </c>
      <c r="G21" s="16" t="s">
        <v>340</v>
      </c>
      <c r="H21" s="23" t="s">
        <v>668</v>
      </c>
    </row>
    <row r="22" customFormat="false" ht="19.5" hidden="false" customHeight="true" outlineLevel="0" collapsed="false">
      <c r="A22" s="26" t="s">
        <v>45</v>
      </c>
      <c r="B22" s="29" t="s">
        <v>296</v>
      </c>
      <c r="C22" s="29" t="s">
        <v>297</v>
      </c>
      <c r="D22" s="29" t="s">
        <v>648</v>
      </c>
      <c r="E22" s="29" t="s">
        <v>78</v>
      </c>
      <c r="F22" s="29" t="s">
        <v>649</v>
      </c>
      <c r="G22" s="29" t="s">
        <v>298</v>
      </c>
      <c r="H22" s="26" t="s">
        <v>669</v>
      </c>
    </row>
    <row r="23" customFormat="false" ht="19.5" hidden="false" customHeight="true" outlineLevel="0" collapsed="false">
      <c r="A23" s="23" t="s">
        <v>27</v>
      </c>
      <c r="B23" s="16" t="s">
        <v>129</v>
      </c>
      <c r="C23" s="16" t="s">
        <v>130</v>
      </c>
      <c r="D23" s="16" t="s">
        <v>648</v>
      </c>
      <c r="E23" s="16" t="s">
        <v>78</v>
      </c>
      <c r="F23" s="16" t="s">
        <v>74</v>
      </c>
      <c r="G23" s="16" t="s">
        <v>131</v>
      </c>
      <c r="H23" s="23" t="s">
        <v>670</v>
      </c>
    </row>
    <row r="24" customFormat="false" ht="19.5" hidden="false" customHeight="true" outlineLevel="0" collapsed="false">
      <c r="A24" s="26" t="s">
        <v>28</v>
      </c>
      <c r="B24" s="29" t="s">
        <v>129</v>
      </c>
      <c r="C24" s="29" t="s">
        <v>130</v>
      </c>
      <c r="D24" s="29" t="s">
        <v>648</v>
      </c>
      <c r="E24" s="29" t="s">
        <v>78</v>
      </c>
      <c r="F24" s="29" t="s">
        <v>74</v>
      </c>
      <c r="G24" s="29" t="s">
        <v>131</v>
      </c>
      <c r="H24" s="26" t="s">
        <v>671</v>
      </c>
    </row>
    <row r="25" customFormat="false" ht="19.5" hidden="false" customHeight="true" outlineLevel="0" collapsed="false">
      <c r="A25" s="23" t="s">
        <v>29</v>
      </c>
      <c r="B25" s="16" t="s">
        <v>129</v>
      </c>
      <c r="C25" s="16" t="s">
        <v>130</v>
      </c>
      <c r="D25" s="16" t="s">
        <v>648</v>
      </c>
      <c r="E25" s="16" t="s">
        <v>78</v>
      </c>
      <c r="F25" s="16" t="s">
        <v>74</v>
      </c>
      <c r="G25" s="16" t="s">
        <v>131</v>
      </c>
      <c r="H25" s="23" t="s">
        <v>672</v>
      </c>
    </row>
  </sheetData>
  <autoFilter ref="A2:H63"/>
  <mergeCells count="1">
    <mergeCell ref="A1:H1"/>
  </mergeCells>
  <conditionalFormatting sqref="D3:D36">
    <cfRule type="expression" priority="2" aboveAverage="0" equalAverage="0" bottom="0" percent="0" rank="0" text="" dxfId="189">
      <formula>$D3="Yes"</formula>
    </cfRule>
  </conditionalFormatting>
  <conditionalFormatting sqref="E3:E36">
    <cfRule type="expression" priority="3" aboveAverage="0" equalAverage="0" bottom="0" percent="0" rank="0" text="" dxfId="188">
      <formula>$E3="No"</formula>
    </cfRule>
    <cfRule type="expression" priority="4" aboveAverage="0" equalAverage="0" bottom="0" percent="0" rank="0" text="" dxfId="189">
      <formula>NOT(ISERROR(SEARCH("⚠",$E3)))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6"/>
    <col collapsed="false" customWidth="true" hidden="false" outlineLevel="0" max="3" min="3" style="0" width="70"/>
  </cols>
  <sheetData>
    <row r="1" customFormat="false" ht="25.5" hidden="false" customHeight="true" outlineLevel="0" collapsed="false">
      <c r="A1" s="150" t="s">
        <v>673</v>
      </c>
      <c r="B1" s="150"/>
      <c r="C1" s="150"/>
    </row>
    <row r="2" customFormat="false" ht="21.75" hidden="false" customHeight="true" outlineLevel="0" collapsed="false">
      <c r="A2" s="18" t="s">
        <v>674</v>
      </c>
      <c r="B2" s="18" t="s">
        <v>675</v>
      </c>
      <c r="C2" s="18" t="s">
        <v>66</v>
      </c>
    </row>
    <row r="3" customFormat="false" ht="18" hidden="false" customHeight="true" outlineLevel="0" collapsed="false">
      <c r="A3" s="151" t="s">
        <v>676</v>
      </c>
      <c r="B3" s="152" t="s">
        <v>677</v>
      </c>
      <c r="C3" s="153"/>
    </row>
    <row r="4" customFormat="false" ht="18" hidden="false" customHeight="true" outlineLevel="0" collapsed="false">
      <c r="A4" s="151" t="s">
        <v>678</v>
      </c>
      <c r="B4" s="154" t="s">
        <v>679</v>
      </c>
      <c r="C4" s="153"/>
    </row>
    <row r="5" customFormat="false" ht="18" hidden="false" customHeight="true" outlineLevel="0" collapsed="false">
      <c r="A5" s="151" t="s">
        <v>680</v>
      </c>
      <c r="B5" s="154" t="s">
        <v>681</v>
      </c>
      <c r="C5" s="153" t="s">
        <v>682</v>
      </c>
    </row>
    <row r="6" customFormat="false" ht="18" hidden="false" customHeight="true" outlineLevel="0" collapsed="false">
      <c r="A6" s="151" t="s">
        <v>683</v>
      </c>
      <c r="B6" s="154" t="s">
        <v>684</v>
      </c>
      <c r="C6" s="153" t="s">
        <v>685</v>
      </c>
    </row>
    <row r="7" customFormat="false" ht="18" hidden="false" customHeight="true" outlineLevel="0" collapsed="false">
      <c r="A7" s="151" t="s">
        <v>686</v>
      </c>
      <c r="B7" s="154" t="s">
        <v>687</v>
      </c>
      <c r="C7" s="153" t="s">
        <v>688</v>
      </c>
    </row>
    <row r="8" customFormat="false" ht="18" hidden="false" customHeight="true" outlineLevel="0" collapsed="false">
      <c r="A8" s="151" t="s">
        <v>689</v>
      </c>
      <c r="B8" s="154" t="s">
        <v>690</v>
      </c>
      <c r="C8" s="153" t="s">
        <v>691</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2026-10-08T19:30:19Z</dcterms:created>
  <dc:creator>openpyxl</dc:creator>
  <dc:description/>
  <dc:language>en-US</dc:language>
  <cp:lastModifiedBy/>
  <dcterms:modified xsi:type="dcterms:W3CDTF">2026-10-08T19:30:20Z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