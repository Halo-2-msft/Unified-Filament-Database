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8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EF3FB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CC0000"/>
      </patternFill>
    </fill>
    <fill>
      <patternFill patternType="solid">
        <fgColor rgb="FFF8E0E0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00BFFF"/>
      </patternFill>
    </fill>
    <fill>
      <patternFill patternType="solid">
        <fgColor rgb="FFE0F7FF"/>
      </patternFill>
    </fill>
    <fill>
      <patternFill patternType="solid">
        <fgColor rgb="FF39FF14"/>
      </patternFill>
    </fill>
    <fill>
      <patternFill patternType="solid">
        <fgColor rgb="FFE7FFE2"/>
      </patternFill>
    </fill>
    <fill>
      <patternFill patternType="solid">
        <fgColor rgb="FFD4A017"/>
      </patternFill>
    </fill>
    <fill>
      <patternFill patternType="solid">
        <fgColor rgb="FFF9F3E3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ADD8E6"/>
      </patternFill>
    </fill>
    <fill>
      <patternFill patternType="solid">
        <fgColor rgb="FFF5FAFC"/>
      </patternFill>
    </fill>
    <fill>
      <patternFill patternType="solid">
        <fgColor rgb="FFE8E8E8"/>
      </patternFill>
    </fill>
    <fill>
      <patternFill patternType="solid">
        <fgColor rgb="FFFCFCFC"/>
      </patternFill>
    </fill>
    <fill>
      <patternFill patternType="solid">
        <fgColor rgb="FF1A2A5A"/>
      </patternFill>
    </fill>
    <fill>
      <patternFill patternType="solid">
        <fgColor rgb="FFE3E5EB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FAFAFA"/>
      </patternFill>
    </fill>
    <fill>
      <patternFill patternType="solid">
        <fgColor rgb="FFFEFEFE"/>
      </patternFill>
    </fill>
    <fill>
      <patternFill patternType="solid">
        <fgColor rgb="FFA0785A"/>
      </patternFill>
    </fill>
    <fill>
      <patternFill patternType="solid">
        <fgColor rgb="FFF3EEEB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8A8D8F"/>
      </patternFill>
    </fill>
    <fill>
      <patternFill patternType="solid">
        <fgColor rgb="FFF0F1F1"/>
      </patternFill>
    </fill>
    <fill>
      <patternFill patternType="solid">
        <fgColor rgb="FFF4C2C2"/>
      </patternFill>
    </fill>
    <fill>
      <patternFill patternType="solid">
        <fgColor rgb="FFFDF7F7"/>
      </patternFill>
    </fill>
    <fill>
      <patternFill patternType="solid">
        <fgColor rgb="FFE8D4B8"/>
      </patternFill>
    </fill>
    <fill>
      <patternFill patternType="solid">
        <fgColor rgb="FFFCF9F6"/>
      </patternFill>
    </fill>
    <fill>
      <patternFill patternType="solid">
        <fgColor rgb="FF1F5FA8"/>
      </patternFill>
    </fill>
    <fill>
      <patternFill patternType="solid">
        <fgColor rgb="FFE4EBF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E4E7EC"/>
      </patternFill>
    </fill>
    <fill>
      <patternFill patternType="solid">
        <fgColor rgb="FFEA7125"/>
      </patternFill>
    </fill>
    <fill>
      <patternFill patternType="solid">
        <fgColor rgb="FFFCEDE4"/>
      </patternFill>
    </fill>
    <fill>
      <patternFill patternType="solid">
        <fgColor rgb="FFC81E2C"/>
      </patternFill>
    </fill>
    <fill>
      <patternFill patternType="solid">
        <fgColor rgb="FFF8E4E5"/>
      </patternFill>
    </fill>
    <fill>
      <patternFill patternType="solid">
        <fgColor rgb="FFB8BAB8"/>
      </patternFill>
    </fill>
    <fill>
      <patternFill patternType="solid">
        <fgColor rgb="FFF6F6F6"/>
      </patternFill>
    </fill>
    <fill>
      <patternFill patternType="solid">
        <fgColor rgb="FFF4C61F"/>
      </patternFill>
    </fill>
    <fill>
      <patternFill patternType="solid">
        <fgColor rgb="FFFDF8E4"/>
      </patternFill>
    </fill>
    <fill>
      <patternFill patternType="solid">
        <fgColor rgb="FFAED6E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1" fillId="57" borderId="1" applyAlignment="1" pivotButton="0" quotePrefix="0" xfId="0">
      <alignment horizontal="center" vertical="center" wrapText="1"/>
    </xf>
    <xf numFmtId="0" fontId="5" fillId="58" borderId="1" applyAlignment="1" pivotButton="0" quotePrefix="0" xfId="0">
      <alignment horizontal="center" vertical="center" wrapText="1"/>
    </xf>
    <xf numFmtId="0" fontId="11" fillId="59" borderId="1" applyAlignment="1" pivotButton="0" quotePrefix="0" xfId="0">
      <alignment horizontal="center" vertical="center" wrapText="1"/>
    </xf>
    <xf numFmtId="0" fontId="5" fillId="60" borderId="1" applyAlignment="1" pivotButton="0" quotePrefix="0" xfId="0">
      <alignment horizontal="center" vertical="center" wrapText="1"/>
    </xf>
    <xf numFmtId="0" fontId="11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1" fillId="70" borderId="1" applyAlignment="1" pivotButton="0" quotePrefix="0" xfId="0">
      <alignment horizontal="center" vertical="center" wrapText="1"/>
    </xf>
    <xf numFmtId="0" fontId="5" fillId="71" borderId="1" applyAlignment="1" pivotButton="0" quotePrefix="0" xfId="0">
      <alignment horizontal="center" vertical="center" wrapText="1"/>
    </xf>
    <xf numFmtId="0" fontId="11" fillId="72" borderId="1" applyAlignment="1" pivotButton="0" quotePrefix="0" xfId="0">
      <alignment horizontal="center" vertical="center" wrapText="1"/>
    </xf>
    <xf numFmtId="0" fontId="5" fillId="73" borderId="1" applyAlignment="1" pivotButton="0" quotePrefix="0" xfId="0">
      <alignment horizontal="center" vertical="center" wrapText="1"/>
    </xf>
    <xf numFmtId="0" fontId="11" fillId="74" borderId="1" applyAlignment="1" pivotButton="0" quotePrefix="0" xfId="0">
      <alignment horizontal="center" vertical="center" wrapText="1"/>
    </xf>
    <xf numFmtId="0" fontId="5" fillId="75" borderId="1" applyAlignment="1" pivotButton="0" quotePrefix="0" xfId="0">
      <alignment horizontal="center" vertical="center" wrapText="1"/>
    </xf>
    <xf numFmtId="0" fontId="11" fillId="7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77" borderId="1" applyAlignment="1" pivotButton="0" quotePrefix="0" xfId="0">
      <alignment horizontal="center" vertical="center" wrapText="1"/>
    </xf>
    <xf numFmtId="0" fontId="11" fillId="78" borderId="1" applyAlignment="1" pivotButton="0" quotePrefix="0" xfId="0">
      <alignment horizontal="center" vertical="center" wrapText="1"/>
    </xf>
    <xf numFmtId="0" fontId="5" fillId="79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8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8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Hatchbox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PA</t>
        </is>
      </c>
      <c r="B27" s="20">
        <f>COUNTIF(Catalog!A3:A700,"PA")</f>
        <v/>
      </c>
    </row>
    <row r="28" ht="18" customHeight="1">
      <c r="A28" s="19" t="inlineStr">
        <is>
          <t>PC</t>
        </is>
      </c>
      <c r="B28" s="20">
        <f>COUNTIF(Catalog!A3:A700,"PC")</f>
        <v/>
      </c>
    </row>
    <row r="29" ht="18" customHeight="1">
      <c r="A29" s="19" t="inlineStr">
        <is>
          <t>PETG</t>
        </is>
      </c>
      <c r="B29" s="20">
        <f>COUNTIF(Catalog!A3:A700,"PETG")</f>
        <v/>
      </c>
    </row>
    <row r="30" ht="18" customHeight="1">
      <c r="A30" s="19" t="inlineStr">
        <is>
          <t>PLA</t>
        </is>
      </c>
      <c r="B30" s="20">
        <f>COUNTIF(Catalog!A3:A700,"PLA")</f>
        <v/>
      </c>
    </row>
    <row r="31" ht="18" customHeight="1">
      <c r="A31" s="19" t="inlineStr">
        <is>
          <t>PLA (MAX)</t>
        </is>
      </c>
      <c r="B31" s="20">
        <f>COUNTIF(Catalog!A3:A700,"PLA (MAX)")</f>
        <v/>
      </c>
    </row>
    <row r="32" ht="18" customHeight="1">
      <c r="A32" s="19" t="inlineStr">
        <is>
          <t>PLA (Performance)</t>
        </is>
      </c>
      <c r="B32" s="20">
        <f>COUNTIF(Catalog!A3:A700,"PLA (Performance)")</f>
        <v/>
      </c>
    </row>
    <row r="33" ht="18" customHeight="1">
      <c r="A33" s="19" t="inlineStr">
        <is>
          <t>PLA Matte</t>
        </is>
      </c>
      <c r="B33" s="20">
        <f>COUNTIF(Catalog!A3:A700,"PLA Matte")</f>
        <v/>
      </c>
    </row>
    <row r="34" ht="18" customHeight="1">
      <c r="A34" s="19" t="inlineStr">
        <is>
          <t>PLA+</t>
        </is>
      </c>
      <c r="B34" s="20">
        <f>COUNTIF(Catalog!A3:A700,"PLA+")</f>
        <v/>
      </c>
    </row>
    <row r="35" ht="18" customHeight="1">
      <c r="A35" s="19" t="inlineStr">
        <is>
          <t>TPU</t>
        </is>
      </c>
      <c r="B35" s="20">
        <f>COUNTIF(Catalog!A3:A700,"TPU")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Hatchbox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HX-ABS175-BK</t>
        </is>
      </c>
      <c r="C3" s="23" t="inlineStr">
        <is>
          <t>Hatchbox ABS</t>
        </is>
      </c>
      <c r="D3" s="23" t="inlineStr">
        <is>
          <t>Black</t>
        </is>
      </c>
      <c r="E3" s="24" t="inlineStr"/>
      <c r="F3" s="25" t="inlineStr">
        <is>
          <t>#111111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Cardboard</t>
        </is>
      </c>
      <c r="J3" s="16" t="inlineStr">
        <is>
          <t>Yes</t>
        </is>
      </c>
      <c r="K3" s="16" t="inlineStr">
        <is>
          <t>220–260°C</t>
        </is>
      </c>
      <c r="L3" s="16" t="inlineStr">
        <is>
          <t>90–110°C</t>
        </is>
      </c>
      <c r="M3" s="16" t="inlineStr">
        <is>
          <t>65°C / 8h</t>
        </is>
      </c>
      <c r="N3" s="16" t="inlineStr">
        <is>
          <t>⚠</t>
        </is>
      </c>
      <c r="O3" s="16" t="inlineStr">
        <is>
          <t>✗</t>
        </is>
      </c>
      <c r="P3" s="16" t="inlineStr">
        <is>
          <t>⚠</t>
        </is>
      </c>
      <c r="Q3" s="16" t="inlineStr">
        <is>
          <t>⚠</t>
        </is>
      </c>
      <c r="R3" s="16" t="inlineStr">
        <is>
          <t>C</t>
        </is>
      </c>
      <c r="S3" s="23" t="inlineStr">
        <is>
          <t>Cardboard spool + enclosure required — double caveat; AMS Lite ✗</t>
        </is>
      </c>
      <c r="T3" s="23" t="inlineStr">
        <is>
          <t>Cardboard spool + enclosure required; AMS Lite ✗; adapter ring on others</t>
        </is>
      </c>
    </row>
    <row r="4" ht="20" customHeight="1">
      <c r="A4" s="26" t="inlineStr">
        <is>
          <t>ABS</t>
        </is>
      </c>
      <c r="B4" s="26" t="inlineStr">
        <is>
          <t>HX-ABS175-GY</t>
        </is>
      </c>
      <c r="C4" s="26" t="inlineStr">
        <is>
          <t>Hatchbox ABS</t>
        </is>
      </c>
      <c r="D4" s="26" t="inlineStr">
        <is>
          <t>Gray</t>
        </is>
      </c>
      <c r="E4" s="27" t="inlineStr"/>
      <c r="F4" s="28" t="inlineStr">
        <is>
          <t>#808080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Cardboard</t>
        </is>
      </c>
      <c r="J4" s="29" t="inlineStr">
        <is>
          <t>Yes</t>
        </is>
      </c>
      <c r="K4" s="29" t="inlineStr">
        <is>
          <t>220–260°C</t>
        </is>
      </c>
      <c r="L4" s="29" t="inlineStr">
        <is>
          <t>90–110°C</t>
        </is>
      </c>
      <c r="M4" s="29" t="inlineStr">
        <is>
          <t>65°C / 8h</t>
        </is>
      </c>
      <c r="N4" s="29" t="inlineStr">
        <is>
          <t>⚠</t>
        </is>
      </c>
      <c r="O4" s="29" t="inlineStr">
        <is>
          <t>✗</t>
        </is>
      </c>
      <c r="P4" s="29" t="inlineStr">
        <is>
          <t>⚠</t>
        </is>
      </c>
      <c r="Q4" s="29" t="inlineStr">
        <is>
          <t>⚠</t>
        </is>
      </c>
      <c r="R4" s="29" t="inlineStr">
        <is>
          <t>C</t>
        </is>
      </c>
      <c r="S4" s="26" t="inlineStr">
        <is>
          <t>Cardboard spool + enclosure required — double caveat; AMS Lite ✗</t>
        </is>
      </c>
      <c r="T4" s="26" t="inlineStr">
        <is>
          <t>Cardboard spool + enclosure required; AMS Lite ✗; adapter ring on others</t>
        </is>
      </c>
    </row>
    <row r="5" ht="20" customHeight="1">
      <c r="A5" s="23" t="inlineStr">
        <is>
          <t>ABS</t>
        </is>
      </c>
      <c r="B5" s="23" t="inlineStr">
        <is>
          <t>HX-ABS175-WH</t>
        </is>
      </c>
      <c r="C5" s="23" t="inlineStr">
        <is>
          <t>Hatchbox ABS</t>
        </is>
      </c>
      <c r="D5" s="23" t="inlineStr">
        <is>
          <t>White</t>
        </is>
      </c>
      <c r="E5" s="30" t="inlineStr"/>
      <c r="F5" s="31" t="inlineStr">
        <is>
          <t>#F5F5F5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Cardboard</t>
        </is>
      </c>
      <c r="J5" s="16" t="inlineStr">
        <is>
          <t>Yes</t>
        </is>
      </c>
      <c r="K5" s="16" t="inlineStr">
        <is>
          <t>220–260°C</t>
        </is>
      </c>
      <c r="L5" s="16" t="inlineStr">
        <is>
          <t>90–110°C</t>
        </is>
      </c>
      <c r="M5" s="16" t="inlineStr">
        <is>
          <t>65°C / 8h</t>
        </is>
      </c>
      <c r="N5" s="16" t="inlineStr">
        <is>
          <t>⚠</t>
        </is>
      </c>
      <c r="O5" s="16" t="inlineStr">
        <is>
          <t>✗</t>
        </is>
      </c>
      <c r="P5" s="16" t="inlineStr">
        <is>
          <t>⚠</t>
        </is>
      </c>
      <c r="Q5" s="16" t="inlineStr">
        <is>
          <t>⚠</t>
        </is>
      </c>
      <c r="R5" s="16" t="inlineStr">
        <is>
          <t>C</t>
        </is>
      </c>
      <c r="S5" s="23" t="inlineStr">
        <is>
          <t>Cardboard spool + enclosure required — double caveat; AMS Lite ✗</t>
        </is>
      </c>
      <c r="T5" s="23" t="inlineStr">
        <is>
          <t>Cardboard spool + enclosure required; AMS Lite ✗; adapter ring on others</t>
        </is>
      </c>
    </row>
    <row r="6" ht="20" customHeight="1">
      <c r="A6" s="26" t="inlineStr">
        <is>
          <t>PA</t>
        </is>
      </c>
      <c r="B6" s="26" t="inlineStr">
        <is>
          <t>HX-PA-01</t>
        </is>
      </c>
      <c r="C6" s="26" t="inlineStr">
        <is>
          <t>Hatchbox PA (Nylon)</t>
        </is>
      </c>
      <c r="D6" s="26" t="inlineStr">
        <is>
          <t>Black</t>
        </is>
      </c>
      <c r="E6" s="32" t="inlineStr"/>
      <c r="F6" s="33" t="inlineStr">
        <is>
          <t>#000000</t>
        </is>
      </c>
      <c r="G6" s="29" t="inlineStr">
        <is>
          <t>1.75mm</t>
        </is>
      </c>
      <c r="H6" s="29" t="inlineStr">
        <is>
          <t>±0.05mm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250–270°C</t>
        </is>
      </c>
      <c r="L6" s="29" t="inlineStr">
        <is>
          <t>70–90°C</t>
        </is>
      </c>
      <c r="M6" s="29" t="inlineStr">
        <is>
          <t>80°C / 12h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C</t>
        </is>
      </c>
      <c r="S6" s="26" t="inlineStr">
        <is>
          <t>Line existence confirmed (hatchbox3d.com "PA 1.75mm Filament" collection tag); very moisture-sensitive, specs estimated</t>
        </is>
      </c>
      <c r="T6" s="26" t="inlineStr">
        <is>
          <t>Deep-dive follow-up 2026-07-19; NEW LINE</t>
        </is>
      </c>
    </row>
    <row r="7" ht="20" customHeight="1">
      <c r="A7" s="23" t="inlineStr">
        <is>
          <t>PC</t>
        </is>
      </c>
      <c r="B7" s="23" t="inlineStr">
        <is>
          <t>HX-PC-01</t>
        </is>
      </c>
      <c r="C7" s="23" t="inlineStr">
        <is>
          <t>Hatchbox PC</t>
        </is>
      </c>
      <c r="D7" s="23" t="inlineStr">
        <is>
          <t>Natural</t>
        </is>
      </c>
      <c r="E7" s="34" t="inlineStr"/>
      <c r="F7" s="35" t="inlineStr">
        <is>
          <t>#F0EAE0</t>
        </is>
      </c>
      <c r="G7" s="16" t="inlineStr">
        <is>
          <t>1.75mm</t>
        </is>
      </c>
      <c r="H7" s="16" t="inlineStr">
        <is>
          <t>±0.05mm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260–280°C</t>
        </is>
      </c>
      <c r="L7" s="16" t="inlineStr">
        <is>
          <t>100–120°C</t>
        </is>
      </c>
      <c r="M7" s="16" t="inlineStr">
        <is>
          <t>80°C / 8h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C</t>
        </is>
      </c>
      <c r="S7" s="23" t="inlineStr">
        <is>
          <t>Line existence confirmed (hatchbox3d.com "PC 1.75mm Filament" collection tag); specs estimated</t>
        </is>
      </c>
      <c r="T7" s="23" t="inlineStr">
        <is>
          <t>Deep-dive follow-up 2026-07-19; NEW LINE</t>
        </is>
      </c>
    </row>
    <row r="8" ht="20" customHeight="1">
      <c r="A8" s="26" t="inlineStr">
        <is>
          <t>PETG</t>
        </is>
      </c>
      <c r="B8" s="26" t="inlineStr">
        <is>
          <t>HX-PETG175-BK</t>
        </is>
      </c>
      <c r="C8" s="26" t="inlineStr">
        <is>
          <t>Hatchbox PETG</t>
        </is>
      </c>
      <c r="D8" s="26" t="inlineStr">
        <is>
          <t>Black</t>
        </is>
      </c>
      <c r="E8" s="24" t="inlineStr"/>
      <c r="F8" s="25" t="inlineStr">
        <is>
          <t>#111111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Cardboard</t>
        </is>
      </c>
      <c r="J8" s="29" t="inlineStr">
        <is>
          <t>Yes</t>
        </is>
      </c>
      <c r="K8" s="29" t="inlineStr">
        <is>
          <t>230–260°C</t>
        </is>
      </c>
      <c r="L8" s="29" t="inlineStr">
        <is>
          <t>70–80°C</t>
        </is>
      </c>
      <c r="M8" s="29" t="inlineStr">
        <is>
          <t>65°C / 6h</t>
        </is>
      </c>
      <c r="N8" s="29" t="inlineStr">
        <is>
          <t>⚠</t>
        </is>
      </c>
      <c r="O8" s="29" t="inlineStr">
        <is>
          <t>⚠</t>
        </is>
      </c>
      <c r="P8" s="29" t="inlineStr">
        <is>
          <t>⚠</t>
        </is>
      </c>
      <c r="Q8" s="29" t="inlineStr">
        <is>
          <t>⚠</t>
        </is>
      </c>
      <c r="R8" s="29" t="inlineStr">
        <is>
          <t>B</t>
        </is>
      </c>
      <c r="S8" s="26" t="inlineStr">
        <is>
          <t>Reliable PETG; cardboard spool requires AMS Adapter Ring</t>
        </is>
      </c>
      <c r="T8" s="26" t="inlineStr">
        <is>
          <t>Cardboard spool — AMS Adapter Ring required</t>
        </is>
      </c>
    </row>
    <row r="9" ht="20" customHeight="1">
      <c r="A9" s="23" t="inlineStr">
        <is>
          <t>PETG</t>
        </is>
      </c>
      <c r="B9" s="23" t="inlineStr">
        <is>
          <t>HX-PETG175-BL</t>
        </is>
      </c>
      <c r="C9" s="23" t="inlineStr">
        <is>
          <t>Hatchbox PETG</t>
        </is>
      </c>
      <c r="D9" s="23" t="inlineStr">
        <is>
          <t>Blue</t>
        </is>
      </c>
      <c r="E9" s="36" t="inlineStr"/>
      <c r="F9" s="37" t="inlineStr">
        <is>
          <t>#0057A8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Cardboard</t>
        </is>
      </c>
      <c r="J9" s="16" t="inlineStr">
        <is>
          <t>Yes</t>
        </is>
      </c>
      <c r="K9" s="16" t="inlineStr">
        <is>
          <t>230–260°C</t>
        </is>
      </c>
      <c r="L9" s="16" t="inlineStr">
        <is>
          <t>70–80°C</t>
        </is>
      </c>
      <c r="M9" s="16" t="inlineStr">
        <is>
          <t>65°C / 6h</t>
        </is>
      </c>
      <c r="N9" s="16" t="inlineStr">
        <is>
          <t>⚠</t>
        </is>
      </c>
      <c r="O9" s="16" t="inlineStr">
        <is>
          <t>⚠</t>
        </is>
      </c>
      <c r="P9" s="16" t="inlineStr">
        <is>
          <t>⚠</t>
        </is>
      </c>
      <c r="Q9" s="16" t="inlineStr">
        <is>
          <t>⚠</t>
        </is>
      </c>
      <c r="R9" s="16" t="inlineStr">
        <is>
          <t>B</t>
        </is>
      </c>
      <c r="S9" s="23" t="inlineStr">
        <is>
          <t>Reliable PETG; cardboard spool requires AMS Adapter Ring</t>
        </is>
      </c>
      <c r="T9" s="23" t="inlineStr">
        <is>
          <t>Cardboard spool — AMS Adapter Ring required</t>
        </is>
      </c>
    </row>
    <row r="10" ht="20" customHeight="1">
      <c r="A10" s="26" t="inlineStr">
        <is>
          <t>PETG</t>
        </is>
      </c>
      <c r="B10" s="26" t="inlineStr">
        <is>
          <t>HX-PETG175-GY</t>
        </is>
      </c>
      <c r="C10" s="26" t="inlineStr">
        <is>
          <t>Hatchbox PETG</t>
        </is>
      </c>
      <c r="D10" s="26" t="inlineStr">
        <is>
          <t>Gray</t>
        </is>
      </c>
      <c r="E10" s="27" t="inlineStr"/>
      <c r="F10" s="28" t="inlineStr">
        <is>
          <t>#808080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Cardboard</t>
        </is>
      </c>
      <c r="J10" s="29" t="inlineStr">
        <is>
          <t>Yes</t>
        </is>
      </c>
      <c r="K10" s="29" t="inlineStr">
        <is>
          <t>230–260°C</t>
        </is>
      </c>
      <c r="L10" s="29" t="inlineStr">
        <is>
          <t>70–80°C</t>
        </is>
      </c>
      <c r="M10" s="29" t="inlineStr">
        <is>
          <t>65°C / 6h</t>
        </is>
      </c>
      <c r="N10" s="29" t="inlineStr">
        <is>
          <t>⚠</t>
        </is>
      </c>
      <c r="O10" s="29" t="inlineStr">
        <is>
          <t>⚠</t>
        </is>
      </c>
      <c r="P10" s="29" t="inlineStr">
        <is>
          <t>⚠</t>
        </is>
      </c>
      <c r="Q10" s="29" t="inlineStr">
        <is>
          <t>⚠</t>
        </is>
      </c>
      <c r="R10" s="29" t="inlineStr">
        <is>
          <t>B</t>
        </is>
      </c>
      <c r="S10" s="26" t="inlineStr">
        <is>
          <t>Reliable PETG; cardboard spool requires AMS Adapter Ring</t>
        </is>
      </c>
      <c r="T10" s="26" t="inlineStr">
        <is>
          <t>Cardboard spool — AMS Adapter Ring required</t>
        </is>
      </c>
    </row>
    <row r="11" ht="20" customHeight="1">
      <c r="A11" s="23" t="inlineStr">
        <is>
          <t>PETG</t>
        </is>
      </c>
      <c r="B11" s="23" t="inlineStr">
        <is>
          <t>HX-PETG175-RD</t>
        </is>
      </c>
      <c r="C11" s="23" t="inlineStr">
        <is>
          <t>Hatchbox PETG</t>
        </is>
      </c>
      <c r="D11" s="23" t="inlineStr">
        <is>
          <t>Red</t>
        </is>
      </c>
      <c r="E11" s="38" t="inlineStr"/>
      <c r="F11" s="39" t="inlineStr">
        <is>
          <t>#CC0000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Cardboard</t>
        </is>
      </c>
      <c r="J11" s="16" t="inlineStr">
        <is>
          <t>Yes</t>
        </is>
      </c>
      <c r="K11" s="16" t="inlineStr">
        <is>
          <t>230–260°C</t>
        </is>
      </c>
      <c r="L11" s="16" t="inlineStr">
        <is>
          <t>70–80°C</t>
        </is>
      </c>
      <c r="M11" s="16" t="inlineStr">
        <is>
          <t>65°C / 6h</t>
        </is>
      </c>
      <c r="N11" s="16" t="inlineStr">
        <is>
          <t>⚠</t>
        </is>
      </c>
      <c r="O11" s="16" t="inlineStr">
        <is>
          <t>⚠</t>
        </is>
      </c>
      <c r="P11" s="16" t="inlineStr">
        <is>
          <t>⚠</t>
        </is>
      </c>
      <c r="Q11" s="16" t="inlineStr">
        <is>
          <t>⚠</t>
        </is>
      </c>
      <c r="R11" s="16" t="inlineStr">
        <is>
          <t>B</t>
        </is>
      </c>
      <c r="S11" s="23" t="inlineStr">
        <is>
          <t>Reliable PETG; cardboard spool requires AMS Adapter Ring</t>
        </is>
      </c>
      <c r="T11" s="23" t="inlineStr">
        <is>
          <t>Cardboard spool — AMS Adapter Ring required</t>
        </is>
      </c>
    </row>
    <row r="12" ht="20" customHeight="1">
      <c r="A12" s="26" t="inlineStr">
        <is>
          <t>PETG</t>
        </is>
      </c>
      <c r="B12" s="26" t="inlineStr">
        <is>
          <t>HX-PETG175-TR</t>
        </is>
      </c>
      <c r="C12" s="26" t="inlineStr">
        <is>
          <t>Hatchbox PETG</t>
        </is>
      </c>
      <c r="D12" s="26" t="inlineStr">
        <is>
          <t>Transparent</t>
        </is>
      </c>
      <c r="E12" s="40" t="inlineStr"/>
      <c r="F12" s="41" t="inlineStr">
        <is>
          <t>#D8EEF8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Cardboard</t>
        </is>
      </c>
      <c r="J12" s="29" t="inlineStr">
        <is>
          <t>Yes</t>
        </is>
      </c>
      <c r="K12" s="29" t="inlineStr">
        <is>
          <t>230–260°C</t>
        </is>
      </c>
      <c r="L12" s="29" t="inlineStr">
        <is>
          <t>70–80°C</t>
        </is>
      </c>
      <c r="M12" s="29" t="inlineStr">
        <is>
          <t>65°C / 6h</t>
        </is>
      </c>
      <c r="N12" s="29" t="inlineStr">
        <is>
          <t>⚠</t>
        </is>
      </c>
      <c r="O12" s="29" t="inlineStr">
        <is>
          <t>⚠</t>
        </is>
      </c>
      <c r="P12" s="29" t="inlineStr">
        <is>
          <t>⚠</t>
        </is>
      </c>
      <c r="Q12" s="29" t="inlineStr">
        <is>
          <t>⚠</t>
        </is>
      </c>
      <c r="R12" s="29" t="inlineStr">
        <is>
          <t>B</t>
        </is>
      </c>
      <c r="S12" s="26" t="inlineStr">
        <is>
          <t>Reliable PETG; cardboard spool requires AMS Adapter Ring</t>
        </is>
      </c>
      <c r="T12" s="26" t="inlineStr">
        <is>
          <t>Cardboard spool — AMS Adapter Ring required</t>
        </is>
      </c>
    </row>
    <row r="13" ht="20" customHeight="1">
      <c r="A13" s="23" t="inlineStr">
        <is>
          <t>PETG</t>
        </is>
      </c>
      <c r="B13" s="23" t="inlineStr">
        <is>
          <t>HX-PETG175-WH</t>
        </is>
      </c>
      <c r="C13" s="23" t="inlineStr">
        <is>
          <t>Hatchbox PETG</t>
        </is>
      </c>
      <c r="D13" s="23" t="inlineStr">
        <is>
          <t>White</t>
        </is>
      </c>
      <c r="E13" s="30" t="inlineStr"/>
      <c r="F13" s="31" t="inlineStr">
        <is>
          <t>#F5F5F5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Cardboard</t>
        </is>
      </c>
      <c r="J13" s="16" t="inlineStr">
        <is>
          <t>Yes</t>
        </is>
      </c>
      <c r="K13" s="16" t="inlineStr">
        <is>
          <t>230–260°C</t>
        </is>
      </c>
      <c r="L13" s="16" t="inlineStr">
        <is>
          <t>70–80°C</t>
        </is>
      </c>
      <c r="M13" s="16" t="inlineStr">
        <is>
          <t>65°C / 6h</t>
        </is>
      </c>
      <c r="N13" s="16" t="inlineStr">
        <is>
          <t>⚠</t>
        </is>
      </c>
      <c r="O13" s="16" t="inlineStr">
        <is>
          <t>⚠</t>
        </is>
      </c>
      <c r="P13" s="16" t="inlineStr">
        <is>
          <t>⚠</t>
        </is>
      </c>
      <c r="Q13" s="16" t="inlineStr">
        <is>
          <t>⚠</t>
        </is>
      </c>
      <c r="R13" s="16" t="inlineStr">
        <is>
          <t>B</t>
        </is>
      </c>
      <c r="S13" s="23" t="inlineStr">
        <is>
          <t>Reliable PETG; cardboard spool requires AMS Adapter Ring</t>
        </is>
      </c>
      <c r="T13" s="23" t="inlineStr">
        <is>
          <t>Cardboard spool — AMS Adapter Ring required</t>
        </is>
      </c>
    </row>
    <row r="14" ht="20" customHeight="1">
      <c r="A14" s="26" t="inlineStr">
        <is>
          <t>PLA</t>
        </is>
      </c>
      <c r="B14" s="26" t="inlineStr">
        <is>
          <t>HX-PLA175-BK</t>
        </is>
      </c>
      <c r="C14" s="26" t="inlineStr">
        <is>
          <t>Hatchbox PLA</t>
        </is>
      </c>
      <c r="D14" s="26" t="inlineStr">
        <is>
          <t>Black</t>
        </is>
      </c>
      <c r="E14" s="24" t="inlineStr"/>
      <c r="F14" s="25" t="inlineStr">
        <is>
          <t>#111111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Cardboard</t>
        </is>
      </c>
      <c r="J14" s="29" t="inlineStr">
        <is>
          <t>Yes</t>
        </is>
      </c>
      <c r="K14" s="29" t="inlineStr">
        <is>
          <t>180–220°C</t>
        </is>
      </c>
      <c r="L14" s="29" t="inlineStr">
        <is>
          <t>50–60°C</t>
        </is>
      </c>
      <c r="M14" s="29" t="inlineStr">
        <is>
          <t>45°C / 4h</t>
        </is>
      </c>
      <c r="N14" s="29" t="inlineStr">
        <is>
          <t>⚠</t>
        </is>
      </c>
      <c r="O14" s="29" t="inlineStr">
        <is>
          <t>⚠</t>
        </is>
      </c>
      <c r="P14" s="29" t="inlineStr">
        <is>
          <t>⚠</t>
        </is>
      </c>
      <c r="Q14" s="29" t="inlineStr">
        <is>
          <t>⚠</t>
        </is>
      </c>
      <c r="R14" s="29" t="inlineStr">
        <is>
          <t>B</t>
        </is>
      </c>
      <c r="S14" s="26" t="inlineStr">
        <is>
          <t>Proven budget PLA; cardboard spool requires AMS Adapter Ring on all variants</t>
        </is>
      </c>
      <c r="T14" s="26" t="inlineStr">
        <is>
          <t>Cardboard spool — AMS Adapter Ring required for all AMS variants</t>
        </is>
      </c>
    </row>
    <row r="15" ht="20" customHeight="1">
      <c r="A15" s="23" t="inlineStr">
        <is>
          <t>PLA</t>
        </is>
      </c>
      <c r="B15" s="23" t="inlineStr">
        <is>
          <t>HX-PLA175-BL</t>
        </is>
      </c>
      <c r="C15" s="23" t="inlineStr">
        <is>
          <t>Hatchbox PLA</t>
        </is>
      </c>
      <c r="D15" s="23" t="inlineStr">
        <is>
          <t>Blue</t>
        </is>
      </c>
      <c r="E15" s="36" t="inlineStr"/>
      <c r="F15" s="37" t="inlineStr">
        <is>
          <t>#0057A8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Cardboard</t>
        </is>
      </c>
      <c r="J15" s="16" t="inlineStr">
        <is>
          <t>Yes</t>
        </is>
      </c>
      <c r="K15" s="16" t="inlineStr">
        <is>
          <t>180–220°C</t>
        </is>
      </c>
      <c r="L15" s="16" t="inlineStr">
        <is>
          <t>50–60°C</t>
        </is>
      </c>
      <c r="M15" s="16" t="inlineStr">
        <is>
          <t>45°C / 4h</t>
        </is>
      </c>
      <c r="N15" s="16" t="inlineStr">
        <is>
          <t>⚠</t>
        </is>
      </c>
      <c r="O15" s="16" t="inlineStr">
        <is>
          <t>⚠</t>
        </is>
      </c>
      <c r="P15" s="16" t="inlineStr">
        <is>
          <t>⚠</t>
        </is>
      </c>
      <c r="Q15" s="16" t="inlineStr">
        <is>
          <t>⚠</t>
        </is>
      </c>
      <c r="R15" s="16" t="inlineStr">
        <is>
          <t>B</t>
        </is>
      </c>
      <c r="S15" s="23" t="inlineStr">
        <is>
          <t>Proven budget PLA; cardboard spool requires AMS Adapter Ring on all variants</t>
        </is>
      </c>
      <c r="T15" s="23" t="inlineStr">
        <is>
          <t>Cardboard spool — AMS Adapter Ring required for all AMS variants</t>
        </is>
      </c>
    </row>
    <row r="16" ht="20" customHeight="1">
      <c r="A16" s="26" t="inlineStr">
        <is>
          <t>PLA</t>
        </is>
      </c>
      <c r="B16" s="26" t="inlineStr">
        <is>
          <t>HX-PLA175-BR</t>
        </is>
      </c>
      <c r="C16" s="26" t="inlineStr">
        <is>
          <t>Hatchbox PLA</t>
        </is>
      </c>
      <c r="D16" s="26" t="inlineStr">
        <is>
          <t>Brown</t>
        </is>
      </c>
      <c r="E16" s="42" t="inlineStr"/>
      <c r="F16" s="43" t="inlineStr">
        <is>
          <t>#8B4513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Cardboard</t>
        </is>
      </c>
      <c r="J16" s="29" t="inlineStr">
        <is>
          <t>Yes</t>
        </is>
      </c>
      <c r="K16" s="29" t="inlineStr">
        <is>
          <t>180–220°C</t>
        </is>
      </c>
      <c r="L16" s="29" t="inlineStr">
        <is>
          <t>50–60°C</t>
        </is>
      </c>
      <c r="M16" s="29" t="inlineStr">
        <is>
          <t>45°C / 4h</t>
        </is>
      </c>
      <c r="N16" s="29" t="inlineStr">
        <is>
          <t>⚠</t>
        </is>
      </c>
      <c r="O16" s="29" t="inlineStr">
        <is>
          <t>⚠</t>
        </is>
      </c>
      <c r="P16" s="29" t="inlineStr">
        <is>
          <t>⚠</t>
        </is>
      </c>
      <c r="Q16" s="29" t="inlineStr">
        <is>
          <t>⚠</t>
        </is>
      </c>
      <c r="R16" s="29" t="inlineStr">
        <is>
          <t>B</t>
        </is>
      </c>
      <c r="S16" s="26" t="inlineStr">
        <is>
          <t>Proven budget PLA; cardboard spool requires AMS Adapter Ring on all variants</t>
        </is>
      </c>
      <c r="T16" s="26" t="inlineStr">
        <is>
          <t>Cardboard spool — AMS Adapter Ring required for all AMS variants</t>
        </is>
      </c>
    </row>
    <row r="17" ht="20" customHeight="1">
      <c r="A17" s="23" t="inlineStr">
        <is>
          <t>PLA</t>
        </is>
      </c>
      <c r="B17" s="23" t="inlineStr">
        <is>
          <t>HX-PLA175-CP</t>
        </is>
      </c>
      <c r="C17" s="23" t="inlineStr">
        <is>
          <t>Hatchbox PLA</t>
        </is>
      </c>
      <c r="D17" s="23" t="inlineStr">
        <is>
          <t>Copper</t>
        </is>
      </c>
      <c r="E17" s="44" t="inlineStr"/>
      <c r="F17" s="45" t="inlineStr">
        <is>
          <t>#B87333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Cardboard</t>
        </is>
      </c>
      <c r="J17" s="16" t="inlineStr">
        <is>
          <t>Yes</t>
        </is>
      </c>
      <c r="K17" s="16" t="inlineStr">
        <is>
          <t>180–220°C</t>
        </is>
      </c>
      <c r="L17" s="16" t="inlineStr">
        <is>
          <t>50–60°C</t>
        </is>
      </c>
      <c r="M17" s="16" t="inlineStr">
        <is>
          <t>45°C / 4h</t>
        </is>
      </c>
      <c r="N17" s="16" t="inlineStr">
        <is>
          <t>⚠</t>
        </is>
      </c>
      <c r="O17" s="16" t="inlineStr">
        <is>
          <t>⚠</t>
        </is>
      </c>
      <c r="P17" s="16" t="inlineStr">
        <is>
          <t>⚠</t>
        </is>
      </c>
      <c r="Q17" s="16" t="inlineStr">
        <is>
          <t>⚠</t>
        </is>
      </c>
      <c r="R17" s="16" t="inlineStr">
        <is>
          <t>B</t>
        </is>
      </c>
      <c r="S17" s="23" t="inlineStr">
        <is>
          <t>Proven budget PLA; cardboard spool requires AMS Adapter Ring on all variants</t>
        </is>
      </c>
      <c r="T17" s="23" t="inlineStr">
        <is>
          <t>Cardboard spool — AMS Adapter Ring required for all AMS variants</t>
        </is>
      </c>
    </row>
    <row r="18" ht="20" customHeight="1">
      <c r="A18" s="26" t="inlineStr">
        <is>
          <t>PLA</t>
        </is>
      </c>
      <c r="B18" s="26" t="inlineStr">
        <is>
          <t>HX-PLA175-GLB</t>
        </is>
      </c>
      <c r="C18" s="26" t="inlineStr">
        <is>
          <t>Hatchbox PLA</t>
        </is>
      </c>
      <c r="D18" s="26" t="inlineStr">
        <is>
          <t>Glow Blue</t>
        </is>
      </c>
      <c r="E18" s="46" t="inlineStr"/>
      <c r="F18" s="47" t="inlineStr">
        <is>
          <t>#00BFFF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Cardboard</t>
        </is>
      </c>
      <c r="J18" s="29" t="inlineStr">
        <is>
          <t>Yes</t>
        </is>
      </c>
      <c r="K18" s="29" t="inlineStr">
        <is>
          <t>180–220°C</t>
        </is>
      </c>
      <c r="L18" s="29" t="inlineStr">
        <is>
          <t>50–60°C</t>
        </is>
      </c>
      <c r="M18" s="29" t="inlineStr">
        <is>
          <t>45°C / 4h</t>
        </is>
      </c>
      <c r="N18" s="29" t="inlineStr">
        <is>
          <t>⚠</t>
        </is>
      </c>
      <c r="O18" s="29" t="inlineStr">
        <is>
          <t>⚠</t>
        </is>
      </c>
      <c r="P18" s="29" t="inlineStr">
        <is>
          <t>⚠</t>
        </is>
      </c>
      <c r="Q18" s="29" t="inlineStr">
        <is>
          <t>⚠</t>
        </is>
      </c>
      <c r="R18" s="29" t="inlineStr">
        <is>
          <t>B</t>
        </is>
      </c>
      <c r="S18" s="26" t="inlineStr">
        <is>
          <t>Proven budget PLA; cardboard spool requires AMS Adapter Ring on all variants</t>
        </is>
      </c>
      <c r="T18" s="26" t="inlineStr">
        <is>
          <t>Glow-in-the-dark; cardboard spool — AMS Adapter Ring required</t>
        </is>
      </c>
    </row>
    <row r="19" ht="20" customHeight="1">
      <c r="A19" s="23" t="inlineStr">
        <is>
          <t>PLA</t>
        </is>
      </c>
      <c r="B19" s="23" t="inlineStr">
        <is>
          <t>HX-PLA175-GLG</t>
        </is>
      </c>
      <c r="C19" s="23" t="inlineStr">
        <is>
          <t>Hatchbox PLA</t>
        </is>
      </c>
      <c r="D19" s="23" t="inlineStr">
        <is>
          <t>Glow Green</t>
        </is>
      </c>
      <c r="E19" s="48" t="inlineStr"/>
      <c r="F19" s="49" t="inlineStr">
        <is>
          <t>#39FF14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Cardboard</t>
        </is>
      </c>
      <c r="J19" s="16" t="inlineStr">
        <is>
          <t>Yes</t>
        </is>
      </c>
      <c r="K19" s="16" t="inlineStr">
        <is>
          <t>180–220°C</t>
        </is>
      </c>
      <c r="L19" s="16" t="inlineStr">
        <is>
          <t>50–60°C</t>
        </is>
      </c>
      <c r="M19" s="16" t="inlineStr">
        <is>
          <t>45°C / 4h</t>
        </is>
      </c>
      <c r="N19" s="16" t="inlineStr">
        <is>
          <t>⚠</t>
        </is>
      </c>
      <c r="O19" s="16" t="inlineStr">
        <is>
          <t>⚠</t>
        </is>
      </c>
      <c r="P19" s="16" t="inlineStr">
        <is>
          <t>⚠</t>
        </is>
      </c>
      <c r="Q19" s="16" t="inlineStr">
        <is>
          <t>⚠</t>
        </is>
      </c>
      <c r="R19" s="16" t="inlineStr">
        <is>
          <t>B</t>
        </is>
      </c>
      <c r="S19" s="23" t="inlineStr">
        <is>
          <t>Proven budget PLA; cardboard spool requires AMS Adapter Ring on all variants</t>
        </is>
      </c>
      <c r="T19" s="23" t="inlineStr">
        <is>
          <t>Glow-in-the-dark; cardboard spool — AMS Adapter Ring required</t>
        </is>
      </c>
    </row>
    <row r="20" ht="20" customHeight="1">
      <c r="A20" s="26" t="inlineStr">
        <is>
          <t>PLA</t>
        </is>
      </c>
      <c r="B20" s="26" t="inlineStr">
        <is>
          <t>HX-PLA175-GD</t>
        </is>
      </c>
      <c r="C20" s="26" t="inlineStr">
        <is>
          <t>Hatchbox PLA</t>
        </is>
      </c>
      <c r="D20" s="26" t="inlineStr">
        <is>
          <t>Gold</t>
        </is>
      </c>
      <c r="E20" s="50" t="inlineStr"/>
      <c r="F20" s="51" t="inlineStr">
        <is>
          <t>#D4A017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Cardboard</t>
        </is>
      </c>
      <c r="J20" s="29" t="inlineStr">
        <is>
          <t>Yes</t>
        </is>
      </c>
      <c r="K20" s="29" t="inlineStr">
        <is>
          <t>180–220°C</t>
        </is>
      </c>
      <c r="L20" s="29" t="inlineStr">
        <is>
          <t>50–60°C</t>
        </is>
      </c>
      <c r="M20" s="29" t="inlineStr">
        <is>
          <t>45°C / 4h</t>
        </is>
      </c>
      <c r="N20" s="29" t="inlineStr">
        <is>
          <t>⚠</t>
        </is>
      </c>
      <c r="O20" s="29" t="inlineStr">
        <is>
          <t>⚠</t>
        </is>
      </c>
      <c r="P20" s="29" t="inlineStr">
        <is>
          <t>⚠</t>
        </is>
      </c>
      <c r="Q20" s="29" t="inlineStr">
        <is>
          <t>⚠</t>
        </is>
      </c>
      <c r="R20" s="29" t="inlineStr">
        <is>
          <t>B</t>
        </is>
      </c>
      <c r="S20" s="26" t="inlineStr">
        <is>
          <t>Proven budget PLA; cardboard spool requires AMS Adapter Ring on all variants</t>
        </is>
      </c>
      <c r="T20" s="26" t="inlineStr">
        <is>
          <t>Cardboard spool — AMS Adapter Ring required for all AMS variants</t>
        </is>
      </c>
    </row>
    <row r="21" ht="20" customHeight="1">
      <c r="A21" s="23" t="inlineStr">
        <is>
          <t>PLA</t>
        </is>
      </c>
      <c r="B21" s="23" t="inlineStr">
        <is>
          <t>HX-PLA175-GY</t>
        </is>
      </c>
      <c r="C21" s="23" t="inlineStr">
        <is>
          <t>Hatchbox PLA</t>
        </is>
      </c>
      <c r="D21" s="23" t="inlineStr">
        <is>
          <t>Gray</t>
        </is>
      </c>
      <c r="E21" s="27" t="inlineStr"/>
      <c r="F21" s="28" t="inlineStr">
        <is>
          <t>#808080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Cardboard</t>
        </is>
      </c>
      <c r="J21" s="16" t="inlineStr">
        <is>
          <t>Yes</t>
        </is>
      </c>
      <c r="K21" s="16" t="inlineStr">
        <is>
          <t>180–220°C</t>
        </is>
      </c>
      <c r="L21" s="16" t="inlineStr">
        <is>
          <t>50–60°C</t>
        </is>
      </c>
      <c r="M21" s="16" t="inlineStr">
        <is>
          <t>45°C / 4h</t>
        </is>
      </c>
      <c r="N21" s="16" t="inlineStr">
        <is>
          <t>⚠</t>
        </is>
      </c>
      <c r="O21" s="16" t="inlineStr">
        <is>
          <t>⚠</t>
        </is>
      </c>
      <c r="P21" s="16" t="inlineStr">
        <is>
          <t>⚠</t>
        </is>
      </c>
      <c r="Q21" s="16" t="inlineStr">
        <is>
          <t>⚠</t>
        </is>
      </c>
      <c r="R21" s="16" t="inlineStr">
        <is>
          <t>B</t>
        </is>
      </c>
      <c r="S21" s="23" t="inlineStr">
        <is>
          <t>Proven budget PLA; cardboard spool requires AMS Adapter Ring on all variants</t>
        </is>
      </c>
      <c r="T21" s="23" t="inlineStr">
        <is>
          <t>Cardboard spool — AMS Adapter Ring required for all AMS variants</t>
        </is>
      </c>
    </row>
    <row r="22" ht="20" customHeight="1">
      <c r="A22" s="26" t="inlineStr">
        <is>
          <t>PLA</t>
        </is>
      </c>
      <c r="B22" s="26" t="inlineStr">
        <is>
          <t>HX-PLA175-GN</t>
        </is>
      </c>
      <c r="C22" s="26" t="inlineStr">
        <is>
          <t>Hatchbox PLA</t>
        </is>
      </c>
      <c r="D22" s="26" t="inlineStr">
        <is>
          <t>Green</t>
        </is>
      </c>
      <c r="E22" s="52" t="inlineStr"/>
      <c r="F22" s="53" t="inlineStr">
        <is>
          <t>#2E8B57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Cardboard</t>
        </is>
      </c>
      <c r="J22" s="29" t="inlineStr">
        <is>
          <t>Yes</t>
        </is>
      </c>
      <c r="K22" s="29" t="inlineStr">
        <is>
          <t>180–220°C</t>
        </is>
      </c>
      <c r="L22" s="29" t="inlineStr">
        <is>
          <t>50–60°C</t>
        </is>
      </c>
      <c r="M22" s="29" t="inlineStr">
        <is>
          <t>45°C / 4h</t>
        </is>
      </c>
      <c r="N22" s="29" t="inlineStr">
        <is>
          <t>⚠</t>
        </is>
      </c>
      <c r="O22" s="29" t="inlineStr">
        <is>
          <t>⚠</t>
        </is>
      </c>
      <c r="P22" s="29" t="inlineStr">
        <is>
          <t>⚠</t>
        </is>
      </c>
      <c r="Q22" s="29" t="inlineStr">
        <is>
          <t>⚠</t>
        </is>
      </c>
      <c r="R22" s="29" t="inlineStr">
        <is>
          <t>B</t>
        </is>
      </c>
      <c r="S22" s="26" t="inlineStr">
        <is>
          <t>Proven budget PLA; cardboard spool requires AMS Adapter Ring on all variants</t>
        </is>
      </c>
      <c r="T22" s="26" t="inlineStr">
        <is>
          <t>Cardboard spool — AMS Adapter Ring required for all AMS variants</t>
        </is>
      </c>
    </row>
    <row r="23" ht="20" customHeight="1">
      <c r="A23" s="23" t="inlineStr">
        <is>
          <t>PLA</t>
        </is>
      </c>
      <c r="B23" s="23" t="inlineStr">
        <is>
          <t>HX-PLA175-LB</t>
        </is>
      </c>
      <c r="C23" s="23" t="inlineStr">
        <is>
          <t>Hatchbox PLA</t>
        </is>
      </c>
      <c r="D23" s="23" t="inlineStr">
        <is>
          <t>Light Blue</t>
        </is>
      </c>
      <c r="E23" s="54" t="inlineStr"/>
      <c r="F23" s="55" t="inlineStr">
        <is>
          <t>#ADD8E6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Cardboard</t>
        </is>
      </c>
      <c r="J23" s="16" t="inlineStr">
        <is>
          <t>Yes</t>
        </is>
      </c>
      <c r="K23" s="16" t="inlineStr">
        <is>
          <t>180–220°C</t>
        </is>
      </c>
      <c r="L23" s="16" t="inlineStr">
        <is>
          <t>50–60°C</t>
        </is>
      </c>
      <c r="M23" s="16" t="inlineStr">
        <is>
          <t>45°C / 4h</t>
        </is>
      </c>
      <c r="N23" s="16" t="inlineStr">
        <is>
          <t>⚠</t>
        </is>
      </c>
      <c r="O23" s="16" t="inlineStr">
        <is>
          <t>⚠</t>
        </is>
      </c>
      <c r="P23" s="16" t="inlineStr">
        <is>
          <t>⚠</t>
        </is>
      </c>
      <c r="Q23" s="16" t="inlineStr">
        <is>
          <t>⚠</t>
        </is>
      </c>
      <c r="R23" s="16" t="inlineStr">
        <is>
          <t>B</t>
        </is>
      </c>
      <c r="S23" s="23" t="inlineStr">
        <is>
          <t>Proven budget PLA; cardboard spool requires AMS Adapter Ring on all variants</t>
        </is>
      </c>
      <c r="T23" s="23" t="inlineStr">
        <is>
          <t>Cardboard spool — AMS Adapter Ring required for all AMS variants</t>
        </is>
      </c>
    </row>
    <row r="24" ht="20" customHeight="1">
      <c r="A24" s="26" t="inlineStr">
        <is>
          <t>PLA</t>
        </is>
      </c>
      <c r="B24" s="26" t="inlineStr">
        <is>
          <t>HX-PLA175-MRB</t>
        </is>
      </c>
      <c r="C24" s="26" t="inlineStr">
        <is>
          <t>Hatchbox PLA</t>
        </is>
      </c>
      <c r="D24" s="26" t="inlineStr">
        <is>
          <t>Marble</t>
        </is>
      </c>
      <c r="E24" s="56" t="inlineStr"/>
      <c r="F24" s="57" t="inlineStr">
        <is>
          <t>#E8E8E8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Cardboard</t>
        </is>
      </c>
      <c r="J24" s="29" t="inlineStr">
        <is>
          <t>Yes</t>
        </is>
      </c>
      <c r="K24" s="29" t="inlineStr">
        <is>
          <t>180–220°C</t>
        </is>
      </c>
      <c r="L24" s="29" t="inlineStr">
        <is>
          <t>50–60°C</t>
        </is>
      </c>
      <c r="M24" s="29" t="inlineStr">
        <is>
          <t>45°C / 4h</t>
        </is>
      </c>
      <c r="N24" s="29" t="inlineStr">
        <is>
          <t>⚠</t>
        </is>
      </c>
      <c r="O24" s="29" t="inlineStr">
        <is>
          <t>⚠</t>
        </is>
      </c>
      <c r="P24" s="29" t="inlineStr">
        <is>
          <t>⚠</t>
        </is>
      </c>
      <c r="Q24" s="29" t="inlineStr">
        <is>
          <t>⚠</t>
        </is>
      </c>
      <c r="R24" s="29" t="inlineStr">
        <is>
          <t>B</t>
        </is>
      </c>
      <c r="S24" s="26" t="inlineStr">
        <is>
          <t>Proven budget PLA; cardboard spool requires AMS Adapter Ring on all variants</t>
        </is>
      </c>
      <c r="T24" s="26" t="inlineStr">
        <is>
          <t>Marble composite; slightly abrasive; cardboard spool — adapter ring required</t>
        </is>
      </c>
    </row>
    <row r="25" ht="20" customHeight="1">
      <c r="A25" s="23" t="inlineStr">
        <is>
          <t>PLA</t>
        </is>
      </c>
      <c r="B25" s="23" t="inlineStr">
        <is>
          <t>HX-PLA175-NVB</t>
        </is>
      </c>
      <c r="C25" s="23" t="inlineStr">
        <is>
          <t>Hatchbox PLA</t>
        </is>
      </c>
      <c r="D25" s="23" t="inlineStr">
        <is>
          <t>Navy Blue</t>
        </is>
      </c>
      <c r="E25" s="58" t="inlineStr"/>
      <c r="F25" s="59" t="inlineStr">
        <is>
          <t>#1A2A5A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Cardboard</t>
        </is>
      </c>
      <c r="J25" s="16" t="inlineStr">
        <is>
          <t>Yes</t>
        </is>
      </c>
      <c r="K25" s="16" t="inlineStr">
        <is>
          <t>180–220°C</t>
        </is>
      </c>
      <c r="L25" s="16" t="inlineStr">
        <is>
          <t>50–60°C</t>
        </is>
      </c>
      <c r="M25" s="16" t="inlineStr">
        <is>
          <t>45°C / 4h</t>
        </is>
      </c>
      <c r="N25" s="16" t="inlineStr">
        <is>
          <t>⚠</t>
        </is>
      </c>
      <c r="O25" s="16" t="inlineStr">
        <is>
          <t>⚠</t>
        </is>
      </c>
      <c r="P25" s="16" t="inlineStr">
        <is>
          <t>⚠</t>
        </is>
      </c>
      <c r="Q25" s="16" t="inlineStr">
        <is>
          <t>⚠</t>
        </is>
      </c>
      <c r="R25" s="16" t="inlineStr">
        <is>
          <t>B</t>
        </is>
      </c>
      <c r="S25" s="23" t="inlineStr">
        <is>
          <t>Proven budget PLA; cardboard spool requires AMS Adapter Ring on all variants</t>
        </is>
      </c>
      <c r="T25" s="23" t="inlineStr">
        <is>
          <t>Cardboard spool — AMS Adapter Ring required for all AMS variants</t>
        </is>
      </c>
    </row>
    <row r="26" ht="20" customHeight="1">
      <c r="A26" s="26" t="inlineStr">
        <is>
          <t>PLA</t>
        </is>
      </c>
      <c r="B26" s="26" t="inlineStr">
        <is>
          <t>HX-PLA175-OR</t>
        </is>
      </c>
      <c r="C26" s="26" t="inlineStr">
        <is>
          <t>Hatchbox PLA</t>
        </is>
      </c>
      <c r="D26" s="26" t="inlineStr">
        <is>
          <t>Orange</t>
        </is>
      </c>
      <c r="E26" s="60" t="inlineStr"/>
      <c r="F26" s="61" t="inlineStr">
        <is>
          <t>#F5821F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Cardboard</t>
        </is>
      </c>
      <c r="J26" s="29" t="inlineStr">
        <is>
          <t>Yes</t>
        </is>
      </c>
      <c r="K26" s="29" t="inlineStr">
        <is>
          <t>180–220°C</t>
        </is>
      </c>
      <c r="L26" s="29" t="inlineStr">
        <is>
          <t>50–60°C</t>
        </is>
      </c>
      <c r="M26" s="29" t="inlineStr">
        <is>
          <t>45°C / 4h</t>
        </is>
      </c>
      <c r="N26" s="29" t="inlineStr">
        <is>
          <t>⚠</t>
        </is>
      </c>
      <c r="O26" s="29" t="inlineStr">
        <is>
          <t>⚠</t>
        </is>
      </c>
      <c r="P26" s="29" t="inlineStr">
        <is>
          <t>⚠</t>
        </is>
      </c>
      <c r="Q26" s="29" t="inlineStr">
        <is>
          <t>⚠</t>
        </is>
      </c>
      <c r="R26" s="29" t="inlineStr">
        <is>
          <t>B</t>
        </is>
      </c>
      <c r="S26" s="26" t="inlineStr">
        <is>
          <t>Proven budget PLA; cardboard spool requires AMS Adapter Ring on all variants</t>
        </is>
      </c>
      <c r="T26" s="26" t="inlineStr">
        <is>
          <t>Cardboard spool — AMS Adapter Ring required for all AMS variants</t>
        </is>
      </c>
    </row>
    <row r="27" ht="20" customHeight="1">
      <c r="A27" s="23" t="inlineStr">
        <is>
          <t>PLA</t>
        </is>
      </c>
      <c r="B27" s="23" t="inlineStr">
        <is>
          <t>HX-PLA175-PK</t>
        </is>
      </c>
      <c r="C27" s="23" t="inlineStr">
        <is>
          <t>Hatchbox PLA</t>
        </is>
      </c>
      <c r="D27" s="23" t="inlineStr">
        <is>
          <t>Pink</t>
        </is>
      </c>
      <c r="E27" s="62" t="inlineStr"/>
      <c r="F27" s="63" t="inlineStr">
        <is>
          <t>#FF69B4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Cardboard</t>
        </is>
      </c>
      <c r="J27" s="16" t="inlineStr">
        <is>
          <t>Yes</t>
        </is>
      </c>
      <c r="K27" s="16" t="inlineStr">
        <is>
          <t>180–220°C</t>
        </is>
      </c>
      <c r="L27" s="16" t="inlineStr">
        <is>
          <t>50–60°C</t>
        </is>
      </c>
      <c r="M27" s="16" t="inlineStr">
        <is>
          <t>45°C / 4h</t>
        </is>
      </c>
      <c r="N27" s="16" t="inlineStr">
        <is>
          <t>⚠</t>
        </is>
      </c>
      <c r="O27" s="16" t="inlineStr">
        <is>
          <t>⚠</t>
        </is>
      </c>
      <c r="P27" s="16" t="inlineStr">
        <is>
          <t>⚠</t>
        </is>
      </c>
      <c r="Q27" s="16" t="inlineStr">
        <is>
          <t>⚠</t>
        </is>
      </c>
      <c r="R27" s="16" t="inlineStr">
        <is>
          <t>B</t>
        </is>
      </c>
      <c r="S27" s="23" t="inlineStr">
        <is>
          <t>Proven budget PLA; cardboard spool requires AMS Adapter Ring on all variants</t>
        </is>
      </c>
      <c r="T27" s="23" t="inlineStr">
        <is>
          <t>Cardboard spool — AMS Adapter Ring required for all AMS variants</t>
        </is>
      </c>
    </row>
    <row r="28" ht="20" customHeight="1">
      <c r="A28" s="26" t="inlineStr">
        <is>
          <t>PLA</t>
        </is>
      </c>
      <c r="B28" s="26" t="inlineStr">
        <is>
          <t>HX-PLA175-PU</t>
        </is>
      </c>
      <c r="C28" s="26" t="inlineStr">
        <is>
          <t>Hatchbox PLA</t>
        </is>
      </c>
      <c r="D28" s="26" t="inlineStr">
        <is>
          <t>Purple</t>
        </is>
      </c>
      <c r="E28" s="64" t="inlineStr"/>
      <c r="F28" s="65" t="inlineStr">
        <is>
          <t>#6A0DAD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Cardboard</t>
        </is>
      </c>
      <c r="J28" s="29" t="inlineStr">
        <is>
          <t>Yes</t>
        </is>
      </c>
      <c r="K28" s="29" t="inlineStr">
        <is>
          <t>180–220°C</t>
        </is>
      </c>
      <c r="L28" s="29" t="inlineStr">
        <is>
          <t>50–60°C</t>
        </is>
      </c>
      <c r="M28" s="29" t="inlineStr">
        <is>
          <t>45°C / 4h</t>
        </is>
      </c>
      <c r="N28" s="29" t="inlineStr">
        <is>
          <t>⚠</t>
        </is>
      </c>
      <c r="O28" s="29" t="inlineStr">
        <is>
          <t>⚠</t>
        </is>
      </c>
      <c r="P28" s="29" t="inlineStr">
        <is>
          <t>⚠</t>
        </is>
      </c>
      <c r="Q28" s="29" t="inlineStr">
        <is>
          <t>⚠</t>
        </is>
      </c>
      <c r="R28" s="29" t="inlineStr">
        <is>
          <t>B</t>
        </is>
      </c>
      <c r="S28" s="26" t="inlineStr">
        <is>
          <t>Proven budget PLA; cardboard spool requires AMS Adapter Ring on all variants</t>
        </is>
      </c>
      <c r="T28" s="26" t="inlineStr">
        <is>
          <t>Cardboard spool — AMS Adapter Ring required for all AMS variants</t>
        </is>
      </c>
    </row>
    <row r="29" ht="20" customHeight="1">
      <c r="A29" s="23" t="inlineStr">
        <is>
          <t>PLA</t>
        </is>
      </c>
      <c r="B29" s="23" t="inlineStr">
        <is>
          <t>HX-PLA175-RD</t>
        </is>
      </c>
      <c r="C29" s="23" t="inlineStr">
        <is>
          <t>Hatchbox PLA</t>
        </is>
      </c>
      <c r="D29" s="23" t="inlineStr">
        <is>
          <t>Red</t>
        </is>
      </c>
      <c r="E29" s="38" t="inlineStr"/>
      <c r="F29" s="39" t="inlineStr">
        <is>
          <t>#CC0000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Cardboard</t>
        </is>
      </c>
      <c r="J29" s="16" t="inlineStr">
        <is>
          <t>Yes</t>
        </is>
      </c>
      <c r="K29" s="16" t="inlineStr">
        <is>
          <t>180–220°C</t>
        </is>
      </c>
      <c r="L29" s="16" t="inlineStr">
        <is>
          <t>50–60°C</t>
        </is>
      </c>
      <c r="M29" s="16" t="inlineStr">
        <is>
          <t>45°C / 4h</t>
        </is>
      </c>
      <c r="N29" s="16" t="inlineStr">
        <is>
          <t>⚠</t>
        </is>
      </c>
      <c r="O29" s="16" t="inlineStr">
        <is>
          <t>⚠</t>
        </is>
      </c>
      <c r="P29" s="16" t="inlineStr">
        <is>
          <t>⚠</t>
        </is>
      </c>
      <c r="Q29" s="16" t="inlineStr">
        <is>
          <t>⚠</t>
        </is>
      </c>
      <c r="R29" s="16" t="inlineStr">
        <is>
          <t>B</t>
        </is>
      </c>
      <c r="S29" s="23" t="inlineStr">
        <is>
          <t>Proven budget PLA; cardboard spool requires AMS Adapter Ring on all variants</t>
        </is>
      </c>
      <c r="T29" s="23" t="inlineStr">
        <is>
          <t>Cardboard spool — AMS Adapter Ring required for all AMS variants</t>
        </is>
      </c>
    </row>
    <row r="30" ht="20" customHeight="1">
      <c r="A30" s="26" t="inlineStr">
        <is>
          <t>PLA</t>
        </is>
      </c>
      <c r="B30" s="26" t="inlineStr">
        <is>
          <t>HX-PLA175-SLKG</t>
        </is>
      </c>
      <c r="C30" s="26" t="inlineStr">
        <is>
          <t>Hatchbox PLA</t>
        </is>
      </c>
      <c r="D30" s="26" t="inlineStr">
        <is>
          <t>Silk Gold</t>
        </is>
      </c>
      <c r="E30" s="50" t="inlineStr"/>
      <c r="F30" s="51" t="inlineStr">
        <is>
          <t>#D4A017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Cardboard</t>
        </is>
      </c>
      <c r="J30" s="29" t="inlineStr">
        <is>
          <t>Yes</t>
        </is>
      </c>
      <c r="K30" s="29" t="inlineStr">
        <is>
          <t>180–220°C</t>
        </is>
      </c>
      <c r="L30" s="29" t="inlineStr">
        <is>
          <t>50–60°C</t>
        </is>
      </c>
      <c r="M30" s="29" t="inlineStr">
        <is>
          <t>45°C / 4h</t>
        </is>
      </c>
      <c r="N30" s="29" t="inlineStr">
        <is>
          <t>⚠</t>
        </is>
      </c>
      <c r="O30" s="29" t="inlineStr">
        <is>
          <t>⚠</t>
        </is>
      </c>
      <c r="P30" s="29" t="inlineStr">
        <is>
          <t>⚠</t>
        </is>
      </c>
      <c r="Q30" s="29" t="inlineStr">
        <is>
          <t>⚠</t>
        </is>
      </c>
      <c r="R30" s="29" t="inlineStr">
        <is>
          <t>B</t>
        </is>
      </c>
      <c r="S30" s="26" t="inlineStr">
        <is>
          <t>Proven budget PLA; cardboard spool requires AMS Adapter Ring on all variants</t>
        </is>
      </c>
      <c r="T30" s="26" t="inlineStr">
        <is>
          <t>Silk finish; cardboard spool</t>
        </is>
      </c>
    </row>
    <row r="31" ht="20" customHeight="1">
      <c r="A31" s="23" t="inlineStr">
        <is>
          <t>PLA</t>
        </is>
      </c>
      <c r="B31" s="23" t="inlineStr">
        <is>
          <t>HX-PLA175-SV</t>
        </is>
      </c>
      <c r="C31" s="23" t="inlineStr">
        <is>
          <t>Hatchbox PLA</t>
        </is>
      </c>
      <c r="D31" s="23" t="inlineStr">
        <is>
          <t>Silver</t>
        </is>
      </c>
      <c r="E31" s="66" t="inlineStr"/>
      <c r="F31" s="67" t="inlineStr">
        <is>
          <t>#C0C0C0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Cardboard</t>
        </is>
      </c>
      <c r="J31" s="16" t="inlineStr">
        <is>
          <t>Yes</t>
        </is>
      </c>
      <c r="K31" s="16" t="inlineStr">
        <is>
          <t>180–220°C</t>
        </is>
      </c>
      <c r="L31" s="16" t="inlineStr">
        <is>
          <t>50–60°C</t>
        </is>
      </c>
      <c r="M31" s="16" t="inlineStr">
        <is>
          <t>45°C / 4h</t>
        </is>
      </c>
      <c r="N31" s="16" t="inlineStr">
        <is>
          <t>⚠</t>
        </is>
      </c>
      <c r="O31" s="16" t="inlineStr">
        <is>
          <t>⚠</t>
        </is>
      </c>
      <c r="P31" s="16" t="inlineStr">
        <is>
          <t>⚠</t>
        </is>
      </c>
      <c r="Q31" s="16" t="inlineStr">
        <is>
          <t>⚠</t>
        </is>
      </c>
      <c r="R31" s="16" t="inlineStr">
        <is>
          <t>B</t>
        </is>
      </c>
      <c r="S31" s="23" t="inlineStr">
        <is>
          <t>Proven budget PLA; cardboard spool requires AMS Adapter Ring on all variants</t>
        </is>
      </c>
      <c r="T31" s="23" t="inlineStr">
        <is>
          <t>Cardboard spool — AMS Adapter Ring required for all AMS variants</t>
        </is>
      </c>
    </row>
    <row r="32" ht="20" customHeight="1">
      <c r="A32" s="26" t="inlineStr">
        <is>
          <t>PLA</t>
        </is>
      </c>
      <c r="B32" s="26" t="inlineStr">
        <is>
          <t>HX-PLA175-TRW</t>
        </is>
      </c>
      <c r="C32" s="26" t="inlineStr">
        <is>
          <t>Hatchbox PLA</t>
        </is>
      </c>
      <c r="D32" s="26" t="inlineStr">
        <is>
          <t>True White</t>
        </is>
      </c>
      <c r="E32" s="68" t="inlineStr"/>
      <c r="F32" s="69" t="inlineStr">
        <is>
          <t>#FAFAFA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Cardboard</t>
        </is>
      </c>
      <c r="J32" s="29" t="inlineStr">
        <is>
          <t>Yes</t>
        </is>
      </c>
      <c r="K32" s="29" t="inlineStr">
        <is>
          <t>180–220°C</t>
        </is>
      </c>
      <c r="L32" s="29" t="inlineStr">
        <is>
          <t>50–60°C</t>
        </is>
      </c>
      <c r="M32" s="29" t="inlineStr">
        <is>
          <t>45°C / 4h</t>
        </is>
      </c>
      <c r="N32" s="29" t="inlineStr">
        <is>
          <t>⚠</t>
        </is>
      </c>
      <c r="O32" s="29" t="inlineStr">
        <is>
          <t>⚠</t>
        </is>
      </c>
      <c r="P32" s="29" t="inlineStr">
        <is>
          <t>⚠</t>
        </is>
      </c>
      <c r="Q32" s="29" t="inlineStr">
        <is>
          <t>⚠</t>
        </is>
      </c>
      <c r="R32" s="29" t="inlineStr">
        <is>
          <t>B</t>
        </is>
      </c>
      <c r="S32" s="26" t="inlineStr">
        <is>
          <t>Proven budget PLA; cardboard spool requires AMS Adapter Ring on all variants</t>
        </is>
      </c>
      <c r="T32" s="26" t="inlineStr">
        <is>
          <t>Cardboard spool — AMS Adapter Ring required for all AMS variants</t>
        </is>
      </c>
    </row>
    <row r="33" ht="20" customHeight="1">
      <c r="A33" s="23" t="inlineStr">
        <is>
          <t>PLA</t>
        </is>
      </c>
      <c r="B33" s="23" t="inlineStr">
        <is>
          <t>HX-PLA175-WH</t>
        </is>
      </c>
      <c r="C33" s="23" t="inlineStr">
        <is>
          <t>Hatchbox PLA</t>
        </is>
      </c>
      <c r="D33" s="23" t="inlineStr">
        <is>
          <t>White</t>
        </is>
      </c>
      <c r="E33" s="30" t="inlineStr"/>
      <c r="F33" s="31" t="inlineStr">
        <is>
          <t>#F5F5F5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Cardboard</t>
        </is>
      </c>
      <c r="J33" s="16" t="inlineStr">
        <is>
          <t>Yes</t>
        </is>
      </c>
      <c r="K33" s="16" t="inlineStr">
        <is>
          <t>180–220°C</t>
        </is>
      </c>
      <c r="L33" s="16" t="inlineStr">
        <is>
          <t>50–60°C</t>
        </is>
      </c>
      <c r="M33" s="16" t="inlineStr">
        <is>
          <t>45°C / 4h</t>
        </is>
      </c>
      <c r="N33" s="16" t="inlineStr">
        <is>
          <t>⚠</t>
        </is>
      </c>
      <c r="O33" s="16" t="inlineStr">
        <is>
          <t>⚠</t>
        </is>
      </c>
      <c r="P33" s="16" t="inlineStr">
        <is>
          <t>⚠</t>
        </is>
      </c>
      <c r="Q33" s="16" t="inlineStr">
        <is>
          <t>⚠</t>
        </is>
      </c>
      <c r="R33" s="16" t="inlineStr">
        <is>
          <t>B</t>
        </is>
      </c>
      <c r="S33" s="23" t="inlineStr">
        <is>
          <t>Proven budget PLA; cardboard spool requires AMS Adapter Ring on all variants</t>
        </is>
      </c>
      <c r="T33" s="23" t="inlineStr">
        <is>
          <t>Cardboard spool — AMS Adapter Ring required for all AMS variants</t>
        </is>
      </c>
    </row>
    <row r="34" ht="20" customHeight="1">
      <c r="A34" s="26" t="inlineStr">
        <is>
          <t>PLA</t>
        </is>
      </c>
      <c r="B34" s="26" t="inlineStr">
        <is>
          <t>HX-PLA175-WD</t>
        </is>
      </c>
      <c r="C34" s="26" t="inlineStr">
        <is>
          <t>Hatchbox PLA</t>
        </is>
      </c>
      <c r="D34" s="26" t="inlineStr">
        <is>
          <t>Wood</t>
        </is>
      </c>
      <c r="E34" s="70" t="inlineStr"/>
      <c r="F34" s="71" t="inlineStr">
        <is>
          <t>#A0785A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Cardboard</t>
        </is>
      </c>
      <c r="J34" s="29" t="inlineStr">
        <is>
          <t>Yes</t>
        </is>
      </c>
      <c r="K34" s="29" t="inlineStr">
        <is>
          <t>180–220°C</t>
        </is>
      </c>
      <c r="L34" s="29" t="inlineStr">
        <is>
          <t>50–60°C</t>
        </is>
      </c>
      <c r="M34" s="29" t="inlineStr">
        <is>
          <t>45°C / 4h</t>
        </is>
      </c>
      <c r="N34" s="29" t="inlineStr">
        <is>
          <t>⚠</t>
        </is>
      </c>
      <c r="O34" s="29" t="inlineStr">
        <is>
          <t>⚠</t>
        </is>
      </c>
      <c r="P34" s="29" t="inlineStr">
        <is>
          <t>⚠</t>
        </is>
      </c>
      <c r="Q34" s="29" t="inlineStr">
        <is>
          <t>⚠</t>
        </is>
      </c>
      <c r="R34" s="29" t="inlineStr">
        <is>
          <t>B</t>
        </is>
      </c>
      <c r="S34" s="26" t="inlineStr">
        <is>
          <t>Proven budget PLA; cardboard spool requires AMS Adapter Ring on all variants</t>
        </is>
      </c>
      <c r="T34" s="26" t="inlineStr">
        <is>
          <t>Wood-composite; cardboard spool + slightly abrasive — monitor nozzle wear</t>
        </is>
      </c>
    </row>
    <row r="35" ht="20" customHeight="1">
      <c r="A35" s="23" t="inlineStr">
        <is>
          <t>PLA</t>
        </is>
      </c>
      <c r="B35" s="23" t="inlineStr">
        <is>
          <t>HX-PLA175-YL</t>
        </is>
      </c>
      <c r="C35" s="23" t="inlineStr">
        <is>
          <t>Hatchbox PLA</t>
        </is>
      </c>
      <c r="D35" s="23" t="inlineStr">
        <is>
          <t>Yellow</t>
        </is>
      </c>
      <c r="E35" s="72" t="inlineStr"/>
      <c r="F35" s="73" t="inlineStr">
        <is>
          <t>#F5C518</t>
        </is>
      </c>
      <c r="G35" s="16" t="inlineStr">
        <is>
          <t>1.75mm</t>
        </is>
      </c>
      <c r="H35" s="16" t="inlineStr">
        <is>
          <t>±0.03mm</t>
        </is>
      </c>
      <c r="I35" s="16" t="inlineStr">
        <is>
          <t>Cardboard</t>
        </is>
      </c>
      <c r="J35" s="16" t="inlineStr">
        <is>
          <t>Yes</t>
        </is>
      </c>
      <c r="K35" s="16" t="inlineStr">
        <is>
          <t>180–220°C</t>
        </is>
      </c>
      <c r="L35" s="16" t="inlineStr">
        <is>
          <t>50–60°C</t>
        </is>
      </c>
      <c r="M35" s="16" t="inlineStr">
        <is>
          <t>45°C / 4h</t>
        </is>
      </c>
      <c r="N35" s="16" t="inlineStr">
        <is>
          <t>⚠</t>
        </is>
      </c>
      <c r="O35" s="16" t="inlineStr">
        <is>
          <t>⚠</t>
        </is>
      </c>
      <c r="P35" s="16" t="inlineStr">
        <is>
          <t>⚠</t>
        </is>
      </c>
      <c r="Q35" s="16" t="inlineStr">
        <is>
          <t>⚠</t>
        </is>
      </c>
      <c r="R35" s="16" t="inlineStr">
        <is>
          <t>B</t>
        </is>
      </c>
      <c r="S35" s="23" t="inlineStr">
        <is>
          <t>Proven budget PLA; cardboard spool requires AMS Adapter Ring on all variants</t>
        </is>
      </c>
      <c r="T35" s="23" t="inlineStr">
        <is>
          <t>Cardboard spool — AMS Adapter Ring required for all AMS variants</t>
        </is>
      </c>
    </row>
    <row r="36" ht="20" customHeight="1">
      <c r="A36" s="26" t="inlineStr">
        <is>
          <t>PLA (MAX)</t>
        </is>
      </c>
      <c r="B36" s="26" t="inlineStr">
        <is>
          <t>HX-MAX-01</t>
        </is>
      </c>
      <c r="C36" s="26" t="inlineStr">
        <is>
          <t>Hatchbox PLA MAX</t>
        </is>
      </c>
      <c r="D36" s="26" t="inlineStr">
        <is>
          <t>Black</t>
        </is>
      </c>
      <c r="E36" s="32" t="inlineStr"/>
      <c r="F36" s="33" t="inlineStr">
        <is>
          <t>#000000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190–220°C</t>
        </is>
      </c>
      <c r="L36" s="29" t="inlineStr">
        <is>
          <t>50–60°C</t>
        </is>
      </c>
      <c r="M36" s="29" t="inlineStr">
        <is>
          <t>45°C / 4h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C</t>
        </is>
      </c>
      <c r="S36" s="26" t="inlineStr">
        <is>
          <t>Line existence confirmed (hatchbox3d.com "SHOP USA-MADE PLA MAX"); eco-focused USA-made line, specs estimated</t>
        </is>
      </c>
      <c r="T36" s="26" t="inlineStr">
        <is>
          <t>Deep-dive follow-up 2026-07-19; NEW LINE</t>
        </is>
      </c>
    </row>
    <row r="37" ht="20" customHeight="1">
      <c r="A37" s="23" t="inlineStr">
        <is>
          <t>PLA (Performance)</t>
        </is>
      </c>
      <c r="B37" s="23" t="inlineStr">
        <is>
          <t>HX-PERF-01</t>
        </is>
      </c>
      <c r="C37" s="23" t="inlineStr">
        <is>
          <t>Hatchbox Performance PLA (PPLA)</t>
        </is>
      </c>
      <c r="D37" s="23" t="inlineStr">
        <is>
          <t>Black</t>
        </is>
      </c>
      <c r="E37" s="32" t="inlineStr"/>
      <c r="F37" s="33" t="inlineStr">
        <is>
          <t>#000000</t>
        </is>
      </c>
      <c r="G37" s="16" t="inlineStr">
        <is>
          <t>1.75mm</t>
        </is>
      </c>
      <c r="H37" s="16" t="inlineStr">
        <is>
          <t>±0.03mm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210–230°C</t>
        </is>
      </c>
      <c r="L37" s="16" t="inlineStr">
        <is>
          <t>50–60°C</t>
        </is>
      </c>
      <c r="M37" s="16" t="inlineStr">
        <is>
          <t>45°C / 4h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C</t>
        </is>
      </c>
      <c r="S37" s="23" t="inlineStr">
        <is>
          <t>Line existence confirmed (hatchbox3d.com "BLACK PERFORMANCE PLA FILAMENT"); combines ABS-like engineering properties with PLA ease of use, specs estimated</t>
        </is>
      </c>
      <c r="T37" s="23" t="inlineStr">
        <is>
          <t>Deep-dive follow-up 2026-07-19; NEW LINE</t>
        </is>
      </c>
    </row>
    <row r="38" ht="20" customHeight="1">
      <c r="A38" s="26" t="inlineStr">
        <is>
          <t>PLA Matte</t>
        </is>
      </c>
      <c r="B38" s="26" t="inlineStr">
        <is>
          <t>HX-MAT-ASH</t>
        </is>
      </c>
      <c r="C38" s="26" t="inlineStr">
        <is>
          <t>Hatchbox Matte PLA</t>
        </is>
      </c>
      <c r="D38" s="26" t="inlineStr">
        <is>
          <t>Ash Gray</t>
        </is>
      </c>
      <c r="E38" s="74" t="inlineStr"/>
      <c r="F38" s="75" t="inlineStr">
        <is>
          <t>#8A8D8F</t>
        </is>
      </c>
      <c r="G38" s="29" t="inlineStr">
        <is>
          <t>1.75mm</t>
        </is>
      </c>
      <c r="H38" s="29" t="inlineStr">
        <is>
          <t>±0.03mm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190–220°C</t>
        </is>
      </c>
      <c r="L38" s="29" t="inlineStr">
        <is>
          <t>50–60°C</t>
        </is>
      </c>
      <c r="M38" s="29" t="inlineStr">
        <is>
          <t>45°C / 4h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C</t>
        </is>
      </c>
      <c r="S38" s="26" t="inlineStr">
        <is>
          <t>Color confirmed to exist (hatchbox3d.com product tag listing); hex not independently confirmed</t>
        </is>
      </c>
      <c r="T38" s="26" t="inlineStr">
        <is>
          <t>Deep-dive follow-up 2026-07-19; Matte PLA expansion</t>
        </is>
      </c>
    </row>
    <row r="39" ht="20" customHeight="1">
      <c r="A39" s="23" t="inlineStr">
        <is>
          <t>PLA Matte</t>
        </is>
      </c>
      <c r="B39" s="23" t="inlineStr">
        <is>
          <t>HX-MAT-BAB</t>
        </is>
      </c>
      <c r="C39" s="23" t="inlineStr">
        <is>
          <t>Hatchbox Matte PLA</t>
        </is>
      </c>
      <c r="D39" s="23" t="inlineStr">
        <is>
          <t>Baby Pink</t>
        </is>
      </c>
      <c r="E39" s="76" t="inlineStr"/>
      <c r="F39" s="77" t="inlineStr">
        <is>
          <t>#F4C2C2</t>
        </is>
      </c>
      <c r="G39" s="16" t="inlineStr">
        <is>
          <t>1.75mm</t>
        </is>
      </c>
      <c r="H39" s="16" t="inlineStr">
        <is>
          <t>±0.03mm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190–220°C</t>
        </is>
      </c>
      <c r="L39" s="16" t="inlineStr">
        <is>
          <t>50–60°C</t>
        </is>
      </c>
      <c r="M39" s="16" t="inlineStr">
        <is>
          <t>45°C / 4h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C</t>
        </is>
      </c>
      <c r="S39" s="23" t="inlineStr">
        <is>
          <t>Line existence confirmed (hatchbox3d.com product listing); full color list not itemized in any source found</t>
        </is>
      </c>
      <c r="T39" s="23" t="inlineStr">
        <is>
          <t>Deep-dive follow-up 2026-07-19; NEW LINE — not previously in catalog</t>
        </is>
      </c>
    </row>
    <row r="40" ht="20" customHeight="1">
      <c r="A40" s="26" t="inlineStr">
        <is>
          <t>PLA Matte</t>
        </is>
      </c>
      <c r="B40" s="26" t="inlineStr">
        <is>
          <t>HX-MAT-BEI</t>
        </is>
      </c>
      <c r="C40" s="26" t="inlineStr">
        <is>
          <t>Hatchbox Matte PLA</t>
        </is>
      </c>
      <c r="D40" s="26" t="inlineStr">
        <is>
          <t>Beige</t>
        </is>
      </c>
      <c r="E40" s="78" t="inlineStr"/>
      <c r="F40" s="79" t="inlineStr">
        <is>
          <t>#E8D4B8</t>
        </is>
      </c>
      <c r="G40" s="29" t="inlineStr">
        <is>
          <t>1.75mm</t>
        </is>
      </c>
      <c r="H40" s="29" t="inlineStr">
        <is>
          <t>±0.03mm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190–220°C</t>
        </is>
      </c>
      <c r="L40" s="29" t="inlineStr">
        <is>
          <t>50–60°C</t>
        </is>
      </c>
      <c r="M40" s="29" t="inlineStr">
        <is>
          <t>45°C / 4h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C</t>
        </is>
      </c>
      <c r="S40" s="26" t="inlineStr">
        <is>
          <t>Line existence confirmed (hatchbox3d.com product listing); full color list not itemized in any source found</t>
        </is>
      </c>
      <c r="T40" s="26" t="inlineStr">
        <is>
          <t>Deep-dive follow-up 2026-07-19; NEW LINE — not previously in catalog</t>
        </is>
      </c>
    </row>
    <row r="41" ht="20" customHeight="1">
      <c r="A41" s="23" t="inlineStr">
        <is>
          <t>PLA Matte</t>
        </is>
      </c>
      <c r="B41" s="23" t="inlineStr">
        <is>
          <t>HX-MAT-BLA</t>
        </is>
      </c>
      <c r="C41" s="23" t="inlineStr">
        <is>
          <t>Hatchbox Matte PLA</t>
        </is>
      </c>
      <c r="D41" s="23" t="inlineStr">
        <is>
          <t>Black</t>
        </is>
      </c>
      <c r="E41" s="32" t="inlineStr"/>
      <c r="F41" s="33" t="inlineStr">
        <is>
          <t>#000000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190–220°C</t>
        </is>
      </c>
      <c r="L41" s="16" t="inlineStr">
        <is>
          <t>50–60°C</t>
        </is>
      </c>
      <c r="M41" s="16" t="inlineStr">
        <is>
          <t>45°C / 4h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C</t>
        </is>
      </c>
      <c r="S41" s="23" t="inlineStr">
        <is>
          <t>Line existence confirmed (hatchbox3d.com product listing); full color list not itemized in any source found</t>
        </is>
      </c>
      <c r="T41" s="23" t="inlineStr">
        <is>
          <t>Deep-dive follow-up 2026-07-19; NEW LINE — not previously in catalog</t>
        </is>
      </c>
    </row>
    <row r="42" ht="20" customHeight="1">
      <c r="A42" s="26" t="inlineStr">
        <is>
          <t>PLA Matte</t>
        </is>
      </c>
      <c r="B42" s="26" t="inlineStr">
        <is>
          <t>HX-MAT-BLU</t>
        </is>
      </c>
      <c r="C42" s="26" t="inlineStr">
        <is>
          <t>Hatchbox Matte PLA</t>
        </is>
      </c>
      <c r="D42" s="26" t="inlineStr">
        <is>
          <t>Blue</t>
        </is>
      </c>
      <c r="E42" s="80" t="inlineStr"/>
      <c r="F42" s="81" t="inlineStr">
        <is>
          <t>#1F5FA8</t>
        </is>
      </c>
      <c r="G42" s="29" t="inlineStr">
        <is>
          <t>1.75mm</t>
        </is>
      </c>
      <c r="H42" s="29" t="inlineStr">
        <is>
          <t>±0.03mm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190–220°C</t>
        </is>
      </c>
      <c r="L42" s="29" t="inlineStr">
        <is>
          <t>50–60°C</t>
        </is>
      </c>
      <c r="M42" s="29" t="inlineStr">
        <is>
          <t>45°C / 4h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C</t>
        </is>
      </c>
      <c r="S42" s="26" t="inlineStr">
        <is>
          <t>Line existence confirmed (hatchbox3d.com product listing); full color list not itemized in any source found</t>
        </is>
      </c>
      <c r="T42" s="26" t="inlineStr">
        <is>
          <t>Deep-dive follow-up 2026-07-19; NEW LINE — not previously in catalog</t>
        </is>
      </c>
    </row>
    <row r="43" ht="20" customHeight="1">
      <c r="A43" s="23" t="inlineStr">
        <is>
          <t>PLA Matte</t>
        </is>
      </c>
      <c r="B43" s="23" t="inlineStr">
        <is>
          <t>HX-MAT-GRE</t>
        </is>
      </c>
      <c r="C43" s="23" t="inlineStr">
        <is>
          <t>Hatchbox Matte PLA</t>
        </is>
      </c>
      <c r="D43" s="23" t="inlineStr">
        <is>
          <t>Green</t>
        </is>
      </c>
      <c r="E43" s="82" t="inlineStr"/>
      <c r="F43" s="83" t="inlineStr">
        <is>
          <t>#1DAA27</t>
        </is>
      </c>
      <c r="G43" s="16" t="inlineStr">
        <is>
          <t>1.75mm</t>
        </is>
      </c>
      <c r="H43" s="16" t="inlineStr">
        <is>
          <t>±0.03mm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190–220°C</t>
        </is>
      </c>
      <c r="L43" s="16" t="inlineStr">
        <is>
          <t>50–60°C</t>
        </is>
      </c>
      <c r="M43" s="16" t="inlineStr">
        <is>
          <t>45°C / 4h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C</t>
        </is>
      </c>
      <c r="S43" s="23" t="inlineStr">
        <is>
          <t>Color confirmed to exist (hatchbox3d.com product tag listing); hex not independently confirmed</t>
        </is>
      </c>
      <c r="T43" s="23" t="inlineStr">
        <is>
          <t>Deep-dive follow-up 2026-07-19; Matte PLA expansion</t>
        </is>
      </c>
    </row>
    <row r="44" ht="20" customHeight="1">
      <c r="A44" s="26" t="inlineStr">
        <is>
          <t>PLA Matte</t>
        </is>
      </c>
      <c r="B44" s="26" t="inlineStr">
        <is>
          <t>HX-MAT-NAV</t>
        </is>
      </c>
      <c r="C44" s="26" t="inlineStr">
        <is>
          <t>Hatchbox Matte PLA</t>
        </is>
      </c>
      <c r="D44" s="26" t="inlineStr">
        <is>
          <t>Navy Blue</t>
        </is>
      </c>
      <c r="E44" s="84" t="inlineStr"/>
      <c r="F44" s="85" t="inlineStr">
        <is>
          <t>#1F3864</t>
        </is>
      </c>
      <c r="G44" s="29" t="inlineStr">
        <is>
          <t>1.75mm</t>
        </is>
      </c>
      <c r="H44" s="29" t="inlineStr">
        <is>
          <t>±0.03mm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190–220°C</t>
        </is>
      </c>
      <c r="L44" s="29" t="inlineStr">
        <is>
          <t>50–60°C</t>
        </is>
      </c>
      <c r="M44" s="29" t="inlineStr">
        <is>
          <t>45°C / 4h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C</t>
        </is>
      </c>
      <c r="S44" s="26" t="inlineStr">
        <is>
          <t>Color confirmed to exist (hatchbox3d.com product tag listing); hex not independently confirmed</t>
        </is>
      </c>
      <c r="T44" s="26" t="inlineStr">
        <is>
          <t>Deep-dive follow-up 2026-07-19; Matte PLA expansion</t>
        </is>
      </c>
    </row>
    <row r="45" ht="20" customHeight="1">
      <c r="A45" s="23" t="inlineStr">
        <is>
          <t>PLA Matte</t>
        </is>
      </c>
      <c r="B45" s="23" t="inlineStr">
        <is>
          <t>HX-MAT-ORA</t>
        </is>
      </c>
      <c r="C45" s="23" t="inlineStr">
        <is>
          <t>Hatchbox Matte PLA</t>
        </is>
      </c>
      <c r="D45" s="23" t="inlineStr">
        <is>
          <t>Orange</t>
        </is>
      </c>
      <c r="E45" s="86" t="inlineStr"/>
      <c r="F45" s="87" t="inlineStr">
        <is>
          <t>#EA7125</t>
        </is>
      </c>
      <c r="G45" s="16" t="inlineStr">
        <is>
          <t>1.75mm</t>
        </is>
      </c>
      <c r="H45" s="16" t="inlineStr">
        <is>
          <t>±0.03mm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190–220°C</t>
        </is>
      </c>
      <c r="L45" s="16" t="inlineStr">
        <is>
          <t>50–60°C</t>
        </is>
      </c>
      <c r="M45" s="16" t="inlineStr">
        <is>
          <t>45°C / 4h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C</t>
        </is>
      </c>
      <c r="S45" s="23" t="inlineStr">
        <is>
          <t>Color confirmed to exist (hatchbox3d.com product tag listing); hex not independently confirmed</t>
        </is>
      </c>
      <c r="T45" s="23" t="inlineStr">
        <is>
          <t>Deep-dive follow-up 2026-07-19; Matte PLA expansion</t>
        </is>
      </c>
    </row>
    <row r="46" ht="20" customHeight="1">
      <c r="A46" s="26" t="inlineStr">
        <is>
          <t>PLA Matte</t>
        </is>
      </c>
      <c r="B46" s="26" t="inlineStr">
        <is>
          <t>HX-MAT-RED</t>
        </is>
      </c>
      <c r="C46" s="26" t="inlineStr">
        <is>
          <t>Hatchbox Matte PLA</t>
        </is>
      </c>
      <c r="D46" s="26" t="inlineStr">
        <is>
          <t>Red</t>
        </is>
      </c>
      <c r="E46" s="88" t="inlineStr"/>
      <c r="F46" s="89" t="inlineStr">
        <is>
          <t>#C81E2C</t>
        </is>
      </c>
      <c r="G46" s="29" t="inlineStr">
        <is>
          <t>1.75mm</t>
        </is>
      </c>
      <c r="H46" s="29" t="inlineStr">
        <is>
          <t>±0.03mm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190–220°C</t>
        </is>
      </c>
      <c r="L46" s="29" t="inlineStr">
        <is>
          <t>50–60°C</t>
        </is>
      </c>
      <c r="M46" s="29" t="inlineStr">
        <is>
          <t>45°C / 4h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C</t>
        </is>
      </c>
      <c r="S46" s="26" t="inlineStr">
        <is>
          <t>Color confirmed to exist (hatchbox3d.com product tag listing); hex not independently confirmed</t>
        </is>
      </c>
      <c r="T46" s="26" t="inlineStr">
        <is>
          <t>Deep-dive follow-up 2026-07-19; Matte PLA expansion</t>
        </is>
      </c>
    </row>
    <row r="47" ht="20" customHeight="1">
      <c r="A47" s="23" t="inlineStr">
        <is>
          <t>PLA Matte</t>
        </is>
      </c>
      <c r="B47" s="23" t="inlineStr">
        <is>
          <t>HX-MAT-SIL</t>
        </is>
      </c>
      <c r="C47" s="23" t="inlineStr">
        <is>
          <t>Hatchbox Matte PLA</t>
        </is>
      </c>
      <c r="D47" s="23" t="inlineStr">
        <is>
          <t>Silver</t>
        </is>
      </c>
      <c r="E47" s="90" t="inlineStr"/>
      <c r="F47" s="91" t="inlineStr">
        <is>
          <t>#B8BAB8</t>
        </is>
      </c>
      <c r="G47" s="16" t="inlineStr">
        <is>
          <t>1.75mm</t>
        </is>
      </c>
      <c r="H47" s="16" t="inlineStr">
        <is>
          <t>±0.03mm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190–220°C</t>
        </is>
      </c>
      <c r="L47" s="16" t="inlineStr">
        <is>
          <t>50–60°C</t>
        </is>
      </c>
      <c r="M47" s="16" t="inlineStr">
        <is>
          <t>45°C / 4h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C</t>
        </is>
      </c>
      <c r="S47" s="23" t="inlineStr">
        <is>
          <t>Color confirmed to exist (hatchbox3d.com product tag listing); hex not independently confirmed</t>
        </is>
      </c>
      <c r="T47" s="23" t="inlineStr">
        <is>
          <t>Deep-dive follow-up 2026-07-19; Matte PLA expansion</t>
        </is>
      </c>
    </row>
    <row r="48" ht="20" customHeight="1">
      <c r="A48" s="26" t="inlineStr">
        <is>
          <t>PLA Matte</t>
        </is>
      </c>
      <c r="B48" s="26" t="inlineStr">
        <is>
          <t>HX-MAT-WHI</t>
        </is>
      </c>
      <c r="C48" s="26" t="inlineStr">
        <is>
          <t>Hatchbox Matte PLA</t>
        </is>
      </c>
      <c r="D48" s="26" t="inlineStr">
        <is>
          <t>White</t>
        </is>
      </c>
      <c r="E48" s="16" t="inlineStr"/>
      <c r="F48" s="92" t="inlineStr">
        <is>
          <t>#FFFFFF</t>
        </is>
      </c>
      <c r="G48" s="29" t="inlineStr">
        <is>
          <t>1.75mm</t>
        </is>
      </c>
      <c r="H48" s="29" t="inlineStr">
        <is>
          <t>±0.03mm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190–220°C</t>
        </is>
      </c>
      <c r="L48" s="29" t="inlineStr">
        <is>
          <t>50–60°C</t>
        </is>
      </c>
      <c r="M48" s="29" t="inlineStr">
        <is>
          <t>45°C / 4h</t>
        </is>
      </c>
      <c r="N48" s="29" t="inlineStr">
        <is>
          <t>✓</t>
        </is>
      </c>
      <c r="O48" s="29" t="inlineStr">
        <is>
          <t>✓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C</t>
        </is>
      </c>
      <c r="S48" s="26" t="inlineStr">
        <is>
          <t>Line existence confirmed (hatchbox3d.com product listing); full color list not itemized in any source found</t>
        </is>
      </c>
      <c r="T48" s="26" t="inlineStr">
        <is>
          <t>Deep-dive follow-up 2026-07-19; NEW LINE — not previously in catalog</t>
        </is>
      </c>
    </row>
    <row r="49" ht="20" customHeight="1">
      <c r="A49" s="23" t="inlineStr">
        <is>
          <t>PLA Matte</t>
        </is>
      </c>
      <c r="B49" s="23" t="inlineStr">
        <is>
          <t>HX-MAT-YEL</t>
        </is>
      </c>
      <c r="C49" s="23" t="inlineStr">
        <is>
          <t>Hatchbox Matte PLA</t>
        </is>
      </c>
      <c r="D49" s="23" t="inlineStr">
        <is>
          <t>Yellow</t>
        </is>
      </c>
      <c r="E49" s="93" t="inlineStr"/>
      <c r="F49" s="94" t="inlineStr">
        <is>
          <t>#F4C61F</t>
        </is>
      </c>
      <c r="G49" s="16" t="inlineStr">
        <is>
          <t>1.75mm</t>
        </is>
      </c>
      <c r="H49" s="16" t="inlineStr">
        <is>
          <t>±0.03mm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190–220°C</t>
        </is>
      </c>
      <c r="L49" s="16" t="inlineStr">
        <is>
          <t>50–60°C</t>
        </is>
      </c>
      <c r="M49" s="16" t="inlineStr">
        <is>
          <t>45°C / 4h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C</t>
        </is>
      </c>
      <c r="S49" s="23" t="inlineStr">
        <is>
          <t>Color confirmed to exist (hatchbox3d.com product tag listing); hex not independently confirmed</t>
        </is>
      </c>
      <c r="T49" s="23" t="inlineStr">
        <is>
          <t>Deep-dive follow-up 2026-07-19; Matte PLA expansion</t>
        </is>
      </c>
    </row>
    <row r="50" ht="20" customHeight="1">
      <c r="A50" s="26" t="inlineStr">
        <is>
          <t>PLA+</t>
        </is>
      </c>
      <c r="B50" s="26" t="inlineStr">
        <is>
          <t>HX-PLAP175-BK</t>
        </is>
      </c>
      <c r="C50" s="26" t="inlineStr">
        <is>
          <t>Hatchbox PLA+</t>
        </is>
      </c>
      <c r="D50" s="26" t="inlineStr">
        <is>
          <t>Black</t>
        </is>
      </c>
      <c r="E50" s="24" t="inlineStr"/>
      <c r="F50" s="25" t="inlineStr">
        <is>
          <t>#111111</t>
        </is>
      </c>
      <c r="G50" s="29" t="inlineStr">
        <is>
          <t>1.75mm</t>
        </is>
      </c>
      <c r="H50" s="29" t="inlineStr">
        <is>
          <t>±0.03mm</t>
        </is>
      </c>
      <c r="I50" s="29" t="inlineStr">
        <is>
          <t>Cardboard</t>
        </is>
      </c>
      <c r="J50" s="29" t="inlineStr">
        <is>
          <t>Yes</t>
        </is>
      </c>
      <c r="K50" s="29" t="inlineStr">
        <is>
          <t>185–225°C</t>
        </is>
      </c>
      <c r="L50" s="29" t="inlineStr">
        <is>
          <t>50–60°C</t>
        </is>
      </c>
      <c r="M50" s="29" t="inlineStr">
        <is>
          <t>45°C / 4h</t>
        </is>
      </c>
      <c r="N50" s="29" t="inlineStr">
        <is>
          <t>⚠</t>
        </is>
      </c>
      <c r="O50" s="29" t="inlineStr">
        <is>
          <t>⚠</t>
        </is>
      </c>
      <c r="P50" s="29" t="inlineStr">
        <is>
          <t>⚠</t>
        </is>
      </c>
      <c r="Q50" s="29" t="inlineStr">
        <is>
          <t>⚠</t>
        </is>
      </c>
      <c r="R50" s="29" t="inlineStr">
        <is>
          <t>B</t>
        </is>
      </c>
      <c r="S50" s="26" t="inlineStr">
        <is>
          <t>Toughened PLA+; cardboard spool requires AMS Adapter Ring</t>
        </is>
      </c>
      <c r="T50" s="26" t="inlineStr">
        <is>
          <t>Cardboard spool — AMS Adapter Ring required</t>
        </is>
      </c>
    </row>
    <row r="51" ht="20" customHeight="1">
      <c r="A51" s="23" t="inlineStr">
        <is>
          <t>PLA+</t>
        </is>
      </c>
      <c r="B51" s="23" t="inlineStr">
        <is>
          <t>HX-PLAP175-BL</t>
        </is>
      </c>
      <c r="C51" s="23" t="inlineStr">
        <is>
          <t>Hatchbox PLA+</t>
        </is>
      </c>
      <c r="D51" s="23" t="inlineStr">
        <is>
          <t>Blue</t>
        </is>
      </c>
      <c r="E51" s="36" t="inlineStr"/>
      <c r="F51" s="37" t="inlineStr">
        <is>
          <t>#0057A8</t>
        </is>
      </c>
      <c r="G51" s="16" t="inlineStr">
        <is>
          <t>1.75mm</t>
        </is>
      </c>
      <c r="H51" s="16" t="inlineStr">
        <is>
          <t>±0.03mm</t>
        </is>
      </c>
      <c r="I51" s="16" t="inlineStr">
        <is>
          <t>Cardboard</t>
        </is>
      </c>
      <c r="J51" s="16" t="inlineStr">
        <is>
          <t>Yes</t>
        </is>
      </c>
      <c r="K51" s="16" t="inlineStr">
        <is>
          <t>185–225°C</t>
        </is>
      </c>
      <c r="L51" s="16" t="inlineStr">
        <is>
          <t>50–60°C</t>
        </is>
      </c>
      <c r="M51" s="16" t="inlineStr">
        <is>
          <t>45°C / 4h</t>
        </is>
      </c>
      <c r="N51" s="16" t="inlineStr">
        <is>
          <t>⚠</t>
        </is>
      </c>
      <c r="O51" s="16" t="inlineStr">
        <is>
          <t>⚠</t>
        </is>
      </c>
      <c r="P51" s="16" t="inlineStr">
        <is>
          <t>⚠</t>
        </is>
      </c>
      <c r="Q51" s="16" t="inlineStr">
        <is>
          <t>⚠</t>
        </is>
      </c>
      <c r="R51" s="16" t="inlineStr">
        <is>
          <t>B</t>
        </is>
      </c>
      <c r="S51" s="23" t="inlineStr">
        <is>
          <t>Toughened PLA+; cardboard spool requires AMS Adapter Ring</t>
        </is>
      </c>
      <c r="T51" s="23" t="inlineStr">
        <is>
          <t>Cardboard spool — AMS Adapter Ring required</t>
        </is>
      </c>
    </row>
    <row r="52" ht="20" customHeight="1">
      <c r="A52" s="26" t="inlineStr">
        <is>
          <t>PLA+</t>
        </is>
      </c>
      <c r="B52" s="26" t="inlineStr">
        <is>
          <t>HX-PLAP175-GY</t>
        </is>
      </c>
      <c r="C52" s="26" t="inlineStr">
        <is>
          <t>Hatchbox PLA+</t>
        </is>
      </c>
      <c r="D52" s="26" t="inlineStr">
        <is>
          <t>Gray</t>
        </is>
      </c>
      <c r="E52" s="27" t="inlineStr"/>
      <c r="F52" s="28" t="inlineStr">
        <is>
          <t>#808080</t>
        </is>
      </c>
      <c r="G52" s="29" t="inlineStr">
        <is>
          <t>1.75mm</t>
        </is>
      </c>
      <c r="H52" s="29" t="inlineStr">
        <is>
          <t>±0.03mm</t>
        </is>
      </c>
      <c r="I52" s="29" t="inlineStr">
        <is>
          <t>Cardboard</t>
        </is>
      </c>
      <c r="J52" s="29" t="inlineStr">
        <is>
          <t>Yes</t>
        </is>
      </c>
      <c r="K52" s="29" t="inlineStr">
        <is>
          <t>185–225°C</t>
        </is>
      </c>
      <c r="L52" s="29" t="inlineStr">
        <is>
          <t>50–60°C</t>
        </is>
      </c>
      <c r="M52" s="29" t="inlineStr">
        <is>
          <t>45°C / 4h</t>
        </is>
      </c>
      <c r="N52" s="29" t="inlineStr">
        <is>
          <t>⚠</t>
        </is>
      </c>
      <c r="O52" s="29" t="inlineStr">
        <is>
          <t>⚠</t>
        </is>
      </c>
      <c r="P52" s="29" t="inlineStr">
        <is>
          <t>⚠</t>
        </is>
      </c>
      <c r="Q52" s="29" t="inlineStr">
        <is>
          <t>⚠</t>
        </is>
      </c>
      <c r="R52" s="29" t="inlineStr">
        <is>
          <t>B</t>
        </is>
      </c>
      <c r="S52" s="26" t="inlineStr">
        <is>
          <t>Toughened PLA+; cardboard spool requires AMS Adapter Ring</t>
        </is>
      </c>
      <c r="T52" s="26" t="inlineStr">
        <is>
          <t>Cardboard spool — AMS Adapter Ring required</t>
        </is>
      </c>
    </row>
    <row r="53" ht="20" customHeight="1">
      <c r="A53" s="23" t="inlineStr">
        <is>
          <t>PLA+</t>
        </is>
      </c>
      <c r="B53" s="23" t="inlineStr">
        <is>
          <t>HX-PLAP175-GN</t>
        </is>
      </c>
      <c r="C53" s="23" t="inlineStr">
        <is>
          <t>Hatchbox PLA+</t>
        </is>
      </c>
      <c r="D53" s="23" t="inlineStr">
        <is>
          <t>Green</t>
        </is>
      </c>
      <c r="E53" s="52" t="inlineStr"/>
      <c r="F53" s="53" t="inlineStr">
        <is>
          <t>#2E8B57</t>
        </is>
      </c>
      <c r="G53" s="16" t="inlineStr">
        <is>
          <t>1.75mm</t>
        </is>
      </c>
      <c r="H53" s="16" t="inlineStr">
        <is>
          <t>±0.03mm</t>
        </is>
      </c>
      <c r="I53" s="16" t="inlineStr">
        <is>
          <t>Cardboard</t>
        </is>
      </c>
      <c r="J53" s="16" t="inlineStr">
        <is>
          <t>Yes</t>
        </is>
      </c>
      <c r="K53" s="16" t="inlineStr">
        <is>
          <t>185–225°C</t>
        </is>
      </c>
      <c r="L53" s="16" t="inlineStr">
        <is>
          <t>50–60°C</t>
        </is>
      </c>
      <c r="M53" s="16" t="inlineStr">
        <is>
          <t>45°C / 4h</t>
        </is>
      </c>
      <c r="N53" s="16" t="inlineStr">
        <is>
          <t>⚠</t>
        </is>
      </c>
      <c r="O53" s="16" t="inlineStr">
        <is>
          <t>⚠</t>
        </is>
      </c>
      <c r="P53" s="16" t="inlineStr">
        <is>
          <t>⚠</t>
        </is>
      </c>
      <c r="Q53" s="16" t="inlineStr">
        <is>
          <t>⚠</t>
        </is>
      </c>
      <c r="R53" s="16" t="inlineStr">
        <is>
          <t>B</t>
        </is>
      </c>
      <c r="S53" s="23" t="inlineStr">
        <is>
          <t>Toughened PLA+; cardboard spool requires AMS Adapter Ring</t>
        </is>
      </c>
      <c r="T53" s="23" t="inlineStr">
        <is>
          <t>Cardboard spool — AMS Adapter Ring required</t>
        </is>
      </c>
    </row>
    <row r="54" ht="20" customHeight="1">
      <c r="A54" s="26" t="inlineStr">
        <is>
          <t>PLA+</t>
        </is>
      </c>
      <c r="B54" s="26" t="inlineStr">
        <is>
          <t>HX-PLAP175-RD</t>
        </is>
      </c>
      <c r="C54" s="26" t="inlineStr">
        <is>
          <t>Hatchbox PLA+</t>
        </is>
      </c>
      <c r="D54" s="26" t="inlineStr">
        <is>
          <t>Red</t>
        </is>
      </c>
      <c r="E54" s="38" t="inlineStr"/>
      <c r="F54" s="39" t="inlineStr">
        <is>
          <t>#CC0000</t>
        </is>
      </c>
      <c r="G54" s="29" t="inlineStr">
        <is>
          <t>1.75mm</t>
        </is>
      </c>
      <c r="H54" s="29" t="inlineStr">
        <is>
          <t>±0.03mm</t>
        </is>
      </c>
      <c r="I54" s="29" t="inlineStr">
        <is>
          <t>Cardboard</t>
        </is>
      </c>
      <c r="J54" s="29" t="inlineStr">
        <is>
          <t>Yes</t>
        </is>
      </c>
      <c r="K54" s="29" t="inlineStr">
        <is>
          <t>185–225°C</t>
        </is>
      </c>
      <c r="L54" s="29" t="inlineStr">
        <is>
          <t>50–60°C</t>
        </is>
      </c>
      <c r="M54" s="29" t="inlineStr">
        <is>
          <t>45°C / 4h</t>
        </is>
      </c>
      <c r="N54" s="29" t="inlineStr">
        <is>
          <t>⚠</t>
        </is>
      </c>
      <c r="O54" s="29" t="inlineStr">
        <is>
          <t>⚠</t>
        </is>
      </c>
      <c r="P54" s="29" t="inlineStr">
        <is>
          <t>⚠</t>
        </is>
      </c>
      <c r="Q54" s="29" t="inlineStr">
        <is>
          <t>⚠</t>
        </is>
      </c>
      <c r="R54" s="29" t="inlineStr">
        <is>
          <t>B</t>
        </is>
      </c>
      <c r="S54" s="26" t="inlineStr">
        <is>
          <t>Toughened PLA+; cardboard spool requires AMS Adapter Ring</t>
        </is>
      </c>
      <c r="T54" s="26" t="inlineStr">
        <is>
          <t>Cardboard spool — AMS Adapter Ring required</t>
        </is>
      </c>
    </row>
    <row r="55" ht="20" customHeight="1">
      <c r="A55" s="23" t="inlineStr">
        <is>
          <t>PLA+</t>
        </is>
      </c>
      <c r="B55" s="23" t="inlineStr">
        <is>
          <t>HX-PLAP175-WH</t>
        </is>
      </c>
      <c r="C55" s="23" t="inlineStr">
        <is>
          <t>Hatchbox PLA+</t>
        </is>
      </c>
      <c r="D55" s="23" t="inlineStr">
        <is>
          <t>White</t>
        </is>
      </c>
      <c r="E55" s="30" t="inlineStr"/>
      <c r="F55" s="31" t="inlineStr">
        <is>
          <t>#F5F5F5</t>
        </is>
      </c>
      <c r="G55" s="16" t="inlineStr">
        <is>
          <t>1.75mm</t>
        </is>
      </c>
      <c r="H55" s="16" t="inlineStr">
        <is>
          <t>±0.03mm</t>
        </is>
      </c>
      <c r="I55" s="16" t="inlineStr">
        <is>
          <t>Cardboard</t>
        </is>
      </c>
      <c r="J55" s="16" t="inlineStr">
        <is>
          <t>Yes</t>
        </is>
      </c>
      <c r="K55" s="16" t="inlineStr">
        <is>
          <t>185–225°C</t>
        </is>
      </c>
      <c r="L55" s="16" t="inlineStr">
        <is>
          <t>50–60°C</t>
        </is>
      </c>
      <c r="M55" s="16" t="inlineStr">
        <is>
          <t>45°C / 4h</t>
        </is>
      </c>
      <c r="N55" s="16" t="inlineStr">
        <is>
          <t>⚠</t>
        </is>
      </c>
      <c r="O55" s="16" t="inlineStr">
        <is>
          <t>⚠</t>
        </is>
      </c>
      <c r="P55" s="16" t="inlineStr">
        <is>
          <t>⚠</t>
        </is>
      </c>
      <c r="Q55" s="16" t="inlineStr">
        <is>
          <t>⚠</t>
        </is>
      </c>
      <c r="R55" s="16" t="inlineStr">
        <is>
          <t>B</t>
        </is>
      </c>
      <c r="S55" s="23" t="inlineStr">
        <is>
          <t>Toughened PLA+; cardboard spool requires AMS Adapter Ring</t>
        </is>
      </c>
      <c r="T55" s="23" t="inlineStr">
        <is>
          <t>Cardboard spool — AMS Adapter Ring required</t>
        </is>
      </c>
    </row>
    <row r="56" ht="20" customHeight="1">
      <c r="A56" s="26" t="inlineStr">
        <is>
          <t>TPU</t>
        </is>
      </c>
      <c r="B56" s="26" t="inlineStr">
        <is>
          <t>HX-TPU-BAB</t>
        </is>
      </c>
      <c r="C56" s="26" t="inlineStr">
        <is>
          <t>Hatchbox TPU 95A</t>
        </is>
      </c>
      <c r="D56" s="26" t="inlineStr">
        <is>
          <t>Baby Blue</t>
        </is>
      </c>
      <c r="E56" s="95" t="inlineStr"/>
      <c r="F56" s="55" t="inlineStr">
        <is>
          <t>#AED6E8</t>
        </is>
      </c>
      <c r="G56" s="29" t="inlineStr">
        <is>
          <t>1.75mm</t>
        </is>
      </c>
      <c r="H56" s="29" t="inlineStr">
        <is>
          <t>±0.03mm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220–235°C</t>
        </is>
      </c>
      <c r="L56" s="29" t="inlineStr">
        <is>
          <t>25–50°C</t>
        </is>
      </c>
      <c r="M56" s="29" t="inlineStr">
        <is>
          <t>50°C / 8h</t>
        </is>
      </c>
      <c r="N56" s="29" t="inlineStr">
        <is>
          <t>✗</t>
        </is>
      </c>
      <c r="O56" s="29" t="inlineStr">
        <is>
          <t>✗</t>
        </is>
      </c>
      <c r="P56" s="29" t="inlineStr">
        <is>
          <t>✗</t>
        </is>
      </c>
      <c r="Q56" s="29" t="inlineStr">
        <is>
          <t>✗</t>
        </is>
      </c>
      <c r="R56" s="29" t="inlineStr">
        <is>
          <t>B</t>
        </is>
      </c>
      <c r="S56" s="26" t="inlineStr">
        <is>
          <t>Line existence confirmed (hatchbox3d.com/collections/all-filaments/tpu); TPU is external-spool-only on all Bambu AMS variants</t>
        </is>
      </c>
      <c r="T56" s="26" t="inlineStr">
        <is>
          <t>Deep-dive follow-up 2026-07-19; NEW LINE — not previously in catalog</t>
        </is>
      </c>
    </row>
    <row r="57" ht="20" customHeight="1">
      <c r="A57" s="23" t="inlineStr">
        <is>
          <t>TPU</t>
        </is>
      </c>
      <c r="B57" s="23" t="inlineStr">
        <is>
          <t>HX-TPU-BEI</t>
        </is>
      </c>
      <c r="C57" s="23" t="inlineStr">
        <is>
          <t>Hatchbox TPU 95A</t>
        </is>
      </c>
      <c r="D57" s="23" t="inlineStr">
        <is>
          <t>Beige</t>
        </is>
      </c>
      <c r="E57" s="78" t="inlineStr"/>
      <c r="F57" s="79" t="inlineStr">
        <is>
          <t>#E8D4B8</t>
        </is>
      </c>
      <c r="G57" s="16" t="inlineStr">
        <is>
          <t>1.75mm</t>
        </is>
      </c>
      <c r="H57" s="16" t="inlineStr">
        <is>
          <t>±0.03mm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220–235°C</t>
        </is>
      </c>
      <c r="L57" s="16" t="inlineStr">
        <is>
          <t>25–50°C</t>
        </is>
      </c>
      <c r="M57" s="16" t="inlineStr">
        <is>
          <t>50°C / 8h</t>
        </is>
      </c>
      <c r="N57" s="16" t="inlineStr">
        <is>
          <t>✗</t>
        </is>
      </c>
      <c r="O57" s="16" t="inlineStr">
        <is>
          <t>✗</t>
        </is>
      </c>
      <c r="P57" s="16" t="inlineStr">
        <is>
          <t>✗</t>
        </is>
      </c>
      <c r="Q57" s="16" t="inlineStr">
        <is>
          <t>✗</t>
        </is>
      </c>
      <c r="R57" s="16" t="inlineStr">
        <is>
          <t>B</t>
        </is>
      </c>
      <c r="S57" s="23" t="inlineStr">
        <is>
          <t>Line existence confirmed (hatchbox3d.com/collections/all-filaments/tpu); TPU is external-spool-only on all Bambu AMS variants</t>
        </is>
      </c>
      <c r="T57" s="23" t="inlineStr">
        <is>
          <t>Deep-dive follow-up 2026-07-19; NEW LINE — not previously in catalog</t>
        </is>
      </c>
    </row>
    <row r="58" ht="20" customHeight="1">
      <c r="A58" s="26" t="inlineStr">
        <is>
          <t>TPU</t>
        </is>
      </c>
      <c r="B58" s="26" t="inlineStr">
        <is>
          <t>HX-TPU-BLA</t>
        </is>
      </c>
      <c r="C58" s="26" t="inlineStr">
        <is>
          <t>Hatchbox TPU 95A</t>
        </is>
      </c>
      <c r="D58" s="26" t="inlineStr">
        <is>
          <t>Black</t>
        </is>
      </c>
      <c r="E58" s="32" t="inlineStr"/>
      <c r="F58" s="33" t="inlineStr">
        <is>
          <t>#000000</t>
        </is>
      </c>
      <c r="G58" s="29" t="inlineStr">
        <is>
          <t>1.75mm</t>
        </is>
      </c>
      <c r="H58" s="29" t="inlineStr">
        <is>
          <t>±0.03mm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220–235°C</t>
        </is>
      </c>
      <c r="L58" s="29" t="inlineStr">
        <is>
          <t>25–50°C</t>
        </is>
      </c>
      <c r="M58" s="29" t="inlineStr">
        <is>
          <t>50°C / 8h</t>
        </is>
      </c>
      <c r="N58" s="29" t="inlineStr">
        <is>
          <t>✗</t>
        </is>
      </c>
      <c r="O58" s="29" t="inlineStr">
        <is>
          <t>✗</t>
        </is>
      </c>
      <c r="P58" s="29" t="inlineStr">
        <is>
          <t>✗</t>
        </is>
      </c>
      <c r="Q58" s="29" t="inlineStr">
        <is>
          <t>✗</t>
        </is>
      </c>
      <c r="R58" s="29" t="inlineStr">
        <is>
          <t>B</t>
        </is>
      </c>
      <c r="S58" s="26" t="inlineStr">
        <is>
          <t>Line existence confirmed (hatchbox3d.com/collections/all-filaments/tpu); TPU is external-spool-only on all Bambu AMS variants</t>
        </is>
      </c>
      <c r="T58" s="26" t="inlineStr">
        <is>
          <t>Deep-dive follow-up 2026-07-19; NEW LINE — not previously in catalog</t>
        </is>
      </c>
    </row>
    <row r="59" ht="20" customHeight="1">
      <c r="A59" s="23" t="inlineStr">
        <is>
          <t>TPU</t>
        </is>
      </c>
      <c r="B59" s="23" t="inlineStr">
        <is>
          <t>HX-TPU-BLU</t>
        </is>
      </c>
      <c r="C59" s="23" t="inlineStr">
        <is>
          <t>Hatchbox TPU 95A</t>
        </is>
      </c>
      <c r="D59" s="23" t="inlineStr">
        <is>
          <t>Blue</t>
        </is>
      </c>
      <c r="E59" s="80" t="inlineStr"/>
      <c r="F59" s="81" t="inlineStr">
        <is>
          <t>#1F5FA8</t>
        </is>
      </c>
      <c r="G59" s="16" t="inlineStr">
        <is>
          <t>1.75mm</t>
        </is>
      </c>
      <c r="H59" s="16" t="inlineStr">
        <is>
          <t>±0.03mm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220–235°C</t>
        </is>
      </c>
      <c r="L59" s="16" t="inlineStr">
        <is>
          <t>25–50°C</t>
        </is>
      </c>
      <c r="M59" s="16" t="inlineStr">
        <is>
          <t>50°C / 8h</t>
        </is>
      </c>
      <c r="N59" s="16" t="inlineStr">
        <is>
          <t>✗</t>
        </is>
      </c>
      <c r="O59" s="16" t="inlineStr">
        <is>
          <t>✗</t>
        </is>
      </c>
      <c r="P59" s="16" t="inlineStr">
        <is>
          <t>✗</t>
        </is>
      </c>
      <c r="Q59" s="16" t="inlineStr">
        <is>
          <t>✗</t>
        </is>
      </c>
      <c r="R59" s="16" t="inlineStr">
        <is>
          <t>B</t>
        </is>
      </c>
      <c r="S59" s="23" t="inlineStr">
        <is>
          <t>Line existence confirmed (hatchbox3d.com/collections/all-filaments/tpu); TPU is external-spool-only on all Bambu AMS variants</t>
        </is>
      </c>
      <c r="T59" s="23" t="inlineStr">
        <is>
          <t>Deep-dive follow-up 2026-07-19; NEW LINE — not previously in catalog</t>
        </is>
      </c>
    </row>
    <row r="60" ht="20" customHeight="1">
      <c r="A60" s="26" t="inlineStr">
        <is>
          <t>TPU</t>
        </is>
      </c>
      <c r="B60" s="26" t="inlineStr">
        <is>
          <t>HX-TPU-WHI</t>
        </is>
      </c>
      <c r="C60" s="26" t="inlineStr">
        <is>
          <t>Hatchbox TPU 95A</t>
        </is>
      </c>
      <c r="D60" s="26" t="inlineStr">
        <is>
          <t>White</t>
        </is>
      </c>
      <c r="E60" s="16" t="inlineStr"/>
      <c r="F60" s="92" t="inlineStr">
        <is>
          <t>#FFFFFF</t>
        </is>
      </c>
      <c r="G60" s="29" t="inlineStr">
        <is>
          <t>1.75mm</t>
        </is>
      </c>
      <c r="H60" s="29" t="inlineStr">
        <is>
          <t>±0.03mm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220–235°C</t>
        </is>
      </c>
      <c r="L60" s="29" t="inlineStr">
        <is>
          <t>25–50°C</t>
        </is>
      </c>
      <c r="M60" s="29" t="inlineStr">
        <is>
          <t>50°C / 8h</t>
        </is>
      </c>
      <c r="N60" s="29" t="inlineStr">
        <is>
          <t>✗</t>
        </is>
      </c>
      <c r="O60" s="29" t="inlineStr">
        <is>
          <t>✗</t>
        </is>
      </c>
      <c r="P60" s="29" t="inlineStr">
        <is>
          <t>✗</t>
        </is>
      </c>
      <c r="Q60" s="29" t="inlineStr">
        <is>
          <t>✗</t>
        </is>
      </c>
      <c r="R60" s="29" t="inlineStr">
        <is>
          <t>B</t>
        </is>
      </c>
      <c r="S60" s="26" t="inlineStr">
        <is>
          <t>Line existence confirmed (hatchbox3d.com/collections/all-filaments/tpu); TPU is external-spool-only on all Bambu AMS variants</t>
        </is>
      </c>
      <c r="T60" s="26" t="inlineStr">
        <is>
          <t>Deep-dive follow-up 2026-07-19; NEW LINE — not previously in catalog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61" showDropDown="0" showInputMessage="0" showErrorMessage="0" allowBlank="1" type="list">
      <formula1>"S,A,B,C"</formula1>
    </dataValidation>
    <dataValidation sqref="I3:I161" showDropDown="0" showInputMessage="0" showErrorMessage="0" allowBlank="1" type="list">
      <formula1>"Cardboard,Plastic"</formula1>
    </dataValidation>
    <dataValidation sqref="J3:J161" showDropDown="0" showInputMessage="0" showErrorMessage="0" allowBlank="1" type="list">
      <formula1>"Yes,No"</formula1>
    </dataValidation>
    <dataValidation sqref="G3:G161" showDropDown="0" showInputMessage="0" showErrorMessage="0" allowBlank="1" type="list">
      <formula1>"1.75mm,2.85mm"</formula1>
    </dataValidation>
    <dataValidation sqref="N3:N161" showDropDown="0" showInputMessage="0" showErrorMessage="0" allowBlank="1" type="list">
      <formula1>"✓,✗,⚠"</formula1>
    </dataValidation>
    <dataValidation sqref="O3:O161" showDropDown="0" showInputMessage="0" showErrorMessage="0" allowBlank="1" type="list">
      <formula1>"✓,✗,⚠"</formula1>
    </dataValidation>
    <dataValidation sqref="P3:P161" showDropDown="0" showInputMessage="0" showErrorMessage="0" allowBlank="1" type="list">
      <formula1>"✓,✗,⚠"</formula1>
    </dataValidation>
    <dataValidation sqref="Q3:Q161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Hatchbox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180–220°C</t>
        </is>
      </c>
      <c r="C3" s="16" t="inlineStr">
        <is>
          <t>50–60°C</t>
        </is>
      </c>
      <c r="D3" s="16" t="inlineStr">
        <is>
          <t>No</t>
        </is>
      </c>
      <c r="E3" s="16" t="inlineStr">
        <is>
          <t>⚠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All Hatchbox spools are cardboard — AMS Adapter Ring required for all AMS variants</t>
        </is>
      </c>
    </row>
    <row r="4" ht="20" customHeight="1">
      <c r="A4" s="26" t="inlineStr">
        <is>
          <t>PLA+</t>
        </is>
      </c>
      <c r="B4" s="29" t="inlineStr">
        <is>
          <t>185–225°C</t>
        </is>
      </c>
      <c r="C4" s="29" t="inlineStr">
        <is>
          <t>50–60°C</t>
        </is>
      </c>
      <c r="D4" s="29" t="inlineStr">
        <is>
          <t>No</t>
        </is>
      </c>
      <c r="E4" s="29" t="inlineStr">
        <is>
          <t>⚠</t>
        </is>
      </c>
      <c r="F4" s="29" t="inlineStr">
        <is>
          <t>Recommended</t>
        </is>
      </c>
      <c r="G4" s="29" t="inlineStr">
        <is>
          <t>45°C / 4h</t>
        </is>
      </c>
      <c r="H4" s="26" t="inlineStr">
        <is>
          <t>Cardboard spool — AMS Adapter Ring required; tougher than PLA</t>
        </is>
      </c>
    </row>
    <row r="5" ht="20" customHeight="1">
      <c r="A5" s="23" t="inlineStr">
        <is>
          <t>PETG</t>
        </is>
      </c>
      <c r="B5" s="16" t="inlineStr">
        <is>
          <t>230–260°C</t>
        </is>
      </c>
      <c r="C5" s="16" t="inlineStr">
        <is>
          <t>70–80°C</t>
        </is>
      </c>
      <c r="D5" s="16" t="inlineStr">
        <is>
          <t>No</t>
        </is>
      </c>
      <c r="E5" s="16" t="inlineStr">
        <is>
          <t>⚠</t>
        </is>
      </c>
      <c r="F5" s="16" t="inlineStr">
        <is>
          <t>Yes</t>
        </is>
      </c>
      <c r="G5" s="16" t="inlineStr">
        <is>
          <t>65°C / 6h</t>
        </is>
      </c>
      <c r="H5" s="23" t="inlineStr">
        <is>
          <t>Cardboard spool — AMS Adapter Ring required</t>
        </is>
      </c>
    </row>
    <row r="6" ht="20" customHeight="1">
      <c r="A6" s="26" t="inlineStr">
        <is>
          <t>ABS</t>
        </is>
      </c>
      <c r="B6" s="29" t="inlineStr">
        <is>
          <t>220–260°C</t>
        </is>
      </c>
      <c r="C6" s="29" t="inlineStr">
        <is>
          <t>90–110°C</t>
        </is>
      </c>
      <c r="D6" s="29" t="inlineStr">
        <is>
          <t>Yes</t>
        </is>
      </c>
      <c r="E6" s="29" t="inlineStr">
        <is>
          <t>⚠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Cardboard spool + enclosure required; AMS Lite incompatible</t>
        </is>
      </c>
    </row>
  </sheetData>
  <autoFilter ref="A2:H63"/>
  <mergeCells count="1">
    <mergeCell ref="A1:H1"/>
  </mergeCells>
  <conditionalFormatting sqref="D3:D17">
    <cfRule type="expression" priority="1" dxfId="8">
      <formula>$D3="Yes"</formula>
    </cfRule>
  </conditionalFormatting>
  <conditionalFormatting sqref="E3:E17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96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97" t="inlineStr">
        <is>
          <t>Brand</t>
        </is>
      </c>
      <c r="B3" s="98" t="inlineStr">
        <is>
          <t>Hatchbox</t>
        </is>
      </c>
      <c r="C3" s="99" t="inlineStr"/>
    </row>
    <row r="4" ht="18" customHeight="1">
      <c r="A4" s="97" t="inlineStr">
        <is>
          <t>File Version</t>
        </is>
      </c>
      <c r="B4" s="100" t="inlineStr">
        <is>
          <t>v3</t>
        </is>
      </c>
      <c r="C4" s="99" t="inlineStr"/>
    </row>
    <row r="5" ht="18" customHeight="1">
      <c r="A5" s="97" t="inlineStr">
        <is>
          <t>Generated</t>
        </is>
      </c>
      <c r="B5" s="100" t="inlineStr">
        <is>
          <t>2026-07-25</t>
        </is>
      </c>
      <c r="C5" s="99" t="inlineStr">
        <is>
          <t>Date this file was last generated by generate_all.py</t>
        </is>
      </c>
    </row>
    <row r="6" ht="18" customHeight="1">
      <c r="A6" s="97" t="inlineStr">
        <is>
          <t>SKU Note</t>
        </is>
      </c>
      <c r="B6" s="100" t="inlineStr">
        <is>
          <t>Reference codes (HX-xxx) — verify ASINs on Amazon</t>
        </is>
      </c>
      <c r="C6" s="99" t="inlineStr">
        <is>
          <t>SKU column: confirmed mfr codes noted above; others are internal reference codes</t>
        </is>
      </c>
    </row>
    <row r="7" ht="18" customHeight="1">
      <c r="A7" s="97" t="inlineStr">
        <is>
          <t>Hex Note</t>
        </is>
      </c>
      <c r="B7" s="100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99" t="inlineStr">
        <is>
          <t>Approximate hex = visually representative; not manufacturer-confirmed</t>
        </is>
      </c>
    </row>
    <row r="8" ht="18" customHeight="1">
      <c r="A8" s="97" t="inlineStr">
        <is>
          <t>Inventory Note</t>
        </is>
      </c>
      <c r="B8" s="100" t="inlineStr">
        <is>
          <t>This workbook covers catalog reference data only. On-hand spool inventory is tracked separately in Filament_Inventory.xlsx.</t>
        </is>
      </c>
      <c r="C8" s="99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2026-07-25T03:49:35Z</dcterms:created>
  <dcterms:modified xmlns:dcterms="http://purl.org/dc/terms/" xmlns:xsi="http://www.w3.org/2001/XMLSchema-instance" xsi:type="dcterms:W3CDTF">2026-07-25T03:49:36Z</dcterms:modified>
</cp:coreProperties>
</file>