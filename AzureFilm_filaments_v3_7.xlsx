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E1DFA31F-33E9-435C-BF19-E30ECF8677F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" r:id="rId1"/>
    <sheet name="Catalog" sheetId="2" r:id="rId2"/>
    <sheet name="Material Guide" sheetId="3" r:id="rId3"/>
    <sheet name="Config" sheetId="4" r:id="rId4"/>
  </sheets>
  <definedNames>
    <definedName name="_xlnm._FilterDatabase" localSheetId="1" hidden="1">Catalog!$A$2:$T$703</definedName>
    <definedName name="_xlnm._FilterDatabase" localSheetId="2" hidden="1">'Material Guide'!$A$2:$H$63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9" i="1" l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A22" i="1"/>
  <c r="B19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" authorId="0" shapeId="0" xr:uid="{00000000-0006-0000-0100-000001000000}">
      <text>
        <r>
          <rPr>
            <sz val="10"/>
            <rFont val="Arial"/>
            <family val="2"/>
          </rPr>
          <t>SKU / Part No.
Polymaker PolyLite PLA: confirmed manufacturer codes (PA02001–PA02029).
All other brands: internal reference codes.
See Config sheet → SKU Note for details.</t>
        </r>
      </text>
    </comment>
    <comment ref="E2" authorId="0" shapeId="0" xr:uid="{00000000-0006-0000-0100-000002000000}">
      <text>
        <r>
          <rPr>
            <sz val="10"/>
            <rFont val="Arial"/>
            <family val="2"/>
          </rPr>
  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 shapeId="0" xr:uid="{00000000-0006-0000-0100-000003000000}">
      <text>
        <r>
          <rPr>
            <sz val="10"/>
            <rFont val="Arial"/>
            <family val="2"/>
          </rPr>
          <t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 shapeId="0" xr:uid="{00000000-0006-0000-0100-000004000000}">
      <text>
        <r>
          <rPr>
            <sz val="10"/>
            <rFont val="Arial"/>
            <family val="2"/>
          </rPr>
          <t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 shapeId="0" xr:uid="{00000000-0006-0000-0100-000005000000}">
      <text>
        <r>
          <rPr>
            <sz val="10"/>
            <rFont val="Arial"/>
            <family val="2"/>
          </rPr>
          <t>AMS Lite Compatibility
✓  Compatible with AMS Lite unit
✗  Not compatible (open-frame; no ABS/ASA/PA support)
⚠  Compatible with conditions
Printers: A1, A1 mini</t>
        </r>
      </text>
    </comment>
    <comment ref="P2" authorId="0" shapeId="0" xr:uid="{00000000-0006-0000-0100-000006000000}">
      <text>
        <r>
          <rPr>
            <sz val="10"/>
            <rFont val="Arial"/>
            <family val="2"/>
          </rPr>
          <t>AMS 2 Pro Compatibility
✓  Compatible with AMS 2 Pro unit
✗  Not compatible
⚠  Compatible with conditions
Printers: H2D</t>
        </r>
      </text>
    </comment>
    <comment ref="Q2" authorId="0" shapeId="0" xr:uid="{00000000-0006-0000-0100-000007000000}">
      <text>
        <r>
          <rPr>
            <sz val="10"/>
            <rFont val="Arial"/>
            <family val="2"/>
          </rPr>
          <t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<sst xmlns="http://schemas.openxmlformats.org/spreadsheetml/2006/main" count="1009" uniqueCount="291">
  <si>
    <t>📦  AzureFilm  —  Filament Reference  |  v3</t>
  </si>
  <si>
    <t xml:space="preserve">  CATALOG SUMMARY</t>
  </si>
  <si>
    <t>Total Catalog Entries (active)</t>
  </si>
  <si>
    <t>Tier S — Premium</t>
  </si>
  <si>
    <t>Tier A — Excellent</t>
  </si>
  <si>
    <t>Tier B — Good</t>
  </si>
  <si>
    <t>Tier C — Specialty</t>
  </si>
  <si>
    <t>Require AMS Adapter Ring</t>
  </si>
  <si>
    <t xml:space="preserve">  TIER LEGEND</t>
  </si>
  <si>
    <t xml:space="preserve">  S</t>
  </si>
  <si>
    <t>Premium — first-party or best-in-class; optimized profiles, top AMS reliability</t>
  </si>
  <si>
    <t xml:space="preserve">  A</t>
  </si>
  <si>
    <t>Excellent — high quality, tested profiles, reliable AMS performance</t>
  </si>
  <si>
    <t xml:space="preserve">  B</t>
  </si>
  <si>
    <t>Good — solid performer with minor caveats (e.g. needs adapter ring, temp adjustment)</t>
  </si>
  <si>
    <t xml:space="preserve">  C</t>
  </si>
  <si>
    <t>Specialty — limited AMS use, requires special setup, or niche material</t>
  </si>
  <si>
    <t xml:space="preserve">  INVENTORY</t>
  </si>
  <si>
    <t>On-hand spool inventory is tracked separately in Filament_Inventory.xlsx, not in this workbook.</t>
  </si>
  <si>
    <t>File Generated</t>
  </si>
  <si>
    <t xml:space="preserve">  AMS ADAPTER RING STATUS</t>
  </si>
  <si>
    <t xml:space="preserve">  BY MATERIAL TYPE</t>
  </si>
  <si>
    <t>Material Type</t>
  </si>
  <si>
    <t>Catalog Entries</t>
  </si>
  <si>
    <t>ABS</t>
  </si>
  <si>
    <t>ASA</t>
  </si>
  <si>
    <t>PA</t>
  </si>
  <si>
    <t>PC-ABS</t>
  </si>
  <si>
    <t>PETG</t>
  </si>
  <si>
    <t>PLA</t>
  </si>
  <si>
    <t>PLA Glitter</t>
  </si>
  <si>
    <t>PLA Matte HS</t>
  </si>
  <si>
    <t>PLA Pastel</t>
  </si>
  <si>
    <t>PLA Prime</t>
  </si>
  <si>
    <t>PLA Silk</t>
  </si>
  <si>
    <t>PLA Wood</t>
  </si>
  <si>
    <t>PLA-CF</t>
  </si>
  <si>
    <t>TPU</t>
  </si>
  <si>
    <t>AzureFilm  —  Filament Catalog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</si>
  <si>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</si>
  <si>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</si>
  <si>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</si>
  <si>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</si>
  <si>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</si>
  <si>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</si>
  <si>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</si>
  <si>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</si>
  <si>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</si>
  <si>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</si>
  <si>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</si>
  <si>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</si>
  <si>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</si>
  <si>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</si>
  <si>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</si>
  <si>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</si>
  <si>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</si>
  <si>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</si>
  <si>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</si>
  <si>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AZ-ABS-BLK</t>
  </si>
  <si>
    <t>AzureFilm ABS Plus</t>
  </si>
  <si>
    <t>Black</t>
  </si>
  <si>
    <t>#0D0D0D</t>
  </si>
  <si>
    <t>1.75mm</t>
  </si>
  <si>
    <t>±0.02mm</t>
  </si>
  <si>
    <t>Plastic</t>
  </si>
  <si>
    <t>No</t>
  </si>
  <si>
    <t>240–260°C</t>
  </si>
  <si>
    <t>90–120°C</t>
  </si>
  <si>
    <t>70°C / 4h</t>
  </si>
  <si>
    <t>✓</t>
  </si>
  <si>
    <t>✗</t>
  </si>
  <si>
    <t>B</t>
  </si>
  <si>
    <t>Manufacturer product-page confirmed; enclosure required; AMS Lite unsuitable for ABS</t>
  </si>
  <si>
    <t>AZ-ABS-WHT</t>
  </si>
  <si>
    <t>AzureFilm ABS Prime</t>
  </si>
  <si>
    <t>White</t>
  </si>
  <si>
    <t>#F0F0EA</t>
  </si>
  <si>
    <t>240–265°C</t>
  </si>
  <si>
    <t>70–100°C</t>
  </si>
  <si>
    <t>Manufacturer product-page confirmed; zero-warping formula; enclosure recommended; AMS Lite ✗</t>
  </si>
  <si>
    <t>AZ-ASA-BLK</t>
  </si>
  <si>
    <t>AzureFilm ASA Original</t>
  </si>
  <si>
    <t>Manufacturer TDS-confirmed (azurefilm.com); enclosure required; UV/weather-resistant</t>
  </si>
  <si>
    <t>AZ-ASA-GRY</t>
  </si>
  <si>
    <t>AzureFilm ASA Prime</t>
  </si>
  <si>
    <t>Grey</t>
  </si>
  <si>
    <t>#7C7F82</t>
  </si>
  <si>
    <t>AZ-NYLON-01</t>
  </si>
  <si>
    <t>AzureFilm Nylon</t>
  </si>
  <si>
    <t>Natural</t>
  </si>
  <si>
    <t>#F0EAE0</t>
  </si>
  <si>
    <t>±0.05mm</t>
  </si>
  <si>
    <t>250–270°C</t>
  </si>
  <si>
    <t>70–90°C</t>
  </si>
  <si>
    <t>80°C / 12h</t>
  </si>
  <si>
    <t>C</t>
  </si>
  <si>
    <t>Line existence confirmed (azurefilm.com nav: "NYLON filaments"); very moisture-sensitive</t>
  </si>
  <si>
    <t>Deep-dive follow-up 2026-07-19; NEW LINE — not previously in catalog</t>
  </si>
  <si>
    <t>AZ-PCABS-01</t>
  </si>
  <si>
    <t>AzureFilm PC-ABS</t>
  </si>
  <si>
    <t>90–110°C</t>
  </si>
  <si>
    <t>70°C / 8h</t>
  </si>
  <si>
    <t>Line existence confirmed (azurefilm.com nav: "PC ABS Filaments"); enclosure required</t>
  </si>
  <si>
    <t>AZ-PET-BLK</t>
  </si>
  <si>
    <t>AzureFilm PETG</t>
  </si>
  <si>
    <t>220–240°C</t>
  </si>
  <si>
    <t>80–90°C</t>
  </si>
  <si>
    <t>65°C / 6h</t>
  </si>
  <si>
    <t>A</t>
  </si>
  <si>
    <t>Manufacturer TDS-confirmed (azurefilm.com); standard reel, not Bambu-verified</t>
  </si>
  <si>
    <t>AZ-PET-CLR</t>
  </si>
  <si>
    <t>Clear / Natural</t>
  </si>
  <si>
    <t>#E7F2F1</t>
  </si>
  <si>
    <t>Translucent</t>
  </si>
  <si>
    <t>AZ-PET-WHT</t>
  </si>
  <si>
    <t>AZ-PLA-BLK</t>
  </si>
  <si>
    <t>AzureFilm Original PLA</t>
  </si>
  <si>
    <t>200–230°C</t>
  </si>
  <si>
    <t>50–60°C (not required)</t>
  </si>
  <si>
    <t>45°C / 4h</t>
  </si>
  <si>
    <t>AZ-SMN-BLK</t>
  </si>
  <si>
    <t>AzureFilm Strongman PLA</t>
  </si>
  <si>
    <t>50°C / 6h</t>
  </si>
  <si>
    <t>Toughened PLA blend; manufacturer TDS-confirmed (azurefilm.com)</t>
  </si>
  <si>
    <t>AZ-PLA-BLU</t>
  </si>
  <si>
    <t>Blue</t>
  </si>
  <si>
    <t>#1F5FA8</t>
  </si>
  <si>
    <t>AZ-PLA-EMR</t>
  </si>
  <si>
    <t>Emerald Green</t>
  </si>
  <si>
    <t>#285D5E</t>
  </si>
  <si>
    <t>Hex colorimeter-confirmed (filamentcolors.xyz)</t>
  </si>
  <si>
    <t>AZ-PLA-GRY</t>
  </si>
  <si>
    <t>#8D989D</t>
  </si>
  <si>
    <t>AZ-SMN-GRY</t>
  </si>
  <si>
    <t>#8A8F94</t>
  </si>
  <si>
    <t>AZ-PLA-LGR</t>
  </si>
  <si>
    <t>Light Green</t>
  </si>
  <si>
    <t>#8CC63F</t>
  </si>
  <si>
    <t>AZ-PLA-ORG</t>
  </si>
  <si>
    <t>Orange</t>
  </si>
  <si>
    <t>#EA7125</t>
  </si>
  <si>
    <t>AZ-PLA-PUR</t>
  </si>
  <si>
    <t>Purple</t>
  </si>
  <si>
    <t>#6E3F8F</t>
  </si>
  <si>
    <t>AZ-PLA-RED</t>
  </si>
  <si>
    <t>Red</t>
  </si>
  <si>
    <t>#C81E2C</t>
  </si>
  <si>
    <t>AZ-PLA-WHT</t>
  </si>
  <si>
    <t>#F3F3EB</t>
  </si>
  <si>
    <t>AZ-SMN-WHT</t>
  </si>
  <si>
    <t>#F2F2ED</t>
  </si>
  <si>
    <t>AZ-PLA-YEL</t>
  </si>
  <si>
    <t>Yellow</t>
  </si>
  <si>
    <t>#F4C61F</t>
  </si>
  <si>
    <t>AZ-GLT-BLU</t>
  </si>
  <si>
    <t>AzureFilm Glitter PLA</t>
  </si>
  <si>
    <t>Blue Glitter</t>
  </si>
  <si>
    <t>#1D4E8F</t>
  </si>
  <si>
    <t>210–225°C</t>
  </si>
  <si>
    <t>55–60°C</t>
  </si>
  <si>
    <t>Glitter fill; 0.4mm+ nozzle recommended; temps not manufacturer-confirmed</t>
  </si>
  <si>
    <t>AZ-GLT-RED</t>
  </si>
  <si>
    <t>Red Glitter</t>
  </si>
  <si>
    <t>#A31E2E</t>
  </si>
  <si>
    <t>AZ-MAT-09</t>
  </si>
  <si>
    <t>AzureFilm PLA Matte HS</t>
  </si>
  <si>
    <t>Army Green</t>
  </si>
  <si>
    <t>#999999</t>
  </si>
  <si>
    <t>205–225°C</t>
  </si>
  <si>
    <t>50–60°C</t>
  </si>
  <si>
    <t>PLACEHOLDER — color confirmed real (3DJake/azurefilm.com listings, part of the confirmed 13-color line) but hex not found on 3dfilamentprofiles.com or any other checked source this pass</t>
  </si>
  <si>
    <t>New color, part of the 13-color PLA Matte HS expansion added 2026-09-17 | Hex: unconfirmed</t>
  </si>
  <si>
    <t>AZ-MAT-01</t>
  </si>
  <si>
    <t>RESOLVED 2026-09-17 (was PLACEHOLDER, single-color-only): full 13-color line confirmed via 3dfilamentprofiles.com's dedicated AzureFilm collection page (numberOfItems: 13) and azurefilm.com's own site nav; line's real name is "PLA Matte HS" not plain "PLA Matte" as previously catalogued — material_type/product_name corrected to match. Print temp also corrected from 200-220°C to the manufacturer-confirmed 205-225°C (3dfilamentprofiles.com, SKU FM171-9005).</t>
  </si>
  <si>
    <t>Line renamed from "PLA Matte" to "PLA Matte HS" 2026-09-17 to match the real product name</t>
  </si>
  <si>
    <t>AZ-MAT-06</t>
  </si>
  <si>
    <t>AZ-MAT-11</t>
  </si>
  <si>
    <t>Bordeaux</t>
  </si>
  <si>
    <t>PLACEHOLDER — color confirmed real (3DJake listing, part of the confirmed 13-color line) but hex not found on 3dfilamentprofiles.com or any other checked source this pass</t>
  </si>
  <si>
    <t>AZ-MAT-12</t>
  </si>
  <si>
    <t>Coral</t>
  </si>
  <si>
    <t>PLACEHOLDER — color confirmed real (filascope.com product tag listing, part of the confirmed 13-color line) but hex not found on 3dfilamentprofiles.com or any other checked source this pass</t>
  </si>
  <si>
    <t>AZ-MAT-04</t>
  </si>
  <si>
    <t>Creamstone</t>
  </si>
  <si>
    <t>#D4CBA5</t>
  </si>
  <si>
    <t>ADDED 2026-09-17: hex #D4CBA5 and temps manufacturer-confirmed via 3dfilamentprofiles.com (SKU FM171-1015)</t>
  </si>
  <si>
    <t>New color, part of the 13-color PLA Matte HS expansion added 2026-09-17</t>
  </si>
  <si>
    <t>AZ-MAT-08</t>
  </si>
  <si>
    <t>Lime</t>
  </si>
  <si>
    <t>AZ-MAT-07</t>
  </si>
  <si>
    <t>Mint</t>
  </si>
  <si>
    <t>60°C</t>
  </si>
  <si>
    <t>PLACEHOLDER — color confirmed real (azurefilm.com's own product page, bed temp 60°C per that page) but hex not found on 3dfilamentprofiles.com or any other checked source this pass</t>
  </si>
  <si>
    <t>AZ-MAT-13</t>
  </si>
  <si>
    <t>Mist Grey</t>
  </si>
  <si>
    <t>AZ-MAT-02</t>
  </si>
  <si>
    <t>Off-White</t>
  </si>
  <si>
    <t>#E0D3CC</t>
  </si>
  <si>
    <t>ADDED 2026-09-17: hex #E0D3CC and temps manufacturer-confirmed via 3dfilamentprofiles.com (SKU FM171-9002)</t>
  </si>
  <si>
    <t>AZ-MAT-10</t>
  </si>
  <si>
    <t>Rosy</t>
  </si>
  <si>
    <t>PLACEHOLDER — color confirmed real (azurefilm.com's own product page FM171-3015) but hex not found on 3dfilamentprofiles.com or any other checked source this pass</t>
  </si>
  <si>
    <t>AZ-MAT-03</t>
  </si>
  <si>
    <t>Sage</t>
  </si>
  <si>
    <t>#9EA191</t>
  </si>
  <si>
    <t>ADDED 2026-09-17: hex #9EA191 and temps manufacturer-confirmed via 3dfilamentprofiles.com (SKU FM171-6021). A separate source (filascope.com) listed an incorrect #9034C5 (a purple) for this same color name -- verified wrong by simple inspection (Sage should read as a muted green) and not used. 3dfilamentprofiles.com's #9EA191 is consistent with the name.</t>
  </si>
  <si>
    <t>New color, part of the 13-color PLA Matte HS expansion added 2026-09-17 | Note: a bad hex for this exact color exists on filascope.com -- do not use it if cross-checking</t>
  </si>
  <si>
    <t>AZ-MAT-05</t>
  </si>
  <si>
    <t>AZ-PST-BBL</t>
  </si>
  <si>
    <t>AzureFilm Pastel PLA</t>
  </si>
  <si>
    <t>Baby Blue</t>
  </si>
  <si>
    <t>#AED6E8</t>
  </si>
  <si>
    <t>195–215°C</t>
  </si>
  <si>
    <t>Standard pastel PLA; temps not manufacturer-confirmed</t>
  </si>
  <si>
    <t>AZ-PST-MNT</t>
  </si>
  <si>
    <t>#B8E3C8</t>
  </si>
  <si>
    <t>AZ-PRIME-01</t>
  </si>
  <si>
    <t>AzureFilm PLA Prime</t>
  </si>
  <si>
    <t>Line existence confirmed (azurefilm.com nav: "PLA Prime"); premium PLA tier, distinct from PLA Original/Strongman; specs estimated</t>
  </si>
  <si>
    <t>AZ-SLK-CPR</t>
  </si>
  <si>
    <t>AzureFilm Silk PLA</t>
  </si>
  <si>
    <t>Copper</t>
  </si>
  <si>
    <t>#B36A4E</t>
  </si>
  <si>
    <t>210–240°C</t>
  </si>
  <si>
    <t>70–80°C (not required)</t>
  </si>
  <si>
    <t>Manufacturer TDS-confirmed (azurefilm.com); silk finish prints best slower</t>
  </si>
  <si>
    <t>AZ-SLK-GLD</t>
  </si>
  <si>
    <t>Gold</t>
  </si>
  <si>
    <t>#C9A24B</t>
  </si>
  <si>
    <t>AZ-WOD-BAM</t>
  </si>
  <si>
    <t>AzureFilm LumberLay Wood PLA</t>
  </si>
  <si>
    <t>Bamboo</t>
  </si>
  <si>
    <t>#B08D57</t>
  </si>
  <si>
    <t>Wood-fill; larger nozzle recommended, mildly abrasive; temps not manufacturer-confirmed</t>
  </si>
  <si>
    <t>AZ-CF-01</t>
  </si>
  <si>
    <t>AzureFilm Carbon Fiber PLA</t>
  </si>
  <si>
    <t>210–230°C</t>
  </si>
  <si>
    <t>50–70°C</t>
  </si>
  <si>
    <t>65°C / 8h</t>
  </si>
  <si>
    <t>Line existence confirmed (azurefilm.com nav: "CARBON FIBER filaments"); abrasive, hardened nozzle recommended</t>
  </si>
  <si>
    <t>AZ-FLX-BLK</t>
  </si>
  <si>
    <t>AzureFilm Flexible 85A</t>
  </si>
  <si>
    <t>80°C</t>
  </si>
  <si>
    <t>50°C / 8h</t>
  </si>
  <si>
    <t>Flexible 85A shore; manufacturer product-page confirmed; external-spool-only on all Bambu AMS variants</t>
  </si>
  <si>
    <t>AZ-FLX-WHT</t>
  </si>
  <si>
    <t>#EFEFEA</t>
  </si>
  <si>
    <t>AzureFilm  —  Material Guide</t>
  </si>
  <si>
    <t>Material</t>
  </si>
  <si>
    <t>Enclosure Required</t>
  </si>
  <si>
    <t>AMS Compatible</t>
  </si>
  <si>
    <t>Drying Required</t>
  </si>
  <si>
    <t>Yes</t>
  </si>
  <si>
    <t>Optional</t>
  </si>
  <si>
    <t>Original PLA — 10 core colors; manufacturer TDS-confirmed; ±0.02mm stated tolerance</t>
  </si>
  <si>
    <t>PLA (Strongman)</t>
  </si>
  <si>
    <t>Recommended</t>
  </si>
  <si>
    <t>Toughened PLA blend — manufacturer TDS-confirmed; higher impact resistance than standard PLA</t>
  </si>
  <si>
    <t>PLA (Silk)</t>
  </si>
  <si>
    <t>Manufacturer TDS-confirmed; prints best slower to preserve shine</t>
  </si>
  <si>
    <t>PLA (Wood/Glitter/Pastel)</t>
  </si>
  <si>
    <t>195–225°C</t>
  </si>
  <si>
    <t>Effect PLAs — temps not independently manufacturer-confirmed; Glitter needs 0.4mm+ nozzle</t>
  </si>
  <si>
    <t>Manufacturer TDS-confirmed; Hyper Speed PETG line also available</t>
  </si>
  <si>
    <t>ABS Plus</t>
  </si>
  <si>
    <t>⚠</t>
  </si>
  <si>
    <t>Manufacturer product-page confirmed; enclosure required; AMS Lite ✗</t>
  </si>
  <si>
    <t>ABS Prime</t>
  </si>
  <si>
    <t>Manufacturer product-page confirmed; zero-warping formula; enclosure recommended</t>
  </si>
  <si>
    <t>Manufacturer TDS-confirmed (Original + Prime); UV/weather resistant</t>
  </si>
  <si>
    <t>TPU (Flexible 85A)</t>
  </si>
  <si>
    <t>Manufacturer product-page confirmed; AzureFilm markets this line as "Flexible 85A"; external spool only on all Bambu AMS variants</t>
  </si>
  <si>
    <t>⚙  Configuration</t>
  </si>
  <si>
    <t>Setting</t>
  </si>
  <si>
    <t>Value</t>
  </si>
  <si>
    <t>Brand</t>
  </si>
  <si>
    <t>AzureFilm</t>
  </si>
  <si>
    <t>File Version</t>
  </si>
  <si>
    <t>v3</t>
  </si>
  <si>
    <t>Generated</t>
  </si>
  <si>
    <t>2026-09-18</t>
  </si>
  <si>
    <t>Date this file was last generated by generate_all.py</t>
  </si>
  <si>
    <t>SKU Note</t>
  </si>
  <si>
    <t>Reference codes — verify at manufacturer site</t>
  </si>
  <si>
    <t>SKU column: confirmed mfr codes noted above; others are internal reference codes</t>
  </si>
  <si>
    <t>Hex Note</t>
  </si>
  <si>
    <t>Per-row confirmation status is tracked in each Catalog row's Notes column (manufacturer TDS-confirmed, official product-page confirmed, or unconfirmed placeholder). #999999 in the Hex Code column always means unconfirmed placeholder, not a real color.</t>
  </si>
  <si>
    <t>Approximate hex = visually representative; not manufacturer-confirmed</t>
  </si>
  <si>
    <t>Inventory Note</t>
  </si>
  <si>
    <t>This workbook covers catalog reference data only. On-hand spool inventory is tracked separately in Filament_Inventory.xlsx.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</si>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</sst>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7F6000"/>
      <name val="Arial"/>
      <charset val="1"/>
    </font>
    <font>
      <sz val="10"/>
      <color rgb="FF000000"/>
      <name val="Arial"/>
      <charset val="1"/>
    </font>
    <font>
      <b/>
      <sz val="10"/>
      <color rgb="FF276221"/>
      <name val="Arial"/>
      <charset val="1"/>
    </font>
    <font>
      <b/>
      <sz val="10"/>
      <color rgb="FF1F3864"/>
      <name val="Arial"/>
      <charset val="1"/>
    </font>
    <font>
      <b/>
      <sz val="10"/>
      <color rgb="FF9C0006"/>
      <name val="Arial"/>
      <charset val="1"/>
    </font>
    <font>
      <i/>
      <sz val="10"/>
      <color rgb="FF000000"/>
      <name val="Arial"/>
      <charset val="1"/>
    </font>
    <font>
      <b/>
      <sz val="13"/>
      <color rgb="FFFFFFFF"/>
      <name val="Arial"/>
      <charset val="1"/>
    </font>
    <font>
      <sz val="9"/>
      <color rgb="FF444444"/>
      <name val="Arial"/>
      <charset val="1"/>
    </font>
    <font>
      <sz val="10"/>
      <name val="Arial"/>
      <family val="2"/>
    </font>
    <font>
      <b/>
      <sz val="12"/>
      <color rgb="FFFFFFFF"/>
      <name val="Arial"/>
      <charset val="1"/>
    </font>
    <font>
      <sz val="10"/>
      <color rgb="FF7F6000"/>
      <name val="Arial"/>
      <charset val="1"/>
    </font>
  </fonts>
  <fills count="64">
    <fill>
      <patternFill patternType="none"/>
    </fill>
    <fill>
      <patternFill patternType="gray125"/>
    </fill>
    <fill>
      <patternFill patternType="solid">
        <fgColor rgb="FF1F3864"/>
        <bgColor rgb="FF284E97"/>
      </patternFill>
    </fill>
    <fill>
      <patternFill patternType="solid">
        <fgColor rgb="FF284E97"/>
        <bgColor rgb="FF1F3864"/>
      </patternFill>
    </fill>
    <fill>
      <patternFill patternType="solid">
        <fgColor rgb="FFF2F2F2"/>
        <bgColor rgb="FFF1F2F3"/>
      </patternFill>
    </fill>
    <fill>
      <patternFill patternType="solid">
        <fgColor rgb="FFFFFFFF"/>
        <bgColor rgb="FFFDFDFC"/>
      </patternFill>
    </fill>
    <fill>
      <patternFill patternType="solid">
        <fgColor rgb="FFFFD700"/>
        <bgColor rgb="FFF4C61F"/>
      </patternFill>
    </fill>
    <fill>
      <patternFill patternType="solid">
        <fgColor rgb="FF91CF49"/>
        <bgColor rgb="FF9C9D95"/>
      </patternFill>
    </fill>
    <fill>
      <patternFill patternType="solid">
        <fgColor rgb="FFB9D7ED"/>
        <bgColor rgb="FFB8CCE4"/>
      </patternFill>
    </fill>
    <fill>
      <patternFill patternType="solid">
        <fgColor rgb="FFF4B8B8"/>
        <bgColor rgb="FFFFC7CE"/>
      </patternFill>
    </fill>
    <fill>
      <patternFill patternType="solid">
        <fgColor rgb="FFFFEB9C"/>
        <bgColor rgb="FFFFF2CC"/>
      </patternFill>
    </fill>
    <fill>
      <patternFill patternType="darkGray">
        <fgColor rgb="FF000000"/>
        <bgColor rgb="FF1F3864"/>
      </patternFill>
    </fill>
    <fill>
      <patternFill patternType="solid">
        <fgColor rgb="FFE3E7EE"/>
        <bgColor rgb="FFEDE7F1"/>
      </patternFill>
    </fill>
    <fill>
      <patternFill patternType="solid">
        <fgColor rgb="FFEEF3FB"/>
        <bgColor rgb="FFF1F2F3"/>
      </patternFill>
    </fill>
    <fill>
      <patternFill patternType="solid">
        <fgColor rgb="FFF0F0EA"/>
        <bgColor rgb="FFEFEFEA"/>
      </patternFill>
    </fill>
    <fill>
      <patternFill patternType="solid">
        <fgColor rgb="FFFDFDFC"/>
        <bgColor rgb="FFFCFDFD"/>
      </patternFill>
    </fill>
    <fill>
      <patternFill patternType="solid">
        <fgColor rgb="FF7E7F81"/>
        <bgColor rgb="FF8C9499"/>
      </patternFill>
    </fill>
    <fill>
      <patternFill patternType="darkGray">
        <fgColor rgb="FFF0F1F2"/>
        <bgColor rgb="FFEDF1F1"/>
      </patternFill>
    </fill>
    <fill>
      <patternFill patternType="solid">
        <fgColor rgb="FFF0EAE0"/>
        <bgColor rgb="FFF5EDE9"/>
      </patternFill>
    </fill>
    <fill>
      <patternFill patternType="solid">
        <fgColor rgb="FFFDFCFB"/>
        <bgColor rgb="FFFDFDFC"/>
      </patternFill>
    </fill>
    <fill>
      <patternFill patternType="solid">
        <fgColor rgb="FFEDF1F1"/>
        <bgColor rgb="FFF0F1F2"/>
      </patternFill>
    </fill>
    <fill>
      <patternFill patternType="solid">
        <fgColor rgb="FFFCFDFD"/>
        <bgColor rgb="FFFDFDFC"/>
      </patternFill>
    </fill>
    <fill>
      <patternFill patternType="solid">
        <fgColor rgb="FF284E97"/>
        <bgColor rgb="FF1F3864"/>
      </patternFill>
    </fill>
    <fill>
      <patternFill patternType="solid">
        <fgColor rgb="FFE5EBF2"/>
        <bgColor rgb="FFE3E7EE"/>
      </patternFill>
    </fill>
    <fill>
      <patternFill patternType="mediumGray">
        <fgColor rgb="FF276126"/>
        <bgColor rgb="FF284E97"/>
      </patternFill>
    </fill>
    <fill>
      <patternFill patternType="darkGray">
        <fgColor rgb="FFE5EBF2"/>
        <bgColor rgb="FFE3E7EE"/>
      </patternFill>
    </fill>
    <fill>
      <patternFill patternType="darkGray">
        <fgColor rgb="FF8C9499"/>
        <bgColor rgb="FF9C9D95"/>
      </patternFill>
    </fill>
    <fill>
      <patternFill patternType="solid">
        <fgColor rgb="FFF1F2F3"/>
        <bgColor rgb="FFF2F2F2"/>
      </patternFill>
    </fill>
    <fill>
      <patternFill patternType="solid">
        <fgColor rgb="FF8C9499"/>
        <bgColor rgb="FF9C9D95"/>
      </patternFill>
    </fill>
    <fill>
      <patternFill patternType="solid">
        <fgColor rgb="FFF0F1F2"/>
        <bgColor rgb="FFF1F2F3"/>
      </patternFill>
    </fill>
    <fill>
      <patternFill patternType="solid">
        <fgColor rgb="FF91CF49"/>
        <bgColor rgb="FF9C9D95"/>
      </patternFill>
    </fill>
    <fill>
      <patternFill patternType="solid">
        <fgColor rgb="FFF1F8E7"/>
        <bgColor rgb="FFF3F3EB"/>
      </patternFill>
    </fill>
    <fill>
      <patternFill patternType="solid">
        <fgColor rgb="FFEA7125"/>
        <bgColor rgb="FFC19851"/>
      </patternFill>
    </fill>
    <fill>
      <patternFill patternType="solid">
        <fgColor rgb="FFFCEDE4"/>
        <bgColor rgb="FFF5EDE9"/>
      </patternFill>
    </fill>
    <fill>
      <patternFill patternType="solid">
        <fgColor rgb="FFEDE7F1"/>
        <bgColor rgb="FFE5EBF2"/>
      </patternFill>
    </fill>
    <fill>
      <patternFill patternType="solid">
        <fgColor rgb="FFBC1E2D"/>
        <bgColor rgb="FF9C0006"/>
      </patternFill>
    </fill>
    <fill>
      <patternFill patternType="solid">
        <fgColor rgb="FFF8E4E5"/>
        <bgColor rgb="FFF3E4E5"/>
      </patternFill>
    </fill>
    <fill>
      <patternFill patternType="solid">
        <fgColor rgb="FFF3F3EB"/>
        <bgColor rgb="FFF2F2ED"/>
      </patternFill>
    </fill>
    <fill>
      <patternFill patternType="solid">
        <fgColor rgb="FFF2F2ED"/>
        <bgColor rgb="FFF3F3EB"/>
      </patternFill>
    </fill>
    <fill>
      <patternFill patternType="solid">
        <fgColor rgb="FFF4C61F"/>
        <bgColor rgb="FFFFD700"/>
      </patternFill>
    </fill>
    <fill>
      <patternFill patternType="solid">
        <fgColor rgb="FFFDF8E4"/>
        <bgColor rgb="FFF8F3E9"/>
      </patternFill>
    </fill>
    <fill>
      <patternFill patternType="darkGray">
        <fgColor rgb="FF284E97"/>
        <bgColor rgb="FF1F3864"/>
      </patternFill>
    </fill>
    <fill>
      <patternFill patternType="mediumGray">
        <fgColor rgb="FFE3E7EE"/>
        <bgColor rgb="FFE5EBF2"/>
      </patternFill>
    </fill>
    <fill>
      <patternFill patternType="darkGray">
        <fgColor rgb="FFBC1E2D"/>
        <bgColor rgb="FF9C0006"/>
      </patternFill>
    </fill>
    <fill>
      <patternFill patternType="solid">
        <fgColor rgb="FFF3E4E5"/>
        <bgColor rgb="FFF8E4E5"/>
      </patternFill>
    </fill>
    <fill>
      <patternFill patternType="darkGray">
        <fgColor rgb="FF9C9D95"/>
        <bgColor rgb="FF8C9499"/>
      </patternFill>
    </fill>
    <fill>
      <patternFill patternType="solid">
        <fgColor rgb="FFDDD0BF"/>
        <bgColor rgb="FFF4B8B8"/>
      </patternFill>
    </fill>
    <fill>
      <patternFill patternType="solid">
        <fgColor rgb="FFF9F8F4"/>
        <bgColor rgb="FFFBF9F8"/>
      </patternFill>
    </fill>
    <fill>
      <patternFill patternType="darkGray">
        <fgColor rgb="FFDDD0BF"/>
        <bgColor rgb="FFF3E4E5"/>
      </patternFill>
    </fill>
    <fill>
      <patternFill patternType="solid">
        <fgColor rgb="FFFBF9F8"/>
        <bgColor rgb="FFF9F8F4"/>
      </patternFill>
    </fill>
    <fill>
      <patternFill patternType="solid">
        <fgColor rgb="FF9C9D95"/>
        <bgColor rgb="FF8C9499"/>
      </patternFill>
    </fill>
    <fill>
      <patternFill patternType="solid">
        <fgColor rgb="FFF3F3F1"/>
        <bgColor rgb="FFF2F2F2"/>
      </patternFill>
    </fill>
    <fill>
      <patternFill patternType="darkGray">
        <fgColor rgb="FFB9D7ED"/>
        <bgColor rgb="FFB8CCE4"/>
      </patternFill>
    </fill>
    <fill>
      <patternFill patternType="solid">
        <fgColor rgb="FFF5FAFC"/>
        <bgColor rgb="FFF6FBF8"/>
      </patternFill>
    </fill>
    <fill>
      <patternFill patternType="darkGray">
        <fgColor rgb="FFC5EECD"/>
        <bgColor rgb="FFB9D7ED"/>
      </patternFill>
    </fill>
    <fill>
      <patternFill patternType="solid">
        <fgColor rgb="FFF6FBF8"/>
        <bgColor rgb="FFF5FAFC"/>
      </patternFill>
    </fill>
    <fill>
      <patternFill patternType="mediumGray">
        <fgColor rgb="FFA15B05"/>
        <bgColor rgb="FFEA7125"/>
      </patternFill>
    </fill>
    <fill>
      <patternFill patternType="solid">
        <fgColor rgb="FFF5EDE9"/>
        <bgColor rgb="FFF5F1EA"/>
      </patternFill>
    </fill>
    <fill>
      <patternFill patternType="solid">
        <fgColor rgb="FFC19851"/>
        <bgColor rgb="FF9C9D95"/>
      </patternFill>
    </fill>
    <fill>
      <patternFill patternType="solid">
        <fgColor rgb="FFF8F3E9"/>
        <bgColor rgb="FFF5F1EA"/>
      </patternFill>
    </fill>
    <fill>
      <patternFill patternType="darkGray">
        <fgColor rgb="FFC19851"/>
        <bgColor rgb="FF9C9D95"/>
      </patternFill>
    </fill>
    <fill>
      <patternFill patternType="solid">
        <fgColor rgb="FFF5F1EA"/>
        <bgColor rgb="FFF3F3EB"/>
      </patternFill>
    </fill>
    <fill>
      <patternFill patternType="solid">
        <fgColor rgb="FFEFEFEA"/>
        <bgColor rgb="FFF0F0EA"/>
      </patternFill>
    </fill>
    <fill>
      <patternFill patternType="solid">
        <fgColor rgb="FFFFF2CC"/>
        <bgColor rgb="FFFCEDE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0" fontId="11" fillId="25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11" fillId="27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11" fillId="29" borderId="1" xfId="0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11" fillId="31" borderId="1" xfId="0" applyFont="1" applyFill="1" applyBorder="1" applyAlignment="1">
      <alignment horizontal="center" vertical="center" wrapText="1"/>
    </xf>
    <xf numFmtId="0" fontId="5" fillId="32" borderId="1" xfId="0" applyFont="1" applyFill="1" applyBorder="1" applyAlignment="1">
      <alignment horizontal="center" vertical="center" wrapText="1"/>
    </xf>
    <xf numFmtId="0" fontId="11" fillId="33" borderId="1" xfId="0" applyFont="1" applyFill="1" applyBorder="1" applyAlignment="1">
      <alignment horizontal="center" vertical="center" wrapText="1"/>
    </xf>
    <xf numFmtId="0" fontId="11" fillId="34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1" fillId="36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5" fillId="38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11" fillId="40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11" fillId="42" borderId="1" xfId="0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11" fillId="44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46" borderId="1" xfId="0" applyFont="1" applyFill="1" applyBorder="1" applyAlignment="1">
      <alignment horizontal="center" vertical="center" wrapText="1"/>
    </xf>
    <xf numFmtId="0" fontId="11" fillId="47" borderId="1" xfId="0" applyFont="1" applyFill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 wrapText="1"/>
    </xf>
    <xf numFmtId="0" fontId="11" fillId="49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 wrapText="1"/>
    </xf>
    <xf numFmtId="0" fontId="11" fillId="51" borderId="1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 wrapText="1"/>
    </xf>
    <xf numFmtId="0" fontId="11" fillId="53" borderId="1" xfId="0" applyFont="1" applyFill="1" applyBorder="1" applyAlignment="1">
      <alignment horizontal="center" vertical="center" wrapText="1"/>
    </xf>
    <xf numFmtId="0" fontId="5" fillId="54" borderId="1" xfId="0" applyFont="1" applyFill="1" applyBorder="1" applyAlignment="1">
      <alignment horizontal="center" vertical="center" wrapText="1"/>
    </xf>
    <xf numFmtId="0" fontId="11" fillId="55" borderId="1" xfId="0" applyFont="1" applyFill="1" applyBorder="1" applyAlignment="1">
      <alignment horizontal="center" vertical="center" wrapText="1"/>
    </xf>
    <xf numFmtId="0" fontId="5" fillId="56" borderId="1" xfId="0" applyFont="1" applyFill="1" applyBorder="1" applyAlignment="1">
      <alignment horizontal="center" vertical="center" wrapText="1"/>
    </xf>
    <xf numFmtId="0" fontId="11" fillId="57" borderId="1" xfId="0" applyFont="1" applyFill="1" applyBorder="1" applyAlignment="1">
      <alignment horizontal="center" vertical="center" wrapText="1"/>
    </xf>
    <xf numFmtId="0" fontId="5" fillId="58" borderId="1" xfId="0" applyFont="1" applyFill="1" applyBorder="1" applyAlignment="1">
      <alignment horizontal="center" vertical="center" wrapText="1"/>
    </xf>
    <xf numFmtId="0" fontId="11" fillId="59" borderId="1" xfId="0" applyFont="1" applyFill="1" applyBorder="1" applyAlignment="1">
      <alignment horizontal="center" vertical="center" wrapText="1"/>
    </xf>
    <xf numFmtId="0" fontId="5" fillId="60" borderId="1" xfId="0" applyFont="1" applyFill="1" applyBorder="1" applyAlignment="1">
      <alignment horizontal="center" vertical="center" wrapText="1"/>
    </xf>
    <xf numFmtId="0" fontId="11" fillId="61" borderId="1" xfId="0" applyFont="1" applyFill="1" applyBorder="1" applyAlignment="1">
      <alignment horizontal="center" vertical="center" wrapText="1"/>
    </xf>
    <xf numFmtId="0" fontId="5" fillId="6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6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4" fillId="6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7F4F00"/>
        <name val="Arial"/>
        <charset val="1"/>
      </font>
      <fill>
        <patternFill>
          <bgColor rgb="FFFFCC66"/>
        </patternFill>
      </fill>
    </dxf>
    <dxf>
      <font>
        <color rgb="FF9C0006"/>
        <name val="Arial"/>
        <charset val="1"/>
      </font>
      <fill>
        <patternFill>
          <bgColor rgb="FFF4B8B8"/>
        </patternFill>
      </fill>
    </dxf>
    <dxf>
      <font>
        <color rgb="FF1F3864"/>
        <name val="Arial"/>
        <charset val="1"/>
      </font>
      <fill>
        <patternFill>
          <bgColor rgb="FFBDD7EE"/>
        </patternFill>
      </fill>
    </dxf>
    <dxf>
      <font>
        <color rgb="FF276221"/>
        <name val="Arial"/>
        <charset val="1"/>
      </font>
      <fill>
        <patternFill>
          <bgColor rgb="FF92D050"/>
        </patternFill>
      </fill>
    </dxf>
    <dxf>
      <font>
        <color rgb="FF7F6000"/>
        <name val="Arial"/>
        <charset val="1"/>
      </font>
      <fill>
        <patternFill>
          <bgColor rgb="FFFFD700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276221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8F3E9"/>
      <rgbColor rgb="FFF1F8E7"/>
      <rgbColor rgb="FFF6FBF8"/>
      <rgbColor rgb="FFFFF2CC"/>
      <rgbColor rgb="FFFCEDE4"/>
      <rgbColor rgb="FFEDF1F1"/>
      <rgbColor rgb="FF9C0006"/>
      <rgbColor rgb="FF276126"/>
      <rgbColor rgb="FFFCFDFD"/>
      <rgbColor rgb="FFA15B05"/>
      <rgbColor rgb="FFF2F2F2"/>
      <rgbColor rgb="FFF0F1F2"/>
      <rgbColor rgb="FFDDD0BF"/>
      <rgbColor rgb="FF7E7F81"/>
      <rgbColor rgb="FF9C9D95"/>
      <rgbColor rgb="FFBC1E2D"/>
      <rgbColor rgb="FFFDF8E4"/>
      <rgbColor rgb="FFEEF3FB"/>
      <rgbColor rgb="FFF9F8F4"/>
      <rgbColor rgb="FFC19851"/>
      <rgbColor rgb="FFF1F2F3"/>
      <rgbColor rgb="FFB8CCE4"/>
      <rgbColor rgb="FFFDFDFC"/>
      <rgbColor rgb="FFF5F1EA"/>
      <rgbColor rgb="FFF0EAE0"/>
      <rgbColor rgb="FFEFEFEA"/>
      <rgbColor rgb="FFF3F3F1"/>
      <rgbColor rgb="FFFBF9F8"/>
      <rgbColor rgb="FFF2F2ED"/>
      <rgbColor rgb="FFFDFCFB"/>
      <rgbColor rgb="FFF0F0EA"/>
      <rgbColor rgb="FFE5EBF2"/>
      <rgbColor rgb="FFC5EECD"/>
      <rgbColor rgb="FFFFEB9C"/>
      <rgbColor rgb="FFB9D7ED"/>
      <rgbColor rgb="FFF4B8B8"/>
      <rgbColor rgb="FFFFC7CE"/>
      <rgbColor rgb="FFFFCC66"/>
      <rgbColor rgb="FFF8E4E5"/>
      <rgbColor rgb="FFE3E7EE"/>
      <rgbColor rgb="FF91CF49"/>
      <rgbColor rgb="FFFFD700"/>
      <rgbColor rgb="FFF4C61F"/>
      <rgbColor rgb="FFEA7125"/>
      <rgbColor rgb="FFF3E4E5"/>
      <rgbColor rgb="FF8C9499"/>
      <rgbColor rgb="FF1F3864"/>
      <rgbColor rgb="FFEDE7F1"/>
      <rgbColor rgb="FFF5FAFC"/>
      <rgbColor rgb="FFF3F3EB"/>
      <rgbColor rgb="FF804C00"/>
      <rgbColor rgb="FFF5EDE9"/>
      <rgbColor rgb="FF284E97"/>
      <rgbColor rgb="FF3A50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H39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32" customWidth="1"/>
    <col min="2" max="2" width="16" customWidth="1"/>
    <col min="3" max="8" width="10" customWidth="1"/>
  </cols>
  <sheetData>
    <row r="1" spans="1:8" ht="36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3" spans="1:8" ht="18" customHeight="1" x14ac:dyDescent="0.25">
      <c r="A3" s="6" t="s">
        <v>1</v>
      </c>
      <c r="B3" s="6"/>
      <c r="C3" s="6"/>
      <c r="D3" s="6"/>
      <c r="E3" s="6"/>
      <c r="F3" s="6"/>
      <c r="G3" s="6"/>
      <c r="H3" s="6"/>
    </row>
    <row r="4" spans="1:8" ht="18" customHeight="1" x14ac:dyDescent="0.25">
      <c r="A4" s="8" t="s">
        <v>2</v>
      </c>
      <c r="B4" s="9">
        <f>COUNTA(Catalog!C3:C1000)-COUNTIF(Catalog!T3:T1000,"~[DISCONTINUED~]*")</f>
        <v>46</v>
      </c>
    </row>
    <row r="5" spans="1:8" ht="18" customHeight="1" x14ac:dyDescent="0.25">
      <c r="A5" s="8" t="s">
        <v>3</v>
      </c>
      <c r="B5" s="10">
        <f>COUNTIF(Catalog!R3:R1000,"S")</f>
        <v>0</v>
      </c>
    </row>
    <row r="6" spans="1:8" ht="18" customHeight="1" x14ac:dyDescent="0.25">
      <c r="A6" s="8" t="s">
        <v>4</v>
      </c>
      <c r="B6" s="11">
        <f>COUNTIF(Catalog!R3:R1000,"A")</f>
        <v>22</v>
      </c>
    </row>
    <row r="7" spans="1:8" ht="18" customHeight="1" x14ac:dyDescent="0.25">
      <c r="A7" s="8" t="s">
        <v>5</v>
      </c>
      <c r="B7" s="12">
        <f>COUNTIF(Catalog!R3:R1000,"B")</f>
        <v>8</v>
      </c>
    </row>
    <row r="8" spans="1:8" ht="18" customHeight="1" x14ac:dyDescent="0.25">
      <c r="A8" s="8" t="s">
        <v>6</v>
      </c>
      <c r="B8" s="13">
        <f>COUNTIF(Catalog!R3:R1000,"C")</f>
        <v>16</v>
      </c>
    </row>
    <row r="9" spans="1:8" ht="18" customHeight="1" x14ac:dyDescent="0.25">
      <c r="A9" s="8" t="s">
        <v>7</v>
      </c>
      <c r="B9" s="14">
        <f>COUNTIF(Catalog!J3:J1000,"Yes")</f>
        <v>0</v>
      </c>
    </row>
    <row r="11" spans="1:8" ht="18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18" customHeight="1" x14ac:dyDescent="0.25">
      <c r="A12" s="15" t="s">
        <v>9</v>
      </c>
      <c r="B12" s="5" t="s">
        <v>10</v>
      </c>
      <c r="C12" s="5"/>
      <c r="D12" s="5"/>
      <c r="E12" s="5"/>
      <c r="F12" s="5"/>
      <c r="G12" s="5"/>
      <c r="H12" s="5"/>
    </row>
    <row r="13" spans="1:8" ht="18" customHeight="1" x14ac:dyDescent="0.25">
      <c r="A13" s="16" t="s">
        <v>11</v>
      </c>
      <c r="B13" s="5" t="s">
        <v>12</v>
      </c>
      <c r="C13" s="5"/>
      <c r="D13" s="5"/>
      <c r="E13" s="5"/>
      <c r="F13" s="5"/>
      <c r="G13" s="5"/>
      <c r="H13" s="5"/>
    </row>
    <row r="14" spans="1:8" ht="18" customHeight="1" x14ac:dyDescent="0.25">
      <c r="A14" s="17" t="s">
        <v>13</v>
      </c>
      <c r="B14" s="5" t="s">
        <v>14</v>
      </c>
      <c r="C14" s="5"/>
      <c r="D14" s="5"/>
      <c r="E14" s="5"/>
      <c r="F14" s="5"/>
      <c r="G14" s="5"/>
      <c r="H14" s="5"/>
    </row>
    <row r="15" spans="1:8" ht="18" customHeight="1" x14ac:dyDescent="0.25">
      <c r="A15" s="18" t="s">
        <v>15</v>
      </c>
      <c r="B15" s="5" t="s">
        <v>16</v>
      </c>
      <c r="C15" s="5"/>
      <c r="D15" s="5"/>
      <c r="E15" s="5"/>
      <c r="F15" s="5"/>
      <c r="G15" s="5"/>
      <c r="H15" s="5"/>
    </row>
    <row r="17" spans="1:8" ht="18" customHeight="1" x14ac:dyDescent="0.25">
      <c r="A17" s="6" t="s">
        <v>17</v>
      </c>
      <c r="B17" s="6"/>
      <c r="C17" s="6"/>
      <c r="D17" s="6"/>
      <c r="E17" s="6"/>
      <c r="F17" s="6"/>
      <c r="G17" s="6"/>
      <c r="H17" s="6"/>
    </row>
    <row r="18" spans="1:8" ht="15" customHeight="1" x14ac:dyDescent="0.25">
      <c r="A18" s="4" t="s">
        <v>18</v>
      </c>
      <c r="B18" s="4"/>
      <c r="C18" s="4"/>
      <c r="D18" s="4"/>
      <c r="E18" s="4"/>
      <c r="F18" s="4"/>
      <c r="G18" s="4"/>
      <c r="H18" s="4"/>
    </row>
    <row r="19" spans="1:8" ht="18" customHeight="1" x14ac:dyDescent="0.25">
      <c r="A19" s="8" t="s">
        <v>19</v>
      </c>
      <c r="B19" s="19" t="str">
        <f>Config!$B$5</f>
        <v>2026-09-18</v>
      </c>
    </row>
    <row r="21" spans="1:8" ht="18" customHeight="1" x14ac:dyDescent="0.25">
      <c r="A21" s="6" t="s">
        <v>20</v>
      </c>
      <c r="B21" s="6"/>
      <c r="C21" s="6"/>
      <c r="D21" s="6"/>
      <c r="E21" s="6"/>
      <c r="F21" s="6"/>
      <c r="G21" s="6"/>
      <c r="H21" s="6"/>
    </row>
    <row r="22" spans="1:8" ht="19.5" customHeight="1" x14ac:dyDescent="0.25">
      <c r="A22" s="3" t="str">
        <f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3"/>
      <c r="C22" s="3"/>
      <c r="D22" s="3"/>
      <c r="E22" s="3"/>
      <c r="F22" s="3"/>
      <c r="G22" s="3"/>
      <c r="H22" s="3"/>
    </row>
    <row r="24" spans="1:8" ht="18" customHeight="1" x14ac:dyDescent="0.25">
      <c r="A24" s="6" t="s">
        <v>21</v>
      </c>
      <c r="B24" s="6"/>
      <c r="C24" s="6"/>
      <c r="D24" s="6"/>
      <c r="E24" s="6"/>
      <c r="F24" s="6"/>
      <c r="G24" s="6"/>
      <c r="H24" s="6"/>
    </row>
    <row r="25" spans="1:8" ht="21.75" customHeight="1" x14ac:dyDescent="0.25">
      <c r="A25" s="20" t="s">
        <v>22</v>
      </c>
      <c r="B25" s="20" t="s">
        <v>23</v>
      </c>
    </row>
    <row r="26" spans="1:8" ht="18" customHeight="1" x14ac:dyDescent="0.25">
      <c r="A26" s="21" t="s">
        <v>24</v>
      </c>
      <c r="B26" s="22">
        <f>COUNTIF(Catalog!A3:A700,"ABS")</f>
        <v>2</v>
      </c>
    </row>
    <row r="27" spans="1:8" ht="18" customHeight="1" x14ac:dyDescent="0.25">
      <c r="A27" s="21" t="s">
        <v>25</v>
      </c>
      <c r="B27" s="22">
        <f>COUNTIF(Catalog!A3:A700,"ASA")</f>
        <v>2</v>
      </c>
    </row>
    <row r="28" spans="1:8" ht="18" customHeight="1" x14ac:dyDescent="0.25">
      <c r="A28" s="21" t="s">
        <v>26</v>
      </c>
      <c r="B28" s="22">
        <f>COUNTIF(Catalog!A3:A700,"PA")</f>
        <v>1</v>
      </c>
    </row>
    <row r="29" spans="1:8" ht="18" customHeight="1" x14ac:dyDescent="0.25">
      <c r="A29" s="21" t="s">
        <v>27</v>
      </c>
      <c r="B29" s="22">
        <f>COUNTIF(Catalog!A3:A700,"PC-ABS")</f>
        <v>1</v>
      </c>
    </row>
    <row r="30" spans="1:8" ht="18" customHeight="1" x14ac:dyDescent="0.25">
      <c r="A30" s="21" t="s">
        <v>28</v>
      </c>
      <c r="B30" s="22">
        <f>COUNTIF(Catalog!A3:A700,"PETG")</f>
        <v>3</v>
      </c>
    </row>
    <row r="31" spans="1:8" ht="18" customHeight="1" x14ac:dyDescent="0.25">
      <c r="A31" s="21" t="s">
        <v>29</v>
      </c>
      <c r="B31" s="22">
        <f>COUNTIF(Catalog!A3:A700,"PLA")</f>
        <v>13</v>
      </c>
    </row>
    <row r="32" spans="1:8" ht="18" customHeight="1" x14ac:dyDescent="0.25">
      <c r="A32" s="21" t="s">
        <v>30</v>
      </c>
      <c r="B32" s="22">
        <f>COUNTIF(Catalog!A3:A700,"PLA Glitter")</f>
        <v>2</v>
      </c>
    </row>
    <row r="33" spans="1:2" ht="18" customHeight="1" x14ac:dyDescent="0.25">
      <c r="A33" s="21" t="s">
        <v>31</v>
      </c>
      <c r="B33" s="22">
        <f>COUNTIF(Catalog!A3:A700,"PLA Matte HS")</f>
        <v>13</v>
      </c>
    </row>
    <row r="34" spans="1:2" ht="18" customHeight="1" x14ac:dyDescent="0.25">
      <c r="A34" s="21" t="s">
        <v>32</v>
      </c>
      <c r="B34" s="22">
        <f>COUNTIF(Catalog!A3:A700,"PLA Pastel")</f>
        <v>2</v>
      </c>
    </row>
    <row r="35" spans="1:2" ht="18" customHeight="1" x14ac:dyDescent="0.25">
      <c r="A35" s="21" t="s">
        <v>33</v>
      </c>
      <c r="B35" s="22">
        <f>COUNTIF(Catalog!A3:A700,"PLA Prime")</f>
        <v>1</v>
      </c>
    </row>
    <row r="36" spans="1:2" ht="18" customHeight="1" x14ac:dyDescent="0.25">
      <c r="A36" s="21" t="s">
        <v>34</v>
      </c>
      <c r="B36" s="22">
        <f>COUNTIF(Catalog!A3:A700,"PLA Silk")</f>
        <v>2</v>
      </c>
    </row>
    <row r="37" spans="1:2" ht="18" customHeight="1" x14ac:dyDescent="0.25">
      <c r="A37" s="21" t="s">
        <v>35</v>
      </c>
      <c r="B37" s="22">
        <f>COUNTIF(Catalog!A3:A700,"PLA Wood")</f>
        <v>1</v>
      </c>
    </row>
    <row r="38" spans="1:2" ht="18" customHeight="1" x14ac:dyDescent="0.25">
      <c r="A38" s="21" t="s">
        <v>36</v>
      </c>
      <c r="B38" s="22">
        <f>COUNTIF(Catalog!A3:A700,"PLA-CF")</f>
        <v>1</v>
      </c>
    </row>
    <row r="39" spans="1:2" ht="18" customHeight="1" x14ac:dyDescent="0.25">
      <c r="A39" s="21" t="s">
        <v>37</v>
      </c>
      <c r="B39" s="22">
        <f>COUNTIF(Catalog!A3:A700,"TPU")</f>
        <v>2</v>
      </c>
    </row>
  </sheetData>
  <mergeCells count="12">
    <mergeCell ref="A22:H22"/>
    <mergeCell ref="A24:H24"/>
    <mergeCell ref="B14:H14"/>
    <mergeCell ref="B15:H15"/>
    <mergeCell ref="A17:H17"/>
    <mergeCell ref="A18:H18"/>
    <mergeCell ref="A21:H21"/>
    <mergeCell ref="A1:H1"/>
    <mergeCell ref="A3:H3"/>
    <mergeCell ref="A11:H11"/>
    <mergeCell ref="B12:H12"/>
    <mergeCell ref="B13:H13"/>
  </mergeCells>
  <conditionalFormatting sqref="A22:H22">
    <cfRule type="expression" dxfId="22" priority="2">
      <formula>NOT(ISERROR(SEARCH("⚠",A22)))</formula>
    </cfRule>
    <cfRule type="expression" dxfId="21" priority="3">
      <formula>NOT(ISERROR(SEARCH("✓",A22)))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48"/>
  <sheetViews>
    <sheetView zoomScaleNormal="100" workbookViewId="0">
      <pane ySplit="2" topLeftCell="A23" activePane="bottomLeft" state="frozen"/>
      <selection pane="bottomLeft" sqref="A1:T1"/>
    </sheetView>
  </sheetViews>
  <sheetFormatPr defaultColWidth="8.7109375" defaultRowHeight="15" outlineLevelCol="1" x14ac:dyDescent="0.25"/>
  <cols>
    <col min="1" max="1" width="18.140625" bestFit="1" customWidth="1"/>
    <col min="2" max="2" width="18.5703125" bestFit="1" customWidth="1"/>
    <col min="3" max="3" width="29.28515625" bestFit="1" customWidth="1"/>
    <col min="4" max="4" width="16.28515625" bestFit="1" customWidth="1"/>
    <col min="5" max="5" width="12.28515625" bestFit="1" customWidth="1"/>
    <col min="6" max="6" width="14.42578125" bestFit="1" customWidth="1"/>
    <col min="7" max="7" width="13.140625" bestFit="1" customWidth="1"/>
    <col min="8" max="8" width="14.7109375" bestFit="1" customWidth="1"/>
    <col min="9" max="9" width="15.85546875" bestFit="1" customWidth="1"/>
    <col min="10" max="10" width="18.140625" bestFit="1" customWidth="1"/>
    <col min="11" max="11" width="16.140625" bestFit="1" customWidth="1"/>
    <col min="12" max="12" width="19.7109375" bestFit="1" customWidth="1"/>
    <col min="13" max="13" width="19" bestFit="1" customWidth="1"/>
    <col min="14" max="14" width="13.42578125" bestFit="1" customWidth="1" outlineLevel="1"/>
    <col min="15" max="15" width="10.28515625" bestFit="1" customWidth="1" outlineLevel="1"/>
    <col min="16" max="16" width="11.85546875" bestFit="1" customWidth="1" outlineLevel="1"/>
    <col min="17" max="17" width="12.7109375" bestFit="1" customWidth="1" outlineLevel="1"/>
    <col min="18" max="18" width="9.140625" bestFit="1" customWidth="1"/>
    <col min="19" max="19" width="255.7109375" bestFit="1" customWidth="1"/>
    <col min="20" max="20" width="145" bestFit="1" customWidth="1"/>
  </cols>
  <sheetData>
    <row r="1" spans="1:20" ht="30" customHeight="1" x14ac:dyDescent="0.25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33.75" customHeight="1" x14ac:dyDescent="0.25">
      <c r="A2" s="23" t="s">
        <v>22</v>
      </c>
      <c r="B2" s="23" t="s">
        <v>39</v>
      </c>
      <c r="C2" s="23" t="s">
        <v>40</v>
      </c>
      <c r="D2" s="23" t="s">
        <v>41</v>
      </c>
      <c r="E2" s="23" t="s">
        <v>42</v>
      </c>
      <c r="F2" s="23" t="s">
        <v>43</v>
      </c>
      <c r="G2" s="23" t="s">
        <v>44</v>
      </c>
      <c r="H2" s="23" t="s">
        <v>45</v>
      </c>
      <c r="I2" s="23" t="s">
        <v>46</v>
      </c>
      <c r="J2" s="23" t="s">
        <v>47</v>
      </c>
      <c r="K2" s="23" t="s">
        <v>48</v>
      </c>
      <c r="L2" s="23" t="s">
        <v>49</v>
      </c>
      <c r="M2" s="23" t="s">
        <v>50</v>
      </c>
      <c r="N2" s="23" t="s">
        <v>51</v>
      </c>
      <c r="O2" s="23" t="s">
        <v>52</v>
      </c>
      <c r="P2" s="23" t="s">
        <v>53</v>
      </c>
      <c r="Q2" s="23" t="s">
        <v>54</v>
      </c>
      <c r="R2" s="23" t="s">
        <v>55</v>
      </c>
      <c r="S2" s="23" t="s">
        <v>56</v>
      </c>
      <c r="T2" s="23" t="s">
        <v>57</v>
      </c>
    </row>
    <row r="3" spans="1:20" ht="19.5" customHeight="1" x14ac:dyDescent="0.25">
      <c r="A3" s="24" t="s">
        <v>24</v>
      </c>
      <c r="B3" s="24" t="s">
        <v>58</v>
      </c>
      <c r="C3" s="24" t="s">
        <v>59</v>
      </c>
      <c r="D3" s="24" t="s">
        <v>60</v>
      </c>
      <c r="E3" s="25"/>
      <c r="F3" s="26" t="s">
        <v>61</v>
      </c>
      <c r="G3" s="19" t="s">
        <v>62</v>
      </c>
      <c r="H3" s="19" t="s">
        <v>63</v>
      </c>
      <c r="I3" s="19" t="s">
        <v>64</v>
      </c>
      <c r="J3" s="19" t="s">
        <v>65</v>
      </c>
      <c r="K3" s="19" t="s">
        <v>66</v>
      </c>
      <c r="L3" s="19" t="s">
        <v>67</v>
      </c>
      <c r="M3" s="19" t="s">
        <v>68</v>
      </c>
      <c r="N3" s="19" t="s">
        <v>69</v>
      </c>
      <c r="O3" s="19" t="s">
        <v>70</v>
      </c>
      <c r="P3" s="19" t="s">
        <v>69</v>
      </c>
      <c r="Q3" s="19" t="s">
        <v>69</v>
      </c>
      <c r="R3" s="19" t="s">
        <v>71</v>
      </c>
      <c r="S3" s="24" t="s">
        <v>72</v>
      </c>
      <c r="T3" s="24"/>
    </row>
    <row r="4" spans="1:20" ht="19.5" customHeight="1" x14ac:dyDescent="0.25">
      <c r="A4" s="27" t="s">
        <v>24</v>
      </c>
      <c r="B4" s="27" t="s">
        <v>73</v>
      </c>
      <c r="C4" s="27" t="s">
        <v>74</v>
      </c>
      <c r="D4" s="27" t="s">
        <v>75</v>
      </c>
      <c r="E4" s="28"/>
      <c r="F4" s="29" t="s">
        <v>76</v>
      </c>
      <c r="G4" s="30" t="s">
        <v>62</v>
      </c>
      <c r="H4" s="30" t="s">
        <v>63</v>
      </c>
      <c r="I4" s="30" t="s">
        <v>64</v>
      </c>
      <c r="J4" s="30" t="s">
        <v>65</v>
      </c>
      <c r="K4" s="30" t="s">
        <v>77</v>
      </c>
      <c r="L4" s="30" t="s">
        <v>78</v>
      </c>
      <c r="M4" s="30" t="s">
        <v>68</v>
      </c>
      <c r="N4" s="30" t="s">
        <v>69</v>
      </c>
      <c r="O4" s="30" t="s">
        <v>70</v>
      </c>
      <c r="P4" s="30" t="s">
        <v>69</v>
      </c>
      <c r="Q4" s="30" t="s">
        <v>69</v>
      </c>
      <c r="R4" s="30" t="s">
        <v>71</v>
      </c>
      <c r="S4" s="27" t="s">
        <v>79</v>
      </c>
      <c r="T4" s="27"/>
    </row>
    <row r="5" spans="1:20" ht="19.5" customHeight="1" x14ac:dyDescent="0.25">
      <c r="A5" s="24" t="s">
        <v>25</v>
      </c>
      <c r="B5" s="24" t="s">
        <v>80</v>
      </c>
      <c r="C5" s="24" t="s">
        <v>81</v>
      </c>
      <c r="D5" s="24" t="s">
        <v>60</v>
      </c>
      <c r="E5" s="25"/>
      <c r="F5" s="26" t="s">
        <v>61</v>
      </c>
      <c r="G5" s="19" t="s">
        <v>62</v>
      </c>
      <c r="H5" s="19" t="s">
        <v>63</v>
      </c>
      <c r="I5" s="19" t="s">
        <v>64</v>
      </c>
      <c r="J5" s="19" t="s">
        <v>65</v>
      </c>
      <c r="K5" s="19" t="s">
        <v>66</v>
      </c>
      <c r="L5" s="19" t="s">
        <v>67</v>
      </c>
      <c r="M5" s="19" t="s">
        <v>68</v>
      </c>
      <c r="N5" s="19" t="s">
        <v>69</v>
      </c>
      <c r="O5" s="19" t="s">
        <v>70</v>
      </c>
      <c r="P5" s="19" t="s">
        <v>69</v>
      </c>
      <c r="Q5" s="19" t="s">
        <v>69</v>
      </c>
      <c r="R5" s="19" t="s">
        <v>71</v>
      </c>
      <c r="S5" s="24" t="s">
        <v>82</v>
      </c>
      <c r="T5" s="24"/>
    </row>
    <row r="6" spans="1:20" ht="19.5" customHeight="1" x14ac:dyDescent="0.25">
      <c r="A6" s="27" t="s">
        <v>25</v>
      </c>
      <c r="B6" s="27" t="s">
        <v>83</v>
      </c>
      <c r="C6" s="27" t="s">
        <v>84</v>
      </c>
      <c r="D6" s="27" t="s">
        <v>85</v>
      </c>
      <c r="E6" s="31"/>
      <c r="F6" s="32" t="s">
        <v>86</v>
      </c>
      <c r="G6" s="30" t="s">
        <v>62</v>
      </c>
      <c r="H6" s="30" t="s">
        <v>63</v>
      </c>
      <c r="I6" s="30" t="s">
        <v>64</v>
      </c>
      <c r="J6" s="30" t="s">
        <v>65</v>
      </c>
      <c r="K6" s="30" t="s">
        <v>66</v>
      </c>
      <c r="L6" s="30" t="s">
        <v>67</v>
      </c>
      <c r="M6" s="30" t="s">
        <v>68</v>
      </c>
      <c r="N6" s="30" t="s">
        <v>69</v>
      </c>
      <c r="O6" s="30" t="s">
        <v>70</v>
      </c>
      <c r="P6" s="30" t="s">
        <v>69</v>
      </c>
      <c r="Q6" s="30" t="s">
        <v>69</v>
      </c>
      <c r="R6" s="30" t="s">
        <v>71</v>
      </c>
      <c r="S6" s="27" t="s">
        <v>82</v>
      </c>
      <c r="T6" s="27"/>
    </row>
    <row r="7" spans="1:20" ht="19.5" customHeight="1" x14ac:dyDescent="0.25">
      <c r="A7" s="24" t="s">
        <v>26</v>
      </c>
      <c r="B7" s="24" t="s">
        <v>87</v>
      </c>
      <c r="C7" s="24" t="s">
        <v>88</v>
      </c>
      <c r="D7" s="24" t="s">
        <v>89</v>
      </c>
      <c r="E7" s="33"/>
      <c r="F7" s="34" t="s">
        <v>90</v>
      </c>
      <c r="G7" s="19" t="s">
        <v>62</v>
      </c>
      <c r="H7" s="19" t="s">
        <v>91</v>
      </c>
      <c r="I7" s="19" t="s">
        <v>64</v>
      </c>
      <c r="J7" s="19" t="s">
        <v>65</v>
      </c>
      <c r="K7" s="19" t="s">
        <v>92</v>
      </c>
      <c r="L7" s="19" t="s">
        <v>93</v>
      </c>
      <c r="M7" s="19" t="s">
        <v>94</v>
      </c>
      <c r="N7" s="19" t="s">
        <v>69</v>
      </c>
      <c r="O7" s="19" t="s">
        <v>70</v>
      </c>
      <c r="P7" s="19" t="s">
        <v>69</v>
      </c>
      <c r="Q7" s="19" t="s">
        <v>69</v>
      </c>
      <c r="R7" s="19" t="s">
        <v>95</v>
      </c>
      <c r="S7" s="24" t="s">
        <v>96</v>
      </c>
      <c r="T7" s="24" t="s">
        <v>97</v>
      </c>
    </row>
    <row r="8" spans="1:20" ht="19.5" customHeight="1" x14ac:dyDescent="0.25">
      <c r="A8" s="27" t="s">
        <v>27</v>
      </c>
      <c r="B8" s="27" t="s">
        <v>98</v>
      </c>
      <c r="C8" s="27" t="s">
        <v>99</v>
      </c>
      <c r="D8" s="27" t="s">
        <v>60</v>
      </c>
      <c r="E8" s="25"/>
      <c r="F8" s="26" t="s">
        <v>61</v>
      </c>
      <c r="G8" s="30" t="s">
        <v>62</v>
      </c>
      <c r="H8" s="30" t="s">
        <v>91</v>
      </c>
      <c r="I8" s="30" t="s">
        <v>64</v>
      </c>
      <c r="J8" s="30" t="s">
        <v>65</v>
      </c>
      <c r="K8" s="30" t="s">
        <v>92</v>
      </c>
      <c r="L8" s="30" t="s">
        <v>100</v>
      </c>
      <c r="M8" s="30" t="s">
        <v>101</v>
      </c>
      <c r="N8" s="30" t="s">
        <v>69</v>
      </c>
      <c r="O8" s="30" t="s">
        <v>70</v>
      </c>
      <c r="P8" s="30" t="s">
        <v>69</v>
      </c>
      <c r="Q8" s="30" t="s">
        <v>69</v>
      </c>
      <c r="R8" s="30" t="s">
        <v>95</v>
      </c>
      <c r="S8" s="27" t="s">
        <v>102</v>
      </c>
      <c r="T8" s="27" t="s">
        <v>97</v>
      </c>
    </row>
    <row r="9" spans="1:20" ht="19.5" customHeight="1" x14ac:dyDescent="0.25">
      <c r="A9" s="24" t="s">
        <v>28</v>
      </c>
      <c r="B9" s="24" t="s">
        <v>103</v>
      </c>
      <c r="C9" s="24" t="s">
        <v>104</v>
      </c>
      <c r="D9" s="24" t="s">
        <v>60</v>
      </c>
      <c r="E9" s="25"/>
      <c r="F9" s="26" t="s">
        <v>61</v>
      </c>
      <c r="G9" s="19" t="s">
        <v>62</v>
      </c>
      <c r="H9" s="19" t="s">
        <v>63</v>
      </c>
      <c r="I9" s="19" t="s">
        <v>64</v>
      </c>
      <c r="J9" s="19" t="s">
        <v>65</v>
      </c>
      <c r="K9" s="19" t="s">
        <v>105</v>
      </c>
      <c r="L9" s="19" t="s">
        <v>106</v>
      </c>
      <c r="M9" s="19" t="s">
        <v>107</v>
      </c>
      <c r="N9" s="19" t="s">
        <v>69</v>
      </c>
      <c r="O9" s="19" t="s">
        <v>69</v>
      </c>
      <c r="P9" s="19" t="s">
        <v>69</v>
      </c>
      <c r="Q9" s="19" t="s">
        <v>69</v>
      </c>
      <c r="R9" s="19" t="s">
        <v>108</v>
      </c>
      <c r="S9" s="24" t="s">
        <v>109</v>
      </c>
      <c r="T9" s="24"/>
    </row>
    <row r="10" spans="1:20" ht="19.5" customHeight="1" x14ac:dyDescent="0.25">
      <c r="A10" s="27" t="s">
        <v>28</v>
      </c>
      <c r="B10" s="27" t="s">
        <v>110</v>
      </c>
      <c r="C10" s="27" t="s">
        <v>104</v>
      </c>
      <c r="D10" s="27" t="s">
        <v>111</v>
      </c>
      <c r="E10" s="35"/>
      <c r="F10" s="36" t="s">
        <v>112</v>
      </c>
      <c r="G10" s="30" t="s">
        <v>62</v>
      </c>
      <c r="H10" s="30" t="s">
        <v>63</v>
      </c>
      <c r="I10" s="30" t="s">
        <v>64</v>
      </c>
      <c r="J10" s="30" t="s">
        <v>65</v>
      </c>
      <c r="K10" s="30" t="s">
        <v>105</v>
      </c>
      <c r="L10" s="30" t="s">
        <v>106</v>
      </c>
      <c r="M10" s="30" t="s">
        <v>107</v>
      </c>
      <c r="N10" s="30" t="s">
        <v>69</v>
      </c>
      <c r="O10" s="30" t="s">
        <v>69</v>
      </c>
      <c r="P10" s="30" t="s">
        <v>69</v>
      </c>
      <c r="Q10" s="30" t="s">
        <v>69</v>
      </c>
      <c r="R10" s="30" t="s">
        <v>108</v>
      </c>
      <c r="S10" s="27" t="s">
        <v>109</v>
      </c>
      <c r="T10" s="27" t="s">
        <v>113</v>
      </c>
    </row>
    <row r="11" spans="1:20" ht="19.5" customHeight="1" x14ac:dyDescent="0.25">
      <c r="A11" s="24" t="s">
        <v>28</v>
      </c>
      <c r="B11" s="24" t="s">
        <v>114</v>
      </c>
      <c r="C11" s="24" t="s">
        <v>104</v>
      </c>
      <c r="D11" s="24" t="s">
        <v>75</v>
      </c>
      <c r="E11" s="28"/>
      <c r="F11" s="29" t="s">
        <v>76</v>
      </c>
      <c r="G11" s="19" t="s">
        <v>62</v>
      </c>
      <c r="H11" s="19" t="s">
        <v>63</v>
      </c>
      <c r="I11" s="19" t="s">
        <v>64</v>
      </c>
      <c r="J11" s="19" t="s">
        <v>65</v>
      </c>
      <c r="K11" s="19" t="s">
        <v>105</v>
      </c>
      <c r="L11" s="19" t="s">
        <v>106</v>
      </c>
      <c r="M11" s="19" t="s">
        <v>107</v>
      </c>
      <c r="N11" s="19" t="s">
        <v>69</v>
      </c>
      <c r="O11" s="19" t="s">
        <v>69</v>
      </c>
      <c r="P11" s="19" t="s">
        <v>69</v>
      </c>
      <c r="Q11" s="19" t="s">
        <v>69</v>
      </c>
      <c r="R11" s="19" t="s">
        <v>108</v>
      </c>
      <c r="S11" s="24" t="s">
        <v>109</v>
      </c>
      <c r="T11" s="24"/>
    </row>
    <row r="12" spans="1:20" ht="19.5" customHeight="1" x14ac:dyDescent="0.25">
      <c r="A12" s="27" t="s">
        <v>29</v>
      </c>
      <c r="B12" s="27" t="s">
        <v>115</v>
      </c>
      <c r="C12" s="27" t="s">
        <v>116</v>
      </c>
      <c r="D12" s="27" t="s">
        <v>60</v>
      </c>
      <c r="E12" s="25"/>
      <c r="F12" s="26" t="s">
        <v>61</v>
      </c>
      <c r="G12" s="30" t="s">
        <v>62</v>
      </c>
      <c r="H12" s="30" t="s">
        <v>63</v>
      </c>
      <c r="I12" s="30" t="s">
        <v>64</v>
      </c>
      <c r="J12" s="30" t="s">
        <v>65</v>
      </c>
      <c r="K12" s="30" t="s">
        <v>117</v>
      </c>
      <c r="L12" s="30" t="s">
        <v>118</v>
      </c>
      <c r="M12" s="30" t="s">
        <v>119</v>
      </c>
      <c r="N12" s="30" t="s">
        <v>69</v>
      </c>
      <c r="O12" s="30" t="s">
        <v>69</v>
      </c>
      <c r="P12" s="30" t="s">
        <v>69</v>
      </c>
      <c r="Q12" s="30" t="s">
        <v>69</v>
      </c>
      <c r="R12" s="30" t="s">
        <v>108</v>
      </c>
      <c r="S12" s="27" t="s">
        <v>109</v>
      </c>
      <c r="T12" s="27"/>
    </row>
    <row r="13" spans="1:20" ht="19.5" customHeight="1" x14ac:dyDescent="0.25">
      <c r="A13" s="24" t="s">
        <v>29</v>
      </c>
      <c r="B13" s="24" t="s">
        <v>120</v>
      </c>
      <c r="C13" s="24" t="s">
        <v>121</v>
      </c>
      <c r="D13" s="24" t="s">
        <v>60</v>
      </c>
      <c r="E13" s="25"/>
      <c r="F13" s="26" t="s">
        <v>61</v>
      </c>
      <c r="G13" s="19" t="s">
        <v>62</v>
      </c>
      <c r="H13" s="19" t="s">
        <v>63</v>
      </c>
      <c r="I13" s="19" t="s">
        <v>64</v>
      </c>
      <c r="J13" s="19" t="s">
        <v>65</v>
      </c>
      <c r="K13" s="19" t="s">
        <v>117</v>
      </c>
      <c r="L13" s="19" t="s">
        <v>118</v>
      </c>
      <c r="M13" s="19" t="s">
        <v>122</v>
      </c>
      <c r="N13" s="19" t="s">
        <v>69</v>
      </c>
      <c r="O13" s="19" t="s">
        <v>69</v>
      </c>
      <c r="P13" s="19" t="s">
        <v>69</v>
      </c>
      <c r="Q13" s="19" t="s">
        <v>69</v>
      </c>
      <c r="R13" s="19" t="s">
        <v>108</v>
      </c>
      <c r="S13" s="24" t="s">
        <v>123</v>
      </c>
      <c r="T13" s="24"/>
    </row>
    <row r="14" spans="1:20" ht="19.5" customHeight="1" x14ac:dyDescent="0.25">
      <c r="A14" s="27" t="s">
        <v>29</v>
      </c>
      <c r="B14" s="27" t="s">
        <v>124</v>
      </c>
      <c r="C14" s="27" t="s">
        <v>116</v>
      </c>
      <c r="D14" s="27" t="s">
        <v>125</v>
      </c>
      <c r="E14" s="37"/>
      <c r="F14" s="38" t="s">
        <v>126</v>
      </c>
      <c r="G14" s="30" t="s">
        <v>62</v>
      </c>
      <c r="H14" s="30" t="s">
        <v>63</v>
      </c>
      <c r="I14" s="30" t="s">
        <v>64</v>
      </c>
      <c r="J14" s="30" t="s">
        <v>65</v>
      </c>
      <c r="K14" s="30" t="s">
        <v>117</v>
      </c>
      <c r="L14" s="30" t="s">
        <v>118</v>
      </c>
      <c r="M14" s="30" t="s">
        <v>119</v>
      </c>
      <c r="N14" s="30" t="s">
        <v>69</v>
      </c>
      <c r="O14" s="30" t="s">
        <v>69</v>
      </c>
      <c r="P14" s="30" t="s">
        <v>69</v>
      </c>
      <c r="Q14" s="30" t="s">
        <v>69</v>
      </c>
      <c r="R14" s="30" t="s">
        <v>108</v>
      </c>
      <c r="S14" s="27" t="s">
        <v>109</v>
      </c>
      <c r="T14" s="27"/>
    </row>
    <row r="15" spans="1:20" ht="19.5" customHeight="1" x14ac:dyDescent="0.25">
      <c r="A15" s="24" t="s">
        <v>29</v>
      </c>
      <c r="B15" s="24" t="s">
        <v>127</v>
      </c>
      <c r="C15" s="24" t="s">
        <v>116</v>
      </c>
      <c r="D15" s="24" t="s">
        <v>128</v>
      </c>
      <c r="E15" s="39"/>
      <c r="F15" s="40" t="s">
        <v>129</v>
      </c>
      <c r="G15" s="19" t="s">
        <v>62</v>
      </c>
      <c r="H15" s="19" t="s">
        <v>63</v>
      </c>
      <c r="I15" s="19" t="s">
        <v>64</v>
      </c>
      <c r="J15" s="19" t="s">
        <v>65</v>
      </c>
      <c r="K15" s="19" t="s">
        <v>117</v>
      </c>
      <c r="L15" s="19" t="s">
        <v>118</v>
      </c>
      <c r="M15" s="19" t="s">
        <v>119</v>
      </c>
      <c r="N15" s="19" t="s">
        <v>69</v>
      </c>
      <c r="O15" s="19" t="s">
        <v>69</v>
      </c>
      <c r="P15" s="19" t="s">
        <v>69</v>
      </c>
      <c r="Q15" s="19" t="s">
        <v>69</v>
      </c>
      <c r="R15" s="19" t="s">
        <v>108</v>
      </c>
      <c r="S15" s="24" t="s">
        <v>109</v>
      </c>
      <c r="T15" s="24" t="s">
        <v>130</v>
      </c>
    </row>
    <row r="16" spans="1:20" ht="19.5" customHeight="1" x14ac:dyDescent="0.25">
      <c r="A16" s="27" t="s">
        <v>29</v>
      </c>
      <c r="B16" s="27" t="s">
        <v>131</v>
      </c>
      <c r="C16" s="27" t="s">
        <v>116</v>
      </c>
      <c r="D16" s="27" t="s">
        <v>85</v>
      </c>
      <c r="E16" s="41"/>
      <c r="F16" s="42" t="s">
        <v>132</v>
      </c>
      <c r="G16" s="30" t="s">
        <v>62</v>
      </c>
      <c r="H16" s="30" t="s">
        <v>63</v>
      </c>
      <c r="I16" s="30" t="s">
        <v>64</v>
      </c>
      <c r="J16" s="30" t="s">
        <v>65</v>
      </c>
      <c r="K16" s="30" t="s">
        <v>117</v>
      </c>
      <c r="L16" s="30" t="s">
        <v>118</v>
      </c>
      <c r="M16" s="30" t="s">
        <v>119</v>
      </c>
      <c r="N16" s="30" t="s">
        <v>69</v>
      </c>
      <c r="O16" s="30" t="s">
        <v>69</v>
      </c>
      <c r="P16" s="30" t="s">
        <v>69</v>
      </c>
      <c r="Q16" s="30" t="s">
        <v>69</v>
      </c>
      <c r="R16" s="30" t="s">
        <v>108</v>
      </c>
      <c r="S16" s="27" t="s">
        <v>109</v>
      </c>
      <c r="T16" s="27" t="s">
        <v>130</v>
      </c>
    </row>
    <row r="17" spans="1:20" ht="19.5" customHeight="1" x14ac:dyDescent="0.25">
      <c r="A17" s="24" t="s">
        <v>29</v>
      </c>
      <c r="B17" s="24" t="s">
        <v>133</v>
      </c>
      <c r="C17" s="24" t="s">
        <v>121</v>
      </c>
      <c r="D17" s="24" t="s">
        <v>85</v>
      </c>
      <c r="E17" s="43"/>
      <c r="F17" s="44" t="s">
        <v>134</v>
      </c>
      <c r="G17" s="19" t="s">
        <v>62</v>
      </c>
      <c r="H17" s="19" t="s">
        <v>63</v>
      </c>
      <c r="I17" s="19" t="s">
        <v>64</v>
      </c>
      <c r="J17" s="19" t="s">
        <v>65</v>
      </c>
      <c r="K17" s="19" t="s">
        <v>117</v>
      </c>
      <c r="L17" s="19" t="s">
        <v>118</v>
      </c>
      <c r="M17" s="19" t="s">
        <v>122</v>
      </c>
      <c r="N17" s="19" t="s">
        <v>69</v>
      </c>
      <c r="O17" s="19" t="s">
        <v>69</v>
      </c>
      <c r="P17" s="19" t="s">
        <v>69</v>
      </c>
      <c r="Q17" s="19" t="s">
        <v>69</v>
      </c>
      <c r="R17" s="19" t="s">
        <v>108</v>
      </c>
      <c r="S17" s="24" t="s">
        <v>123</v>
      </c>
      <c r="T17" s="24"/>
    </row>
    <row r="18" spans="1:20" ht="19.5" customHeight="1" x14ac:dyDescent="0.25">
      <c r="A18" s="27" t="s">
        <v>29</v>
      </c>
      <c r="B18" s="27" t="s">
        <v>135</v>
      </c>
      <c r="C18" s="27" t="s">
        <v>116</v>
      </c>
      <c r="D18" s="27" t="s">
        <v>136</v>
      </c>
      <c r="E18" s="45"/>
      <c r="F18" s="46" t="s">
        <v>137</v>
      </c>
      <c r="G18" s="30" t="s">
        <v>62</v>
      </c>
      <c r="H18" s="30" t="s">
        <v>63</v>
      </c>
      <c r="I18" s="30" t="s">
        <v>64</v>
      </c>
      <c r="J18" s="30" t="s">
        <v>65</v>
      </c>
      <c r="K18" s="30" t="s">
        <v>117</v>
      </c>
      <c r="L18" s="30" t="s">
        <v>118</v>
      </c>
      <c r="M18" s="30" t="s">
        <v>119</v>
      </c>
      <c r="N18" s="30" t="s">
        <v>69</v>
      </c>
      <c r="O18" s="30" t="s">
        <v>69</v>
      </c>
      <c r="P18" s="30" t="s">
        <v>69</v>
      </c>
      <c r="Q18" s="30" t="s">
        <v>69</v>
      </c>
      <c r="R18" s="30" t="s">
        <v>108</v>
      </c>
      <c r="S18" s="27" t="s">
        <v>109</v>
      </c>
      <c r="T18" s="27"/>
    </row>
    <row r="19" spans="1:20" ht="19.5" customHeight="1" x14ac:dyDescent="0.25">
      <c r="A19" s="24" t="s">
        <v>29</v>
      </c>
      <c r="B19" s="24" t="s">
        <v>138</v>
      </c>
      <c r="C19" s="24" t="s">
        <v>116</v>
      </c>
      <c r="D19" s="24" t="s">
        <v>139</v>
      </c>
      <c r="E19" s="47"/>
      <c r="F19" s="48" t="s">
        <v>140</v>
      </c>
      <c r="G19" s="19" t="s">
        <v>62</v>
      </c>
      <c r="H19" s="19" t="s">
        <v>63</v>
      </c>
      <c r="I19" s="19" t="s">
        <v>64</v>
      </c>
      <c r="J19" s="19" t="s">
        <v>65</v>
      </c>
      <c r="K19" s="19" t="s">
        <v>117</v>
      </c>
      <c r="L19" s="19" t="s">
        <v>118</v>
      </c>
      <c r="M19" s="19" t="s">
        <v>119</v>
      </c>
      <c r="N19" s="19" t="s">
        <v>69</v>
      </c>
      <c r="O19" s="19" t="s">
        <v>69</v>
      </c>
      <c r="P19" s="19" t="s">
        <v>69</v>
      </c>
      <c r="Q19" s="19" t="s">
        <v>69</v>
      </c>
      <c r="R19" s="19" t="s">
        <v>108</v>
      </c>
      <c r="S19" s="24" t="s">
        <v>109</v>
      </c>
      <c r="T19" s="24"/>
    </row>
    <row r="20" spans="1:20" ht="19.5" customHeight="1" x14ac:dyDescent="0.25">
      <c r="A20" s="27" t="s">
        <v>29</v>
      </c>
      <c r="B20" s="27" t="s">
        <v>141</v>
      </c>
      <c r="C20" s="27" t="s">
        <v>116</v>
      </c>
      <c r="D20" s="27" t="s">
        <v>142</v>
      </c>
      <c r="E20" s="37"/>
      <c r="F20" s="49" t="s">
        <v>143</v>
      </c>
      <c r="G20" s="30" t="s">
        <v>62</v>
      </c>
      <c r="H20" s="30" t="s">
        <v>63</v>
      </c>
      <c r="I20" s="30" t="s">
        <v>64</v>
      </c>
      <c r="J20" s="30" t="s">
        <v>65</v>
      </c>
      <c r="K20" s="30" t="s">
        <v>117</v>
      </c>
      <c r="L20" s="30" t="s">
        <v>118</v>
      </c>
      <c r="M20" s="30" t="s">
        <v>119</v>
      </c>
      <c r="N20" s="30" t="s">
        <v>69</v>
      </c>
      <c r="O20" s="30" t="s">
        <v>69</v>
      </c>
      <c r="P20" s="30" t="s">
        <v>69</v>
      </c>
      <c r="Q20" s="30" t="s">
        <v>69</v>
      </c>
      <c r="R20" s="30" t="s">
        <v>108</v>
      </c>
      <c r="S20" s="27" t="s">
        <v>109</v>
      </c>
      <c r="T20" s="27"/>
    </row>
    <row r="21" spans="1:20" ht="19.5" customHeight="1" x14ac:dyDescent="0.25">
      <c r="A21" s="24" t="s">
        <v>29</v>
      </c>
      <c r="B21" s="24" t="s">
        <v>144</v>
      </c>
      <c r="C21" s="24" t="s">
        <v>116</v>
      </c>
      <c r="D21" s="24" t="s">
        <v>145</v>
      </c>
      <c r="E21" s="50"/>
      <c r="F21" s="51" t="s">
        <v>146</v>
      </c>
      <c r="G21" s="19" t="s">
        <v>62</v>
      </c>
      <c r="H21" s="19" t="s">
        <v>63</v>
      </c>
      <c r="I21" s="19" t="s">
        <v>64</v>
      </c>
      <c r="J21" s="19" t="s">
        <v>65</v>
      </c>
      <c r="K21" s="19" t="s">
        <v>117</v>
      </c>
      <c r="L21" s="19" t="s">
        <v>118</v>
      </c>
      <c r="M21" s="19" t="s">
        <v>119</v>
      </c>
      <c r="N21" s="19" t="s">
        <v>69</v>
      </c>
      <c r="O21" s="19" t="s">
        <v>69</v>
      </c>
      <c r="P21" s="19" t="s">
        <v>69</v>
      </c>
      <c r="Q21" s="19" t="s">
        <v>69</v>
      </c>
      <c r="R21" s="19" t="s">
        <v>108</v>
      </c>
      <c r="S21" s="24" t="s">
        <v>109</v>
      </c>
      <c r="T21" s="24"/>
    </row>
    <row r="22" spans="1:20" ht="19.5" customHeight="1" x14ac:dyDescent="0.25">
      <c r="A22" s="27" t="s">
        <v>29</v>
      </c>
      <c r="B22" s="27" t="s">
        <v>147</v>
      </c>
      <c r="C22" s="27" t="s">
        <v>116</v>
      </c>
      <c r="D22" s="27" t="s">
        <v>75</v>
      </c>
      <c r="E22" s="52"/>
      <c r="F22" s="29" t="s">
        <v>148</v>
      </c>
      <c r="G22" s="30" t="s">
        <v>62</v>
      </c>
      <c r="H22" s="30" t="s">
        <v>63</v>
      </c>
      <c r="I22" s="30" t="s">
        <v>64</v>
      </c>
      <c r="J22" s="30" t="s">
        <v>65</v>
      </c>
      <c r="K22" s="30" t="s">
        <v>117</v>
      </c>
      <c r="L22" s="30" t="s">
        <v>118</v>
      </c>
      <c r="M22" s="30" t="s">
        <v>119</v>
      </c>
      <c r="N22" s="30" t="s">
        <v>69</v>
      </c>
      <c r="O22" s="30" t="s">
        <v>69</v>
      </c>
      <c r="P22" s="30" t="s">
        <v>69</v>
      </c>
      <c r="Q22" s="30" t="s">
        <v>69</v>
      </c>
      <c r="R22" s="30" t="s">
        <v>108</v>
      </c>
      <c r="S22" s="27" t="s">
        <v>109</v>
      </c>
      <c r="T22" s="27" t="s">
        <v>130</v>
      </c>
    </row>
    <row r="23" spans="1:20" ht="19.5" customHeight="1" x14ac:dyDescent="0.25">
      <c r="A23" s="24" t="s">
        <v>29</v>
      </c>
      <c r="B23" s="24" t="s">
        <v>149</v>
      </c>
      <c r="C23" s="24" t="s">
        <v>121</v>
      </c>
      <c r="D23" s="24" t="s">
        <v>75</v>
      </c>
      <c r="E23" s="53"/>
      <c r="F23" s="29" t="s">
        <v>150</v>
      </c>
      <c r="G23" s="19" t="s">
        <v>62</v>
      </c>
      <c r="H23" s="19" t="s">
        <v>63</v>
      </c>
      <c r="I23" s="19" t="s">
        <v>64</v>
      </c>
      <c r="J23" s="19" t="s">
        <v>65</v>
      </c>
      <c r="K23" s="19" t="s">
        <v>117</v>
      </c>
      <c r="L23" s="19" t="s">
        <v>118</v>
      </c>
      <c r="M23" s="19" t="s">
        <v>122</v>
      </c>
      <c r="N23" s="19" t="s">
        <v>69</v>
      </c>
      <c r="O23" s="19" t="s">
        <v>69</v>
      </c>
      <c r="P23" s="19" t="s">
        <v>69</v>
      </c>
      <c r="Q23" s="19" t="s">
        <v>69</v>
      </c>
      <c r="R23" s="19" t="s">
        <v>108</v>
      </c>
      <c r="S23" s="24" t="s">
        <v>123</v>
      </c>
      <c r="T23" s="24"/>
    </row>
    <row r="24" spans="1:20" ht="19.5" customHeight="1" x14ac:dyDescent="0.25">
      <c r="A24" s="27" t="s">
        <v>29</v>
      </c>
      <c r="B24" s="27" t="s">
        <v>151</v>
      </c>
      <c r="C24" s="27" t="s">
        <v>116</v>
      </c>
      <c r="D24" s="27" t="s">
        <v>152</v>
      </c>
      <c r="E24" s="54"/>
      <c r="F24" s="55" t="s">
        <v>153</v>
      </c>
      <c r="G24" s="30" t="s">
        <v>62</v>
      </c>
      <c r="H24" s="30" t="s">
        <v>63</v>
      </c>
      <c r="I24" s="30" t="s">
        <v>64</v>
      </c>
      <c r="J24" s="30" t="s">
        <v>65</v>
      </c>
      <c r="K24" s="30" t="s">
        <v>117</v>
      </c>
      <c r="L24" s="30" t="s">
        <v>118</v>
      </c>
      <c r="M24" s="30" t="s">
        <v>119</v>
      </c>
      <c r="N24" s="30" t="s">
        <v>69</v>
      </c>
      <c r="O24" s="30" t="s">
        <v>69</v>
      </c>
      <c r="P24" s="30" t="s">
        <v>69</v>
      </c>
      <c r="Q24" s="30" t="s">
        <v>69</v>
      </c>
      <c r="R24" s="30" t="s">
        <v>108</v>
      </c>
      <c r="S24" s="27" t="s">
        <v>109</v>
      </c>
      <c r="T24" s="27"/>
    </row>
    <row r="25" spans="1:20" ht="19.5" customHeight="1" x14ac:dyDescent="0.25">
      <c r="A25" s="24" t="s">
        <v>30</v>
      </c>
      <c r="B25" s="24" t="s">
        <v>154</v>
      </c>
      <c r="C25" s="24" t="s">
        <v>155</v>
      </c>
      <c r="D25" s="24" t="s">
        <v>156</v>
      </c>
      <c r="E25" s="56"/>
      <c r="F25" s="57" t="s">
        <v>157</v>
      </c>
      <c r="G25" s="19" t="s">
        <v>62</v>
      </c>
      <c r="H25" s="19" t="s">
        <v>63</v>
      </c>
      <c r="I25" s="19" t="s">
        <v>64</v>
      </c>
      <c r="J25" s="19" t="s">
        <v>65</v>
      </c>
      <c r="K25" s="19" t="s">
        <v>158</v>
      </c>
      <c r="L25" s="19" t="s">
        <v>159</v>
      </c>
      <c r="M25" s="19" t="s">
        <v>119</v>
      </c>
      <c r="N25" s="19" t="s">
        <v>69</v>
      </c>
      <c r="O25" s="19" t="s">
        <v>69</v>
      </c>
      <c r="P25" s="19" t="s">
        <v>69</v>
      </c>
      <c r="Q25" s="19" t="s">
        <v>69</v>
      </c>
      <c r="R25" s="19" t="s">
        <v>95</v>
      </c>
      <c r="S25" s="24" t="s">
        <v>160</v>
      </c>
      <c r="T25" s="24"/>
    </row>
    <row r="26" spans="1:20" ht="19.5" customHeight="1" x14ac:dyDescent="0.25">
      <c r="A26" s="27" t="s">
        <v>30</v>
      </c>
      <c r="B26" s="27" t="s">
        <v>161</v>
      </c>
      <c r="C26" s="27" t="s">
        <v>155</v>
      </c>
      <c r="D26" s="27" t="s">
        <v>162</v>
      </c>
      <c r="E26" s="58"/>
      <c r="F26" s="59" t="s">
        <v>163</v>
      </c>
      <c r="G26" s="30" t="s">
        <v>62</v>
      </c>
      <c r="H26" s="30" t="s">
        <v>63</v>
      </c>
      <c r="I26" s="30" t="s">
        <v>64</v>
      </c>
      <c r="J26" s="30" t="s">
        <v>65</v>
      </c>
      <c r="K26" s="30" t="s">
        <v>158</v>
      </c>
      <c r="L26" s="30" t="s">
        <v>159</v>
      </c>
      <c r="M26" s="30" t="s">
        <v>119</v>
      </c>
      <c r="N26" s="30" t="s">
        <v>69</v>
      </c>
      <c r="O26" s="30" t="s">
        <v>69</v>
      </c>
      <c r="P26" s="30" t="s">
        <v>69</v>
      </c>
      <c r="Q26" s="30" t="s">
        <v>69</v>
      </c>
      <c r="R26" s="30" t="s">
        <v>95</v>
      </c>
      <c r="S26" s="27" t="s">
        <v>160</v>
      </c>
      <c r="T26" s="27"/>
    </row>
    <row r="27" spans="1:20" ht="19.5" customHeight="1" x14ac:dyDescent="0.25">
      <c r="A27" s="24" t="s">
        <v>31</v>
      </c>
      <c r="B27" s="24" t="s">
        <v>164</v>
      </c>
      <c r="C27" s="24" t="s">
        <v>165</v>
      </c>
      <c r="D27" s="24" t="s">
        <v>166</v>
      </c>
      <c r="E27" s="60"/>
      <c r="F27" s="61" t="s">
        <v>167</v>
      </c>
      <c r="G27" s="19" t="s">
        <v>62</v>
      </c>
      <c r="H27" s="19" t="s">
        <v>63</v>
      </c>
      <c r="I27" s="19" t="s">
        <v>64</v>
      </c>
      <c r="J27" s="19" t="s">
        <v>65</v>
      </c>
      <c r="K27" s="19" t="s">
        <v>168</v>
      </c>
      <c r="L27" s="19" t="s">
        <v>169</v>
      </c>
      <c r="M27" s="19" t="s">
        <v>119</v>
      </c>
      <c r="N27" s="19" t="s">
        <v>69</v>
      </c>
      <c r="O27" s="19" t="s">
        <v>69</v>
      </c>
      <c r="P27" s="19" t="s">
        <v>69</v>
      </c>
      <c r="Q27" s="19" t="s">
        <v>69</v>
      </c>
      <c r="R27" s="19" t="s">
        <v>95</v>
      </c>
      <c r="S27" s="24" t="s">
        <v>170</v>
      </c>
      <c r="T27" s="24" t="s">
        <v>171</v>
      </c>
    </row>
    <row r="28" spans="1:20" ht="19.5" customHeight="1" x14ac:dyDescent="0.25">
      <c r="A28" s="27" t="s">
        <v>31</v>
      </c>
      <c r="B28" s="27" t="s">
        <v>172</v>
      </c>
      <c r="C28" s="27" t="s">
        <v>165</v>
      </c>
      <c r="D28" s="27" t="s">
        <v>60</v>
      </c>
      <c r="E28" s="25"/>
      <c r="F28" s="26" t="s">
        <v>61</v>
      </c>
      <c r="G28" s="30" t="s">
        <v>62</v>
      </c>
      <c r="H28" s="30" t="s">
        <v>63</v>
      </c>
      <c r="I28" s="30" t="s">
        <v>64</v>
      </c>
      <c r="J28" s="30" t="s">
        <v>65</v>
      </c>
      <c r="K28" s="30" t="s">
        <v>168</v>
      </c>
      <c r="L28" s="30" t="s">
        <v>169</v>
      </c>
      <c r="M28" s="30" t="s">
        <v>119</v>
      </c>
      <c r="N28" s="30" t="s">
        <v>69</v>
      </c>
      <c r="O28" s="30" t="s">
        <v>69</v>
      </c>
      <c r="P28" s="30" t="s">
        <v>69</v>
      </c>
      <c r="Q28" s="30" t="s">
        <v>69</v>
      </c>
      <c r="R28" s="30" t="s">
        <v>108</v>
      </c>
      <c r="S28" s="27" t="s">
        <v>173</v>
      </c>
      <c r="T28" s="27" t="s">
        <v>174</v>
      </c>
    </row>
    <row r="29" spans="1:20" ht="19.5" customHeight="1" x14ac:dyDescent="0.25">
      <c r="A29" s="24" t="s">
        <v>31</v>
      </c>
      <c r="B29" s="24" t="s">
        <v>175</v>
      </c>
      <c r="C29" s="24" t="s">
        <v>165</v>
      </c>
      <c r="D29" s="24" t="s">
        <v>125</v>
      </c>
      <c r="E29" s="60"/>
      <c r="F29" s="61" t="s">
        <v>167</v>
      </c>
      <c r="G29" s="19" t="s">
        <v>62</v>
      </c>
      <c r="H29" s="19" t="s">
        <v>63</v>
      </c>
      <c r="I29" s="19" t="s">
        <v>64</v>
      </c>
      <c r="J29" s="19" t="s">
        <v>65</v>
      </c>
      <c r="K29" s="19" t="s">
        <v>168</v>
      </c>
      <c r="L29" s="19" t="s">
        <v>169</v>
      </c>
      <c r="M29" s="19" t="s">
        <v>119</v>
      </c>
      <c r="N29" s="19" t="s">
        <v>69</v>
      </c>
      <c r="O29" s="19" t="s">
        <v>69</v>
      </c>
      <c r="P29" s="19" t="s">
        <v>69</v>
      </c>
      <c r="Q29" s="19" t="s">
        <v>69</v>
      </c>
      <c r="R29" s="19" t="s">
        <v>95</v>
      </c>
      <c r="S29" s="24" t="s">
        <v>170</v>
      </c>
      <c r="T29" s="24" t="s">
        <v>171</v>
      </c>
    </row>
    <row r="30" spans="1:20" ht="19.5" customHeight="1" x14ac:dyDescent="0.25">
      <c r="A30" s="27" t="s">
        <v>31</v>
      </c>
      <c r="B30" s="27" t="s">
        <v>176</v>
      </c>
      <c r="C30" s="27" t="s">
        <v>165</v>
      </c>
      <c r="D30" s="27" t="s">
        <v>177</v>
      </c>
      <c r="E30" s="60"/>
      <c r="F30" s="61" t="s">
        <v>167</v>
      </c>
      <c r="G30" s="30" t="s">
        <v>62</v>
      </c>
      <c r="H30" s="30" t="s">
        <v>63</v>
      </c>
      <c r="I30" s="30" t="s">
        <v>64</v>
      </c>
      <c r="J30" s="30" t="s">
        <v>65</v>
      </c>
      <c r="K30" s="30" t="s">
        <v>168</v>
      </c>
      <c r="L30" s="30" t="s">
        <v>169</v>
      </c>
      <c r="M30" s="30" t="s">
        <v>119</v>
      </c>
      <c r="N30" s="30" t="s">
        <v>69</v>
      </c>
      <c r="O30" s="30" t="s">
        <v>69</v>
      </c>
      <c r="P30" s="30" t="s">
        <v>69</v>
      </c>
      <c r="Q30" s="30" t="s">
        <v>69</v>
      </c>
      <c r="R30" s="30" t="s">
        <v>95</v>
      </c>
      <c r="S30" s="27" t="s">
        <v>178</v>
      </c>
      <c r="T30" s="27" t="s">
        <v>171</v>
      </c>
    </row>
    <row r="31" spans="1:20" ht="19.5" customHeight="1" x14ac:dyDescent="0.25">
      <c r="A31" s="24" t="s">
        <v>31</v>
      </c>
      <c r="B31" s="24" t="s">
        <v>179</v>
      </c>
      <c r="C31" s="24" t="s">
        <v>165</v>
      </c>
      <c r="D31" s="24" t="s">
        <v>180</v>
      </c>
      <c r="E31" s="60"/>
      <c r="F31" s="61" t="s">
        <v>167</v>
      </c>
      <c r="G31" s="19" t="s">
        <v>62</v>
      </c>
      <c r="H31" s="19" t="s">
        <v>63</v>
      </c>
      <c r="I31" s="19" t="s">
        <v>64</v>
      </c>
      <c r="J31" s="19" t="s">
        <v>65</v>
      </c>
      <c r="K31" s="19" t="s">
        <v>168</v>
      </c>
      <c r="L31" s="19" t="s">
        <v>169</v>
      </c>
      <c r="M31" s="19" t="s">
        <v>119</v>
      </c>
      <c r="N31" s="19" t="s">
        <v>69</v>
      </c>
      <c r="O31" s="19" t="s">
        <v>69</v>
      </c>
      <c r="P31" s="19" t="s">
        <v>69</v>
      </c>
      <c r="Q31" s="19" t="s">
        <v>69</v>
      </c>
      <c r="R31" s="19" t="s">
        <v>95</v>
      </c>
      <c r="S31" s="24" t="s">
        <v>181</v>
      </c>
      <c r="T31" s="24" t="s">
        <v>171</v>
      </c>
    </row>
    <row r="32" spans="1:20" ht="19.5" customHeight="1" x14ac:dyDescent="0.25">
      <c r="A32" s="27" t="s">
        <v>31</v>
      </c>
      <c r="B32" s="27" t="s">
        <v>182</v>
      </c>
      <c r="C32" s="27" t="s">
        <v>165</v>
      </c>
      <c r="D32" s="27" t="s">
        <v>183</v>
      </c>
      <c r="E32" s="62"/>
      <c r="F32" s="63" t="s">
        <v>184</v>
      </c>
      <c r="G32" s="30" t="s">
        <v>62</v>
      </c>
      <c r="H32" s="30" t="s">
        <v>63</v>
      </c>
      <c r="I32" s="30" t="s">
        <v>64</v>
      </c>
      <c r="J32" s="30" t="s">
        <v>65</v>
      </c>
      <c r="K32" s="30" t="s">
        <v>168</v>
      </c>
      <c r="L32" s="30" t="s">
        <v>169</v>
      </c>
      <c r="M32" s="30" t="s">
        <v>119</v>
      </c>
      <c r="N32" s="30" t="s">
        <v>69</v>
      </c>
      <c r="O32" s="30" t="s">
        <v>69</v>
      </c>
      <c r="P32" s="30" t="s">
        <v>69</v>
      </c>
      <c r="Q32" s="30" t="s">
        <v>69</v>
      </c>
      <c r="R32" s="30" t="s">
        <v>108</v>
      </c>
      <c r="S32" s="27" t="s">
        <v>185</v>
      </c>
      <c r="T32" s="27" t="s">
        <v>186</v>
      </c>
    </row>
    <row r="33" spans="1:20" ht="19.5" customHeight="1" x14ac:dyDescent="0.25">
      <c r="A33" s="24" t="s">
        <v>31</v>
      </c>
      <c r="B33" s="24" t="s">
        <v>187</v>
      </c>
      <c r="C33" s="24" t="s">
        <v>165</v>
      </c>
      <c r="D33" s="24" t="s">
        <v>188</v>
      </c>
      <c r="E33" s="60"/>
      <c r="F33" s="61" t="s">
        <v>167</v>
      </c>
      <c r="G33" s="19" t="s">
        <v>62</v>
      </c>
      <c r="H33" s="19" t="s">
        <v>63</v>
      </c>
      <c r="I33" s="19" t="s">
        <v>64</v>
      </c>
      <c r="J33" s="19" t="s">
        <v>65</v>
      </c>
      <c r="K33" s="19" t="s">
        <v>168</v>
      </c>
      <c r="L33" s="19" t="s">
        <v>169</v>
      </c>
      <c r="M33" s="19" t="s">
        <v>119</v>
      </c>
      <c r="N33" s="19" t="s">
        <v>69</v>
      </c>
      <c r="O33" s="19" t="s">
        <v>69</v>
      </c>
      <c r="P33" s="19" t="s">
        <v>69</v>
      </c>
      <c r="Q33" s="19" t="s">
        <v>69</v>
      </c>
      <c r="R33" s="19" t="s">
        <v>95</v>
      </c>
      <c r="S33" s="24" t="s">
        <v>170</v>
      </c>
      <c r="T33" s="24" t="s">
        <v>171</v>
      </c>
    </row>
    <row r="34" spans="1:20" ht="19.5" customHeight="1" x14ac:dyDescent="0.25">
      <c r="A34" s="27" t="s">
        <v>31</v>
      </c>
      <c r="B34" s="27" t="s">
        <v>189</v>
      </c>
      <c r="C34" s="27" t="s">
        <v>165</v>
      </c>
      <c r="D34" s="27" t="s">
        <v>190</v>
      </c>
      <c r="E34" s="60"/>
      <c r="F34" s="61" t="s">
        <v>167</v>
      </c>
      <c r="G34" s="30" t="s">
        <v>62</v>
      </c>
      <c r="H34" s="30" t="s">
        <v>63</v>
      </c>
      <c r="I34" s="30" t="s">
        <v>64</v>
      </c>
      <c r="J34" s="30" t="s">
        <v>65</v>
      </c>
      <c r="K34" s="30" t="s">
        <v>168</v>
      </c>
      <c r="L34" s="30" t="s">
        <v>191</v>
      </c>
      <c r="M34" s="30" t="s">
        <v>119</v>
      </c>
      <c r="N34" s="30" t="s">
        <v>69</v>
      </c>
      <c r="O34" s="30" t="s">
        <v>69</v>
      </c>
      <c r="P34" s="30" t="s">
        <v>69</v>
      </c>
      <c r="Q34" s="30" t="s">
        <v>69</v>
      </c>
      <c r="R34" s="30" t="s">
        <v>95</v>
      </c>
      <c r="S34" s="27" t="s">
        <v>192</v>
      </c>
      <c r="T34" s="27" t="s">
        <v>171</v>
      </c>
    </row>
    <row r="35" spans="1:20" ht="19.5" customHeight="1" x14ac:dyDescent="0.25">
      <c r="A35" s="24" t="s">
        <v>31</v>
      </c>
      <c r="B35" s="24" t="s">
        <v>193</v>
      </c>
      <c r="C35" s="24" t="s">
        <v>165</v>
      </c>
      <c r="D35" s="24" t="s">
        <v>194</v>
      </c>
      <c r="E35" s="60"/>
      <c r="F35" s="61" t="s">
        <v>167</v>
      </c>
      <c r="G35" s="19" t="s">
        <v>62</v>
      </c>
      <c r="H35" s="19" t="s">
        <v>63</v>
      </c>
      <c r="I35" s="19" t="s">
        <v>64</v>
      </c>
      <c r="J35" s="19" t="s">
        <v>65</v>
      </c>
      <c r="K35" s="19" t="s">
        <v>168</v>
      </c>
      <c r="L35" s="19" t="s">
        <v>169</v>
      </c>
      <c r="M35" s="19" t="s">
        <v>119</v>
      </c>
      <c r="N35" s="19" t="s">
        <v>69</v>
      </c>
      <c r="O35" s="19" t="s">
        <v>69</v>
      </c>
      <c r="P35" s="19" t="s">
        <v>69</v>
      </c>
      <c r="Q35" s="19" t="s">
        <v>69</v>
      </c>
      <c r="R35" s="19" t="s">
        <v>95</v>
      </c>
      <c r="S35" s="24" t="s">
        <v>178</v>
      </c>
      <c r="T35" s="24" t="s">
        <v>171</v>
      </c>
    </row>
    <row r="36" spans="1:20" ht="19.5" customHeight="1" x14ac:dyDescent="0.25">
      <c r="A36" s="27" t="s">
        <v>31</v>
      </c>
      <c r="B36" s="27" t="s">
        <v>195</v>
      </c>
      <c r="C36" s="27" t="s">
        <v>165</v>
      </c>
      <c r="D36" s="27" t="s">
        <v>196</v>
      </c>
      <c r="E36" s="64"/>
      <c r="F36" s="65" t="s">
        <v>197</v>
      </c>
      <c r="G36" s="30" t="s">
        <v>62</v>
      </c>
      <c r="H36" s="30" t="s">
        <v>63</v>
      </c>
      <c r="I36" s="30" t="s">
        <v>64</v>
      </c>
      <c r="J36" s="30" t="s">
        <v>65</v>
      </c>
      <c r="K36" s="30" t="s">
        <v>168</v>
      </c>
      <c r="L36" s="30" t="s">
        <v>169</v>
      </c>
      <c r="M36" s="30" t="s">
        <v>119</v>
      </c>
      <c r="N36" s="30" t="s">
        <v>69</v>
      </c>
      <c r="O36" s="30" t="s">
        <v>69</v>
      </c>
      <c r="P36" s="30" t="s">
        <v>69</v>
      </c>
      <c r="Q36" s="30" t="s">
        <v>69</v>
      </c>
      <c r="R36" s="30" t="s">
        <v>108</v>
      </c>
      <c r="S36" s="27" t="s">
        <v>198</v>
      </c>
      <c r="T36" s="27" t="s">
        <v>186</v>
      </c>
    </row>
    <row r="37" spans="1:20" ht="19.5" customHeight="1" x14ac:dyDescent="0.25">
      <c r="A37" s="24" t="s">
        <v>31</v>
      </c>
      <c r="B37" s="24" t="s">
        <v>199</v>
      </c>
      <c r="C37" s="24" t="s">
        <v>165</v>
      </c>
      <c r="D37" s="24" t="s">
        <v>200</v>
      </c>
      <c r="E37" s="60"/>
      <c r="F37" s="61" t="s">
        <v>167</v>
      </c>
      <c r="G37" s="19" t="s">
        <v>62</v>
      </c>
      <c r="H37" s="19" t="s">
        <v>63</v>
      </c>
      <c r="I37" s="19" t="s">
        <v>64</v>
      </c>
      <c r="J37" s="19" t="s">
        <v>65</v>
      </c>
      <c r="K37" s="19" t="s">
        <v>168</v>
      </c>
      <c r="L37" s="19" t="s">
        <v>169</v>
      </c>
      <c r="M37" s="19" t="s">
        <v>119</v>
      </c>
      <c r="N37" s="19" t="s">
        <v>69</v>
      </c>
      <c r="O37" s="19" t="s">
        <v>69</v>
      </c>
      <c r="P37" s="19" t="s">
        <v>69</v>
      </c>
      <c r="Q37" s="19" t="s">
        <v>69</v>
      </c>
      <c r="R37" s="19" t="s">
        <v>95</v>
      </c>
      <c r="S37" s="24" t="s">
        <v>201</v>
      </c>
      <c r="T37" s="24" t="s">
        <v>171</v>
      </c>
    </row>
    <row r="38" spans="1:20" ht="19.5" customHeight="1" x14ac:dyDescent="0.25">
      <c r="A38" s="27" t="s">
        <v>31</v>
      </c>
      <c r="B38" s="27" t="s">
        <v>202</v>
      </c>
      <c r="C38" s="27" t="s">
        <v>165</v>
      </c>
      <c r="D38" s="27" t="s">
        <v>203</v>
      </c>
      <c r="E38" s="66"/>
      <c r="F38" s="67" t="s">
        <v>204</v>
      </c>
      <c r="G38" s="30" t="s">
        <v>62</v>
      </c>
      <c r="H38" s="30" t="s">
        <v>63</v>
      </c>
      <c r="I38" s="30" t="s">
        <v>64</v>
      </c>
      <c r="J38" s="30" t="s">
        <v>65</v>
      </c>
      <c r="K38" s="30" t="s">
        <v>168</v>
      </c>
      <c r="L38" s="30" t="s">
        <v>169</v>
      </c>
      <c r="M38" s="30" t="s">
        <v>119</v>
      </c>
      <c r="N38" s="30" t="s">
        <v>69</v>
      </c>
      <c r="O38" s="30" t="s">
        <v>69</v>
      </c>
      <c r="P38" s="30" t="s">
        <v>69</v>
      </c>
      <c r="Q38" s="30" t="s">
        <v>69</v>
      </c>
      <c r="R38" s="30" t="s">
        <v>108</v>
      </c>
      <c r="S38" s="27" t="s">
        <v>205</v>
      </c>
      <c r="T38" s="27" t="s">
        <v>206</v>
      </c>
    </row>
    <row r="39" spans="1:20" ht="19.5" customHeight="1" x14ac:dyDescent="0.25">
      <c r="A39" s="24" t="s">
        <v>31</v>
      </c>
      <c r="B39" s="24" t="s">
        <v>207</v>
      </c>
      <c r="C39" s="24" t="s">
        <v>165</v>
      </c>
      <c r="D39" s="24" t="s">
        <v>75</v>
      </c>
      <c r="E39" s="60"/>
      <c r="F39" s="61" t="s">
        <v>167</v>
      </c>
      <c r="G39" s="19" t="s">
        <v>62</v>
      </c>
      <c r="H39" s="19" t="s">
        <v>63</v>
      </c>
      <c r="I39" s="19" t="s">
        <v>64</v>
      </c>
      <c r="J39" s="19" t="s">
        <v>65</v>
      </c>
      <c r="K39" s="19" t="s">
        <v>168</v>
      </c>
      <c r="L39" s="19" t="s">
        <v>169</v>
      </c>
      <c r="M39" s="19" t="s">
        <v>119</v>
      </c>
      <c r="N39" s="19" t="s">
        <v>69</v>
      </c>
      <c r="O39" s="19" t="s">
        <v>69</v>
      </c>
      <c r="P39" s="19" t="s">
        <v>69</v>
      </c>
      <c r="Q39" s="19" t="s">
        <v>69</v>
      </c>
      <c r="R39" s="19" t="s">
        <v>95</v>
      </c>
      <c r="S39" s="24" t="s">
        <v>170</v>
      </c>
      <c r="T39" s="24" t="s">
        <v>171</v>
      </c>
    </row>
    <row r="40" spans="1:20" ht="19.5" customHeight="1" x14ac:dyDescent="0.25">
      <c r="A40" s="27" t="s">
        <v>32</v>
      </c>
      <c r="B40" s="27" t="s">
        <v>208</v>
      </c>
      <c r="C40" s="27" t="s">
        <v>209</v>
      </c>
      <c r="D40" s="27" t="s">
        <v>210</v>
      </c>
      <c r="E40" s="68"/>
      <c r="F40" s="69" t="s">
        <v>211</v>
      </c>
      <c r="G40" s="30" t="s">
        <v>62</v>
      </c>
      <c r="H40" s="30" t="s">
        <v>63</v>
      </c>
      <c r="I40" s="30" t="s">
        <v>64</v>
      </c>
      <c r="J40" s="30" t="s">
        <v>65</v>
      </c>
      <c r="K40" s="30" t="s">
        <v>212</v>
      </c>
      <c r="L40" s="30" t="s">
        <v>169</v>
      </c>
      <c r="M40" s="30" t="s">
        <v>119</v>
      </c>
      <c r="N40" s="30" t="s">
        <v>69</v>
      </c>
      <c r="O40" s="30" t="s">
        <v>69</v>
      </c>
      <c r="P40" s="30" t="s">
        <v>69</v>
      </c>
      <c r="Q40" s="30" t="s">
        <v>69</v>
      </c>
      <c r="R40" s="30" t="s">
        <v>71</v>
      </c>
      <c r="S40" s="27" t="s">
        <v>213</v>
      </c>
      <c r="T40" s="27"/>
    </row>
    <row r="41" spans="1:20" ht="19.5" customHeight="1" x14ac:dyDescent="0.25">
      <c r="A41" s="24" t="s">
        <v>32</v>
      </c>
      <c r="B41" s="24" t="s">
        <v>214</v>
      </c>
      <c r="C41" s="24" t="s">
        <v>209</v>
      </c>
      <c r="D41" s="24" t="s">
        <v>190</v>
      </c>
      <c r="E41" s="70"/>
      <c r="F41" s="71" t="s">
        <v>215</v>
      </c>
      <c r="G41" s="19" t="s">
        <v>62</v>
      </c>
      <c r="H41" s="19" t="s">
        <v>63</v>
      </c>
      <c r="I41" s="19" t="s">
        <v>64</v>
      </c>
      <c r="J41" s="19" t="s">
        <v>65</v>
      </c>
      <c r="K41" s="19" t="s">
        <v>212</v>
      </c>
      <c r="L41" s="19" t="s">
        <v>169</v>
      </c>
      <c r="M41" s="19" t="s">
        <v>119</v>
      </c>
      <c r="N41" s="19" t="s">
        <v>69</v>
      </c>
      <c r="O41" s="19" t="s">
        <v>69</v>
      </c>
      <c r="P41" s="19" t="s">
        <v>69</v>
      </c>
      <c r="Q41" s="19" t="s">
        <v>69</v>
      </c>
      <c r="R41" s="19" t="s">
        <v>71</v>
      </c>
      <c r="S41" s="24" t="s">
        <v>213</v>
      </c>
      <c r="T41" s="24"/>
    </row>
    <row r="42" spans="1:20" ht="19.5" customHeight="1" x14ac:dyDescent="0.25">
      <c r="A42" s="27" t="s">
        <v>33</v>
      </c>
      <c r="B42" s="27" t="s">
        <v>216</v>
      </c>
      <c r="C42" s="27" t="s">
        <v>217</v>
      </c>
      <c r="D42" s="27" t="s">
        <v>60</v>
      </c>
      <c r="E42" s="25"/>
      <c r="F42" s="26" t="s">
        <v>61</v>
      </c>
      <c r="G42" s="30" t="s">
        <v>62</v>
      </c>
      <c r="H42" s="30" t="s">
        <v>63</v>
      </c>
      <c r="I42" s="30" t="s">
        <v>64</v>
      </c>
      <c r="J42" s="30" t="s">
        <v>65</v>
      </c>
      <c r="K42" s="30" t="s">
        <v>117</v>
      </c>
      <c r="L42" s="30" t="s">
        <v>169</v>
      </c>
      <c r="M42" s="30" t="s">
        <v>119</v>
      </c>
      <c r="N42" s="30" t="s">
        <v>69</v>
      </c>
      <c r="O42" s="30" t="s">
        <v>69</v>
      </c>
      <c r="P42" s="30" t="s">
        <v>69</v>
      </c>
      <c r="Q42" s="30" t="s">
        <v>69</v>
      </c>
      <c r="R42" s="30" t="s">
        <v>95</v>
      </c>
      <c r="S42" s="27" t="s">
        <v>218</v>
      </c>
      <c r="T42" s="27" t="s">
        <v>97</v>
      </c>
    </row>
    <row r="43" spans="1:20" ht="19.5" customHeight="1" x14ac:dyDescent="0.25">
      <c r="A43" s="24" t="s">
        <v>34</v>
      </c>
      <c r="B43" s="24" t="s">
        <v>219</v>
      </c>
      <c r="C43" s="24" t="s">
        <v>220</v>
      </c>
      <c r="D43" s="24" t="s">
        <v>221</v>
      </c>
      <c r="E43" s="72"/>
      <c r="F43" s="73" t="s">
        <v>222</v>
      </c>
      <c r="G43" s="19" t="s">
        <v>62</v>
      </c>
      <c r="H43" s="19" t="s">
        <v>63</v>
      </c>
      <c r="I43" s="19" t="s">
        <v>64</v>
      </c>
      <c r="J43" s="19" t="s">
        <v>65</v>
      </c>
      <c r="K43" s="19" t="s">
        <v>223</v>
      </c>
      <c r="L43" s="19" t="s">
        <v>224</v>
      </c>
      <c r="M43" s="19" t="s">
        <v>119</v>
      </c>
      <c r="N43" s="19" t="s">
        <v>69</v>
      </c>
      <c r="O43" s="19" t="s">
        <v>69</v>
      </c>
      <c r="P43" s="19" t="s">
        <v>69</v>
      </c>
      <c r="Q43" s="19" t="s">
        <v>69</v>
      </c>
      <c r="R43" s="19" t="s">
        <v>108</v>
      </c>
      <c r="S43" s="24" t="s">
        <v>225</v>
      </c>
      <c r="T43" s="24"/>
    </row>
    <row r="44" spans="1:20" ht="19.5" customHeight="1" x14ac:dyDescent="0.25">
      <c r="A44" s="27" t="s">
        <v>34</v>
      </c>
      <c r="B44" s="27" t="s">
        <v>226</v>
      </c>
      <c r="C44" s="27" t="s">
        <v>220</v>
      </c>
      <c r="D44" s="27" t="s">
        <v>227</v>
      </c>
      <c r="E44" s="74"/>
      <c r="F44" s="75" t="s">
        <v>228</v>
      </c>
      <c r="G44" s="30" t="s">
        <v>62</v>
      </c>
      <c r="H44" s="30" t="s">
        <v>63</v>
      </c>
      <c r="I44" s="30" t="s">
        <v>64</v>
      </c>
      <c r="J44" s="30" t="s">
        <v>65</v>
      </c>
      <c r="K44" s="30" t="s">
        <v>223</v>
      </c>
      <c r="L44" s="30" t="s">
        <v>224</v>
      </c>
      <c r="M44" s="30" t="s">
        <v>119</v>
      </c>
      <c r="N44" s="30" t="s">
        <v>69</v>
      </c>
      <c r="O44" s="30" t="s">
        <v>69</v>
      </c>
      <c r="P44" s="30" t="s">
        <v>69</v>
      </c>
      <c r="Q44" s="30" t="s">
        <v>69</v>
      </c>
      <c r="R44" s="30" t="s">
        <v>108</v>
      </c>
      <c r="S44" s="27" t="s">
        <v>225</v>
      </c>
      <c r="T44" s="27"/>
    </row>
    <row r="45" spans="1:20" ht="19.5" customHeight="1" x14ac:dyDescent="0.25">
      <c r="A45" s="24" t="s">
        <v>35</v>
      </c>
      <c r="B45" s="24" t="s">
        <v>229</v>
      </c>
      <c r="C45" s="24" t="s">
        <v>230</v>
      </c>
      <c r="D45" s="24" t="s">
        <v>231</v>
      </c>
      <c r="E45" s="76"/>
      <c r="F45" s="77" t="s">
        <v>232</v>
      </c>
      <c r="G45" s="19" t="s">
        <v>62</v>
      </c>
      <c r="H45" s="19" t="s">
        <v>63</v>
      </c>
      <c r="I45" s="19" t="s">
        <v>64</v>
      </c>
      <c r="J45" s="19" t="s">
        <v>65</v>
      </c>
      <c r="K45" s="19" t="s">
        <v>212</v>
      </c>
      <c r="L45" s="19" t="s">
        <v>169</v>
      </c>
      <c r="M45" s="19" t="s">
        <v>119</v>
      </c>
      <c r="N45" s="19" t="s">
        <v>69</v>
      </c>
      <c r="O45" s="19" t="s">
        <v>69</v>
      </c>
      <c r="P45" s="19" t="s">
        <v>69</v>
      </c>
      <c r="Q45" s="19" t="s">
        <v>69</v>
      </c>
      <c r="R45" s="19" t="s">
        <v>95</v>
      </c>
      <c r="S45" s="24" t="s">
        <v>233</v>
      </c>
      <c r="T45" s="24"/>
    </row>
    <row r="46" spans="1:20" ht="19.5" customHeight="1" x14ac:dyDescent="0.25">
      <c r="A46" s="27" t="s">
        <v>36</v>
      </c>
      <c r="B46" s="27" t="s">
        <v>234</v>
      </c>
      <c r="C46" s="27" t="s">
        <v>235</v>
      </c>
      <c r="D46" s="27" t="s">
        <v>60</v>
      </c>
      <c r="E46" s="25"/>
      <c r="F46" s="26" t="s">
        <v>61</v>
      </c>
      <c r="G46" s="30" t="s">
        <v>62</v>
      </c>
      <c r="H46" s="30" t="s">
        <v>91</v>
      </c>
      <c r="I46" s="30" t="s">
        <v>64</v>
      </c>
      <c r="J46" s="30" t="s">
        <v>65</v>
      </c>
      <c r="K46" s="30" t="s">
        <v>236</v>
      </c>
      <c r="L46" s="30" t="s">
        <v>237</v>
      </c>
      <c r="M46" s="30" t="s">
        <v>238</v>
      </c>
      <c r="N46" s="30" t="s">
        <v>69</v>
      </c>
      <c r="O46" s="30" t="s">
        <v>69</v>
      </c>
      <c r="P46" s="30" t="s">
        <v>69</v>
      </c>
      <c r="Q46" s="30" t="s">
        <v>69</v>
      </c>
      <c r="R46" s="30" t="s">
        <v>95</v>
      </c>
      <c r="S46" s="27" t="s">
        <v>239</v>
      </c>
      <c r="T46" s="27" t="s">
        <v>97</v>
      </c>
    </row>
    <row r="47" spans="1:20" ht="19.5" customHeight="1" x14ac:dyDescent="0.25">
      <c r="A47" s="24" t="s">
        <v>37</v>
      </c>
      <c r="B47" s="24" t="s">
        <v>240</v>
      </c>
      <c r="C47" s="24" t="s">
        <v>241</v>
      </c>
      <c r="D47" s="24" t="s">
        <v>60</v>
      </c>
      <c r="E47" s="25"/>
      <c r="F47" s="26" t="s">
        <v>61</v>
      </c>
      <c r="G47" s="19" t="s">
        <v>62</v>
      </c>
      <c r="H47" s="19" t="s">
        <v>63</v>
      </c>
      <c r="I47" s="19" t="s">
        <v>64</v>
      </c>
      <c r="J47" s="19" t="s">
        <v>65</v>
      </c>
      <c r="K47" s="19" t="s">
        <v>105</v>
      </c>
      <c r="L47" s="19" t="s">
        <v>242</v>
      </c>
      <c r="M47" s="19" t="s">
        <v>243</v>
      </c>
      <c r="N47" s="19" t="s">
        <v>70</v>
      </c>
      <c r="O47" s="19" t="s">
        <v>70</v>
      </c>
      <c r="P47" s="19" t="s">
        <v>70</v>
      </c>
      <c r="Q47" s="19" t="s">
        <v>70</v>
      </c>
      <c r="R47" s="19" t="s">
        <v>71</v>
      </c>
      <c r="S47" s="24" t="s">
        <v>244</v>
      </c>
      <c r="T47" s="24"/>
    </row>
    <row r="48" spans="1:20" ht="19.5" customHeight="1" x14ac:dyDescent="0.25">
      <c r="A48" s="27" t="s">
        <v>37</v>
      </c>
      <c r="B48" s="27" t="s">
        <v>245</v>
      </c>
      <c r="C48" s="27" t="s">
        <v>241</v>
      </c>
      <c r="D48" s="27" t="s">
        <v>75</v>
      </c>
      <c r="E48" s="78"/>
      <c r="F48" s="29" t="s">
        <v>246</v>
      </c>
      <c r="G48" s="30" t="s">
        <v>62</v>
      </c>
      <c r="H48" s="30" t="s">
        <v>63</v>
      </c>
      <c r="I48" s="30" t="s">
        <v>64</v>
      </c>
      <c r="J48" s="30" t="s">
        <v>65</v>
      </c>
      <c r="K48" s="30" t="s">
        <v>105</v>
      </c>
      <c r="L48" s="30" t="s">
        <v>242</v>
      </c>
      <c r="M48" s="30" t="s">
        <v>243</v>
      </c>
      <c r="N48" s="30" t="s">
        <v>70</v>
      </c>
      <c r="O48" s="30" t="s">
        <v>70</v>
      </c>
      <c r="P48" s="30" t="s">
        <v>70</v>
      </c>
      <c r="Q48" s="30" t="s">
        <v>70</v>
      </c>
      <c r="R48" s="30" t="s">
        <v>71</v>
      </c>
      <c r="S48" s="27" t="s">
        <v>244</v>
      </c>
      <c r="T48" s="27"/>
    </row>
  </sheetData>
  <autoFilter ref="A2:T703" xr:uid="{00000000-0009-0000-0000-000001000000}"/>
  <mergeCells count="1">
    <mergeCell ref="A1:T1"/>
  </mergeCells>
  <conditionalFormatting sqref="J3:J703">
    <cfRule type="expression" dxfId="20" priority="18">
      <formula>$J3="Yes"</formula>
    </cfRule>
  </conditionalFormatting>
  <conditionalFormatting sqref="N3:N703">
    <cfRule type="expression" dxfId="19" priority="6">
      <formula>NOT(ISERROR(SEARCH("✓",$N3)))</formula>
    </cfRule>
    <cfRule type="expression" dxfId="18" priority="7">
      <formula>NOT(ISERROR(SEARCH("✗",$N3)))</formula>
    </cfRule>
    <cfRule type="expression" dxfId="17" priority="8">
      <formula>NOT(ISERROR(SEARCH("⚠",$N3)))</formula>
    </cfRule>
  </conditionalFormatting>
  <conditionalFormatting sqref="O3:O703">
    <cfRule type="expression" dxfId="16" priority="9">
      <formula>NOT(ISERROR(SEARCH("✓",$O3)))</formula>
    </cfRule>
    <cfRule type="expression" dxfId="15" priority="10">
      <formula>NOT(ISERROR(SEARCH("✗",$O3)))</formula>
    </cfRule>
    <cfRule type="expression" dxfId="14" priority="11">
      <formula>NOT(ISERROR(SEARCH("⚠",$O3)))</formula>
    </cfRule>
  </conditionalFormatting>
  <conditionalFormatting sqref="P3:P703">
    <cfRule type="expression" dxfId="13" priority="12">
      <formula>NOT(ISERROR(SEARCH("✓",$P3)))</formula>
    </cfRule>
    <cfRule type="expression" dxfId="12" priority="13">
      <formula>NOT(ISERROR(SEARCH("✗",$P3)))</formula>
    </cfRule>
    <cfRule type="expression" dxfId="11" priority="14">
      <formula>NOT(ISERROR(SEARCH("⚠",$P3)))</formula>
    </cfRule>
  </conditionalFormatting>
  <conditionalFormatting sqref="Q3:Q703">
    <cfRule type="expression" dxfId="10" priority="15">
      <formula>NOT(ISERROR(SEARCH("✓",$Q3)))</formula>
    </cfRule>
    <cfRule type="expression" dxfId="9" priority="16">
      <formula>NOT(ISERROR(SEARCH("✗",$Q3)))</formula>
    </cfRule>
    <cfRule type="expression" dxfId="8" priority="17">
      <formula>NOT(ISERROR(SEARCH("⚠",$Q3)))</formula>
    </cfRule>
  </conditionalFormatting>
  <conditionalFormatting sqref="R3:R703">
    <cfRule type="expression" dxfId="7" priority="2">
      <formula>$R3="S"</formula>
    </cfRule>
    <cfRule type="expression" dxfId="6" priority="3">
      <formula>$R3="A"</formula>
    </cfRule>
    <cfRule type="expression" dxfId="5" priority="4">
      <formula>$R3="B"</formula>
    </cfRule>
    <cfRule type="expression" dxfId="4" priority="5">
      <formula>$R3="C"</formula>
    </cfRule>
  </conditionalFormatting>
  <conditionalFormatting sqref="T3:T703">
    <cfRule type="expression" dxfId="3" priority="19">
      <formula>NOT(ISERROR(SEARCH("hardened nozzle",$T3)))</formula>
    </cfRule>
  </conditionalFormatting>
  <dataValidations count="5">
    <dataValidation type="list" allowBlank="1" sqref="R3:R149" xr:uid="{00000000-0002-0000-0100-000000000000}">
      <formula1>"S,A,B,C"</formula1>
      <formula2>0</formula2>
    </dataValidation>
    <dataValidation type="list" allowBlank="1" sqref="I3:I149" xr:uid="{00000000-0002-0000-0100-000001000000}">
      <formula1>"Cardboard,Plastic"</formula1>
      <formula2>0</formula2>
    </dataValidation>
    <dataValidation type="list" allowBlank="1" sqref="J3:J149" xr:uid="{00000000-0002-0000-0100-000002000000}">
      <formula1>"Yes,No"</formula1>
      <formula2>0</formula2>
    </dataValidation>
    <dataValidation type="list" allowBlank="1" sqref="G3:G149" xr:uid="{00000000-0002-0000-0100-000003000000}">
      <formula1>"1.75mm,2.85mm"</formula1>
      <formula2>0</formula2>
    </dataValidation>
    <dataValidation type="list" allowBlank="1" sqref="N3:Q149" xr:uid="{00000000-0002-0000-0100-000004000000}">
      <formula1>"✓,✗,⚠"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H11"/>
  <sheetViews>
    <sheetView zoomScaleNormal="100" workbookViewId="0">
      <pane ySplit="2" topLeftCell="A3" activePane="bottomLeft" state="frozen"/>
      <selection pane="bottomLeft" sqref="A1:H1"/>
    </sheetView>
  </sheetViews>
  <sheetFormatPr defaultColWidth="8.7109375" defaultRowHeight="15" x14ac:dyDescent="0.25"/>
  <cols>
    <col min="1" max="1" width="23" bestFit="1" customWidth="1"/>
    <col min="2" max="2" width="16" customWidth="1"/>
    <col min="3" max="3" width="19.7109375" bestFit="1" customWidth="1"/>
    <col min="4" max="4" width="15" bestFit="1" customWidth="1"/>
    <col min="5" max="5" width="16" bestFit="1" customWidth="1"/>
    <col min="6" max="6" width="20.42578125" bestFit="1" customWidth="1"/>
    <col min="7" max="7" width="19" bestFit="1" customWidth="1"/>
    <col min="8" max="8" width="113.5703125" bestFit="1" customWidth="1"/>
  </cols>
  <sheetData>
    <row r="1" spans="1:8" ht="30" customHeight="1" x14ac:dyDescent="0.25">
      <c r="A1" s="2" t="s">
        <v>247</v>
      </c>
      <c r="B1" s="2"/>
      <c r="C1" s="2"/>
      <c r="D1" s="2"/>
      <c r="E1" s="2"/>
      <c r="F1" s="2"/>
      <c r="G1" s="2"/>
      <c r="H1" s="2"/>
    </row>
    <row r="2" spans="1:8" ht="33.75" customHeight="1" x14ac:dyDescent="0.25">
      <c r="A2" s="23" t="s">
        <v>248</v>
      </c>
      <c r="B2" s="23" t="s">
        <v>48</v>
      </c>
      <c r="C2" s="23" t="s">
        <v>49</v>
      </c>
      <c r="D2" s="23" t="s">
        <v>249</v>
      </c>
      <c r="E2" s="23" t="s">
        <v>250</v>
      </c>
      <c r="F2" s="23" t="s">
        <v>251</v>
      </c>
      <c r="G2" s="23" t="s">
        <v>50</v>
      </c>
      <c r="H2" s="23" t="s">
        <v>57</v>
      </c>
    </row>
    <row r="3" spans="1:8" ht="19.5" customHeight="1" x14ac:dyDescent="0.25">
      <c r="A3" s="24" t="s">
        <v>29</v>
      </c>
      <c r="B3" s="19" t="s">
        <v>117</v>
      </c>
      <c r="C3" s="19" t="s">
        <v>118</v>
      </c>
      <c r="D3" s="19" t="s">
        <v>65</v>
      </c>
      <c r="E3" s="19" t="s">
        <v>252</v>
      </c>
      <c r="F3" s="19" t="s">
        <v>253</v>
      </c>
      <c r="G3" s="19" t="s">
        <v>119</v>
      </c>
      <c r="H3" s="24" t="s">
        <v>254</v>
      </c>
    </row>
    <row r="4" spans="1:8" ht="19.5" customHeight="1" x14ac:dyDescent="0.25">
      <c r="A4" s="27" t="s">
        <v>255</v>
      </c>
      <c r="B4" s="30" t="s">
        <v>117</v>
      </c>
      <c r="C4" s="30" t="s">
        <v>118</v>
      </c>
      <c r="D4" s="30" t="s">
        <v>65</v>
      </c>
      <c r="E4" s="30" t="s">
        <v>252</v>
      </c>
      <c r="F4" s="30" t="s">
        <v>256</v>
      </c>
      <c r="G4" s="30" t="s">
        <v>122</v>
      </c>
      <c r="H4" s="27" t="s">
        <v>257</v>
      </c>
    </row>
    <row r="5" spans="1:8" ht="19.5" customHeight="1" x14ac:dyDescent="0.25">
      <c r="A5" s="24" t="s">
        <v>258</v>
      </c>
      <c r="B5" s="19" t="s">
        <v>223</v>
      </c>
      <c r="C5" s="19" t="s">
        <v>224</v>
      </c>
      <c r="D5" s="19" t="s">
        <v>65</v>
      </c>
      <c r="E5" s="19" t="s">
        <v>252</v>
      </c>
      <c r="F5" s="19" t="s">
        <v>253</v>
      </c>
      <c r="G5" s="19" t="s">
        <v>119</v>
      </c>
      <c r="H5" s="24" t="s">
        <v>259</v>
      </c>
    </row>
    <row r="6" spans="1:8" ht="19.5" customHeight="1" x14ac:dyDescent="0.25">
      <c r="A6" s="27" t="s">
        <v>260</v>
      </c>
      <c r="B6" s="30" t="s">
        <v>261</v>
      </c>
      <c r="C6" s="30" t="s">
        <v>169</v>
      </c>
      <c r="D6" s="30" t="s">
        <v>65</v>
      </c>
      <c r="E6" s="30" t="s">
        <v>252</v>
      </c>
      <c r="F6" s="30" t="s">
        <v>253</v>
      </c>
      <c r="G6" s="30" t="s">
        <v>119</v>
      </c>
      <c r="H6" s="27" t="s">
        <v>262</v>
      </c>
    </row>
    <row r="7" spans="1:8" ht="19.5" customHeight="1" x14ac:dyDescent="0.25">
      <c r="A7" s="24" t="s">
        <v>28</v>
      </c>
      <c r="B7" s="19" t="s">
        <v>105</v>
      </c>
      <c r="C7" s="19" t="s">
        <v>106</v>
      </c>
      <c r="D7" s="19" t="s">
        <v>65</v>
      </c>
      <c r="E7" s="19" t="s">
        <v>252</v>
      </c>
      <c r="F7" s="19" t="s">
        <v>252</v>
      </c>
      <c r="G7" s="19" t="s">
        <v>107</v>
      </c>
      <c r="H7" s="24" t="s">
        <v>263</v>
      </c>
    </row>
    <row r="8" spans="1:8" ht="19.5" customHeight="1" x14ac:dyDescent="0.25">
      <c r="A8" s="27" t="s">
        <v>264</v>
      </c>
      <c r="B8" s="30" t="s">
        <v>66</v>
      </c>
      <c r="C8" s="30" t="s">
        <v>67</v>
      </c>
      <c r="D8" s="30" t="s">
        <v>252</v>
      </c>
      <c r="E8" s="30" t="s">
        <v>265</v>
      </c>
      <c r="F8" s="30" t="s">
        <v>252</v>
      </c>
      <c r="G8" s="30" t="s">
        <v>68</v>
      </c>
      <c r="H8" s="27" t="s">
        <v>266</v>
      </c>
    </row>
    <row r="9" spans="1:8" ht="19.5" customHeight="1" x14ac:dyDescent="0.25">
      <c r="A9" s="24" t="s">
        <v>267</v>
      </c>
      <c r="B9" s="19" t="s">
        <v>77</v>
      </c>
      <c r="C9" s="19" t="s">
        <v>78</v>
      </c>
      <c r="D9" s="19" t="s">
        <v>252</v>
      </c>
      <c r="E9" s="19" t="s">
        <v>265</v>
      </c>
      <c r="F9" s="19" t="s">
        <v>252</v>
      </c>
      <c r="G9" s="19" t="s">
        <v>68</v>
      </c>
      <c r="H9" s="24" t="s">
        <v>268</v>
      </c>
    </row>
    <row r="10" spans="1:8" ht="19.5" customHeight="1" x14ac:dyDescent="0.25">
      <c r="A10" s="27" t="s">
        <v>25</v>
      </c>
      <c r="B10" s="30" t="s">
        <v>66</v>
      </c>
      <c r="C10" s="30" t="s">
        <v>67</v>
      </c>
      <c r="D10" s="30" t="s">
        <v>252</v>
      </c>
      <c r="E10" s="30" t="s">
        <v>265</v>
      </c>
      <c r="F10" s="30" t="s">
        <v>252</v>
      </c>
      <c r="G10" s="30" t="s">
        <v>68</v>
      </c>
      <c r="H10" s="27" t="s">
        <v>269</v>
      </c>
    </row>
    <row r="11" spans="1:8" ht="19.5" customHeight="1" x14ac:dyDescent="0.25">
      <c r="A11" s="24" t="s">
        <v>270</v>
      </c>
      <c r="B11" s="19" t="s">
        <v>105</v>
      </c>
      <c r="C11" s="19" t="s">
        <v>242</v>
      </c>
      <c r="D11" s="19" t="s">
        <v>65</v>
      </c>
      <c r="E11" s="19" t="s">
        <v>65</v>
      </c>
      <c r="F11" s="19" t="s">
        <v>252</v>
      </c>
      <c r="G11" s="19" t="s">
        <v>243</v>
      </c>
      <c r="H11" s="24" t="s">
        <v>271</v>
      </c>
    </row>
  </sheetData>
  <autoFilter ref="A2:H63" xr:uid="{00000000-0009-0000-0000-000002000000}"/>
  <mergeCells count="1">
    <mergeCell ref="A1:H1"/>
  </mergeCells>
  <conditionalFormatting sqref="D3:D22">
    <cfRule type="expression" dxfId="2" priority="2">
      <formula>$D3="Yes"</formula>
    </cfRule>
  </conditionalFormatting>
  <conditionalFormatting sqref="E3:E22">
    <cfRule type="expression" dxfId="1" priority="3">
      <formula>$E3="No"</formula>
    </cfRule>
    <cfRule type="expression" dxfId="0" priority="4">
      <formula>NOT(ISERROR(SEARCH("⚠",$E3)))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8"/>
  <sheetViews>
    <sheetView zoomScaleNormal="100" workbookViewId="0">
      <selection sqref="A1:C1"/>
    </sheetView>
  </sheetViews>
  <sheetFormatPr defaultColWidth="8.7109375" defaultRowHeight="15" x14ac:dyDescent="0.25"/>
  <cols>
    <col min="1" max="1" width="20" customWidth="1"/>
    <col min="2" max="2" width="219.7109375" bestFit="1" customWidth="1"/>
    <col min="3" max="3" width="72.85546875" bestFit="1" customWidth="1"/>
  </cols>
  <sheetData>
    <row r="1" spans="1:3" ht="25.5" customHeight="1" x14ac:dyDescent="0.25">
      <c r="A1" s="1" t="s">
        <v>272</v>
      </c>
      <c r="B1" s="1"/>
      <c r="C1" s="1"/>
    </row>
    <row r="2" spans="1:3" ht="21.75" customHeight="1" x14ac:dyDescent="0.25">
      <c r="A2" s="20" t="s">
        <v>273</v>
      </c>
      <c r="B2" s="20" t="s">
        <v>274</v>
      </c>
      <c r="C2" s="20" t="s">
        <v>57</v>
      </c>
    </row>
    <row r="3" spans="1:3" ht="18" customHeight="1" x14ac:dyDescent="0.25">
      <c r="A3" s="79" t="s">
        <v>275</v>
      </c>
      <c r="B3" s="80" t="s">
        <v>276</v>
      </c>
      <c r="C3" s="81"/>
    </row>
    <row r="4" spans="1:3" ht="18" customHeight="1" x14ac:dyDescent="0.25">
      <c r="A4" s="79" t="s">
        <v>277</v>
      </c>
      <c r="B4" s="82" t="s">
        <v>278</v>
      </c>
      <c r="C4" s="81"/>
    </row>
    <row r="5" spans="1:3" ht="18" customHeight="1" x14ac:dyDescent="0.25">
      <c r="A5" s="79" t="s">
        <v>279</v>
      </c>
      <c r="B5" s="82" t="s">
        <v>280</v>
      </c>
      <c r="C5" s="81" t="s">
        <v>281</v>
      </c>
    </row>
    <row r="6" spans="1:3" ht="18" customHeight="1" x14ac:dyDescent="0.25">
      <c r="A6" s="79" t="s">
        <v>282</v>
      </c>
      <c r="B6" s="82" t="s">
        <v>283</v>
      </c>
      <c r="C6" s="81" t="s">
        <v>284</v>
      </c>
    </row>
    <row r="7" spans="1:3" ht="18" customHeight="1" x14ac:dyDescent="0.25">
      <c r="A7" s="79" t="s">
        <v>285</v>
      </c>
      <c r="B7" s="82" t="s">
        <v>286</v>
      </c>
      <c r="C7" s="81" t="s">
        <v>287</v>
      </c>
    </row>
    <row r="8" spans="1:3" ht="18" customHeight="1" x14ac:dyDescent="0.25">
      <c r="A8" s="79" t="s">
        <v>288</v>
      </c>
      <c r="B8" s="82" t="s">
        <v>289</v>
      </c>
      <c r="C8" s="81" t="s">
        <v>290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Catalog</vt:lpstr>
      <vt:lpstr>Material Guide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Wayne Varnado</cp:lastModifiedBy>
  <cp:revision>0</cp:revision>
  <dcterms:created xsi:type="dcterms:W3CDTF">2026-09-18T03:02:50Z</dcterms:created>
  <dcterms:modified xsi:type="dcterms:W3CDTF">2026-09-18T03:09:51Z</dcterms:modified>
  <dc:language>en-US</dc:language>
</cp:coreProperties>
</file>