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Catalog" sheetId="2" state="visible" r:id="rId4"/>
    <sheet name="Material Guide" sheetId="3" state="visible" r:id="rId5"/>
    <sheet name="Config" sheetId="4" state="visible" r:id="rId6"/>
  </sheets>
  <definedNames>
    <definedName function="false" hidden="true" localSheetId="1" name="_xlnm._FilterDatabase" vbProcedure="false">Catalog!$A$2:$T$703</definedName>
    <definedName function="false" hidden="true" localSheetId="2" name="_xlnm._FilterDatabase" vbProcedure="false">'Material Guide'!$A$2:$H$63</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SKU / Part No.
Polymaker PolyLite PLA: confirmed manufacturer codes (PA02001–PA02029).
All other brands: internal reference codes.
See Config sheet → SKU Note for details.</t>
        </r>
      </text>
    </comment>
    <comment ref="E2" authorId="0">
      <text>
        <r>
          <rPr>
            <sz val="10"/>
            <rFont val="Arial"/>
            <family val="2"/>
          </rPr>
          <t xml:space="preserve">Color Swatch
Cell fill = filament color. No text — see Hex Code (col F).
Official hex sources:
• Bambu PLA Basic/Matte/PETG Basic/ABS/PLA Translucent: Bambu hex PDFs
• Polymaker PolyLite PLA: confirmed from shop.polymaker.com
• All other brands: approximate</t>
        </r>
      </text>
    </comment>
    <comment ref="F2" authorId="0">
      <text>
        <r>
          <rPr>
            <sz val="10"/>
            <rFont val="Arial"/>
            <family val="2"/>
          </rPr>
          <t xml:space="preserve">Hex Code
The hex color code for this filament.
Background tint is a 12% blend of the swatch color toward white,
giving a visual connection to the adjacent swatch cell.
Official hex sources: see Color Swatch comment (col E).</t>
        </r>
      </text>
    </comment>
    <comment ref="N2" authorId="0">
      <text>
        <r>
          <rPr>
            <sz val="10"/>
            <rFont val="Arial"/>
            <family val="2"/>
          </rPr>
          <t xml:space="preserve">AMS X/P Compatibility
✓  Compatible with standard AMS X/P unit
✗  Not compatible — use external spool
⚠  Compatible with conditions (adapter ring, special mode, etc.)
Printers: X1C, X1E, P1S, P1P</t>
        </r>
      </text>
    </comment>
    <comment ref="O2" authorId="0">
      <text>
        <r>
          <rPr>
            <sz val="10"/>
            <rFont val="Arial"/>
            <family val="2"/>
          </rPr>
          <t xml:space="preserve">AMS Lite Compatibility
✓  Compatible with AMS Lite unit
✗  Not compatible (open-frame; no ABS/ASA/PA support)
⚠  Compatible with conditions
Printers: A1, A1 mini</t>
        </r>
      </text>
    </comment>
    <comment ref="P2" authorId="0">
      <text>
        <r>
          <rPr>
            <sz val="10"/>
            <rFont val="Arial"/>
            <family val="2"/>
          </rPr>
          <t xml:space="preserve">AMS 2 Pro Compatibility
✓  Compatible with AMS 2 Pro unit
✗  Not compatible
⚠  Compatible with conditions
Printers: H2D</t>
        </r>
      </text>
    </comment>
    <comment ref="Q2" authorId="0">
      <text>
        <r>
          <rPr>
            <sz val="10"/>
            <rFont val="Arial"/>
            <family val="2"/>
          </rPr>
          <t xml:space="preserve">AMS HT Compatibility
✓  Compatible with AMS HT unit
✗  Not compatible
⚠  Compatible with conditions
Printers: H2D
Required for TPU 95A multi-color printing</t>
        </r>
      </text>
    </comment>
  </commentList>
</comments>
</file>

<file path=xl/sharedStrings.xml><?xml version="1.0" encoding="utf-8"?>
<sst xmlns="http://schemas.openxmlformats.org/spreadsheetml/2006/main" count="4272" uniqueCount="646">
  <si>
    <t xml:space="preserve">📦  Elegoo  —  Filament Reference  |  v3</t>
  </si>
  <si>
    <t xml:space="preserve">  CATALOG SUMMARY</t>
  </si>
  <si>
    <t xml:space="preserve">Total Catalog Entries (active)</t>
  </si>
  <si>
    <t xml:space="preserve">Tier S — Premium</t>
  </si>
  <si>
    <t xml:space="preserve">Tier A — Excellent</t>
  </si>
  <si>
    <t xml:space="preserve">Tier B — Good</t>
  </si>
  <si>
    <t xml:space="preserve">Tier C — Specialty</t>
  </si>
  <si>
    <t xml:space="preserve">Require AMS Adapter Ring</t>
  </si>
  <si>
    <t xml:space="preserve">  TIER LEGEND</t>
  </si>
  <si>
    <t xml:space="preserve">  S</t>
  </si>
  <si>
    <t xml:space="preserve">Premium — first-party or best-in-class; optimized profiles, top AMS reliability</t>
  </si>
  <si>
    <t xml:space="preserve">  A</t>
  </si>
  <si>
    <t xml:space="preserve">Excellent — high quality, tested profiles, reliable AMS performance</t>
  </si>
  <si>
    <t xml:space="preserve">  B</t>
  </si>
  <si>
    <t xml:space="preserve">Good — solid performer with minor caveats (e.g. needs adapter ring, temp adjustment)</t>
  </si>
  <si>
    <t xml:space="preserve">  C</t>
  </si>
  <si>
    <t xml:space="preserve">Specialty — limited AMS use, requires special setup, or niche material</t>
  </si>
  <si>
    <t xml:space="preserve">  INVENTORY</t>
  </si>
  <si>
    <t xml:space="preserve">On-hand spool inventory is tracked separately in Filament_Inventory.xlsx, not in this workbook.</t>
  </si>
  <si>
    <t xml:space="preserve">File Generated</t>
  </si>
  <si>
    <t xml:space="preserve">  AMS ADAPTER RING STATUS</t>
  </si>
  <si>
    <t xml:space="preserve">  BY MATERIAL TYPE</t>
  </si>
  <si>
    <t xml:space="preserve">Material Type</t>
  </si>
  <si>
    <t xml:space="preserve">Catalog Entries</t>
  </si>
  <si>
    <t xml:space="preserve">ASA</t>
  </si>
  <si>
    <t xml:space="preserve">ASA-CF</t>
  </si>
  <si>
    <t xml:space="preserve">PETG (Rapid)</t>
  </si>
  <si>
    <t xml:space="preserve">PETG Pro</t>
  </si>
  <si>
    <t xml:space="preserve">PLA</t>
  </si>
  <si>
    <t xml:space="preserve">PLA (RFID) emoji Brand Edition</t>
  </si>
  <si>
    <t xml:space="preserve">PLA Basic</t>
  </si>
  <si>
    <t xml:space="preserve">PLA CMYK</t>
  </si>
  <si>
    <t xml:space="preserve">PLA Galaxy</t>
  </si>
  <si>
    <t xml:space="preserve">PLA Glow</t>
  </si>
  <si>
    <t xml:space="preserve">PLA Marble</t>
  </si>
  <si>
    <t xml:space="preserve">PLA Matte</t>
  </si>
  <si>
    <t xml:space="preserve">PLA Metallic</t>
  </si>
  <si>
    <t xml:space="preserve">PLA Plus</t>
  </si>
  <si>
    <t xml:space="preserve">PLA Pro</t>
  </si>
  <si>
    <t xml:space="preserve">PLA Silk</t>
  </si>
  <si>
    <t xml:space="preserve">PLA Sparkle</t>
  </si>
  <si>
    <t xml:space="preserve">PLA Wood</t>
  </si>
  <si>
    <t xml:space="preserve">PLA-CF</t>
  </si>
  <si>
    <t xml:space="preserve">Rapid PLA Plus</t>
  </si>
  <si>
    <t xml:space="preserve">TPU 95A</t>
  </si>
  <si>
    <t xml:space="preserve">Elegoo  —  Filament Catalog</t>
  </si>
  <si>
    <t xml:space="preserve">SKU / Part No.</t>
  </si>
  <si>
    <t xml:space="preserve">Product Name</t>
  </si>
  <si>
    <t xml:space="preserve">Color Name</t>
  </si>
  <si>
    <t xml:space="preserve">Color Swatch</t>
  </si>
  <si>
    <t xml:space="preserve">Hex Code</t>
  </si>
  <si>
    <t xml:space="preserve">Diameter</t>
  </si>
  <si>
    <t xml:space="preserve">Diameter Tolerance</t>
  </si>
  <si>
    <t xml:space="preserve">Spool Type</t>
  </si>
  <si>
    <t xml:space="preserve">AMS Adapter Required</t>
  </si>
  <si>
    <t xml:space="preserve">Print Temp Range</t>
  </si>
  <si>
    <t xml:space="preserve">Bed Temp Range</t>
  </si>
  <si>
    <t xml:space="preserve">Drying Temp / Time</t>
  </si>
  <si>
    <t xml:space="preserve">AMS X/P</t>
  </si>
  <si>
    <t xml:space="preserve">AMS Lite</t>
  </si>
  <si>
    <t xml:space="preserve">AMS 2 Pro</t>
  </si>
  <si>
    <t xml:space="preserve">AMS HT</t>
  </si>
  <si>
    <t xml:space="preserve">Tier</t>
  </si>
  <si>
    <t xml:space="preserve">Tier Rationale</t>
  </si>
  <si>
    <t xml:space="preserve">Notes</t>
  </si>
  <si>
    <t xml:space="preserve">EL-ASA-GN</t>
  </si>
  <si>
    <t xml:space="preserve">Elegoo ASA</t>
  </si>
  <si>
    <t xml:space="preserve">ASA Green</t>
  </si>
  <si>
    <t xml:space="preserve">#00CC33</t>
  </si>
  <si>
    <t xml:space="preserve">1.75mm</t>
  </si>
  <si>
    <t xml:space="preserve">±0.03mm</t>
  </si>
  <si>
    <t xml:space="preserve">Cardboard</t>
  </si>
  <si>
    <t xml:space="preserve">Yes</t>
  </si>
  <si>
    <t xml:space="preserve">240–260°C</t>
  </si>
  <si>
    <t xml:space="preserve">75–95°C</t>
  </si>
  <si>
    <t xml:space="preserve">70°C / 8h</t>
  </si>
  <si>
    <t xml:space="preserve">⚠</t>
  </si>
  <si>
    <t xml:space="preserve">✗</t>
  </si>
  <si>
    <t xml:space="preserve">A</t>
  </si>
  <si>
    <t xml:space="preserve">Color and official 6-color line count confirmed (us.elegoo.com official product page — this catalog originally assumed a 12-color line; corrected to the real 6-color line this pass: Deep Black, White, Blue, ASA Green, Grey, Red); hex via 3dfilamentprofiles.com</t>
  </si>
  <si>
    <t xml:space="preserve">Cardboard spool — AMS Adapter Ring required for all AMS variants; enclosure recommended (ASA); AMS Lite ✗ (open-frame, no ASA support) | Hex: manufacturer-listed value (3dfilamentprofiles.com)</t>
  </si>
  <si>
    <t xml:space="preserve">EL-ASA-BL</t>
  </si>
  <si>
    <t xml:space="preserve">Blue</t>
  </si>
  <si>
    <t xml:space="preserve">#0C2388</t>
  </si>
  <si>
    <t xml:space="preserve">EL-ASA-BK</t>
  </si>
  <si>
    <t xml:space="preserve">Deep Black</t>
  </si>
  <si>
    <t xml:space="preserve">#101A25</t>
  </si>
  <si>
    <t xml:space="preserve">Manufacturer lists this as "Deep Black"; colorimeter-measured RGB (#101A25, a dark navy-black) differs meaningfully from the nominal listed #000000 | Cardboard spool — AMS Adapter Ring required for all AMS variants; enclosure recommended (ASA); AMS Lite ✗ (open-frame, no ASA support) | Hex: colorimeter-MEASURED value used (#101A25), which differs from the nominal/listed #000000 — measured value preferred as higher confidence (3dfilamentprofiles.com)</t>
  </si>
  <si>
    <t xml:space="preserve">EL-ASA-GY</t>
  </si>
  <si>
    <t xml:space="preserve">Grey</t>
  </si>
  <si>
    <t xml:space="preserve">#999999</t>
  </si>
  <si>
    <t xml:space="preserve">C</t>
  </si>
  <si>
    <t xml:space="preserve">PLACEHOLDER — color and official 6-color line count confirmed (us.elegoo.com) but hex not found on 3dfilamentprofiles.com or any other source checked this pass</t>
  </si>
  <si>
    <t xml:space="preserve">Cardboard spool — AMS Adapter Ring required for all AMS variants; enclosure recommended (ASA); AMS Lite ✗ (open-frame, no ASA support) | Hex: unconfirmed placeholder</t>
  </si>
  <si>
    <t xml:space="preserve">EL-ASA-RD</t>
  </si>
  <si>
    <t xml:space="preserve">Red</t>
  </si>
  <si>
    <t xml:space="preserve">#D61212</t>
  </si>
  <si>
    <t xml:space="preserve">EL-ASA-WH</t>
  </si>
  <si>
    <t xml:space="preserve">White</t>
  </si>
  <si>
    <t xml:space="preserve">#FFFFFF</t>
  </si>
  <si>
    <t xml:space="preserve">EL-ASACF-BK</t>
  </si>
  <si>
    <t xml:space="preserve">Elegoo ASA-CF</t>
  </si>
  <si>
    <t xml:space="preserve">Carbon Fiber Black</t>
  </si>
  <si>
    <t xml:space="preserve">85–105°C</t>
  </si>
  <si>
    <t xml:space="preserve">85°C / 8h</t>
  </si>
  <si>
    <t xml:space="preserve">PLACEHOLDER — color confirmed real (us.elegoo.com, 6-color line: Carbon Fiber Black/Grey/Red/Blue/Green/Sand) but hex not found this pass</t>
  </si>
  <si>
    <t xml:space="preserve">This color's own 3dfilamentprofiles.com page explicitly says "No RGB Provided" — a genuine absence, not unresearched | Cardboard spool — AMS Adapter Ring required for all AMS variants; enclosure recommended (ASA); AMS Lite ✗; abrasive — hardened nozzle required; heat resistance to 108°C per manufacturer | Hex: unconfirmed placeholder</t>
  </si>
  <si>
    <t xml:space="preserve">EL-ASACF-BL</t>
  </si>
  <si>
    <t xml:space="preserve">Carbon Fiber Blue</t>
  </si>
  <si>
    <t xml:space="preserve">This color's own 3dfilamentprofiles.com page explicitly says "—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</si>
  <si>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EL-ASACF-GN</t>
  </si>
  <si>
    <t xml:space="preserve">Carbon Fiber Green</t>
  </si>
  <si>
    <t xml:space="preserve">#007700</t>
  </si>
  <si>
    <t xml:space="preserve">Color and official 6-color line count confirmed (us.elegoo.com official product page); hex via 3dfilamentprofiles.com</t>
  </si>
  <si>
    <t xml:space="preserve">Cardboard spool — AMS Adapter Ring required for all AMS variants; enclosure recommended (ASA); AMS Lite ✗; abrasive — hardened nozzle required; heat resistance to 108°C per manufacturer | Hex: manufacturer-listed value (3dfilamentprofiles.com)</t>
  </si>
  <si>
    <t xml:space="preserve">EL-ASACF-GY</t>
  </si>
  <si>
    <t xml:space="preserve">Carbon Fiber Grey</t>
  </si>
  <si>
    <t xml:space="preserve">This color's own 3dfilamentprofiles.com page explicitly says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</si>
  <si>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EL-ASACF-RD</t>
  </si>
  <si>
    <t xml:space="preserve">Carbon Fiber Red</t>
  </si>
  <si>
    <t xml:space="preserve">Cardboard spool — AMS Adapter Ring required for all AMS variants; enclosure recommended (ASA); AMS Lite ✗; abrasive — hardened nozzle required; heat resistance to 108°C per manufacturer | Hex: unconfirmed placeholder</t>
  </si>
  <si>
    <t xml:space="preserve">EL-ASACF-SND</t>
  </si>
  <si>
    <t xml:space="preserve">Carbon Fiber Sand</t>
  </si>
  <si>
    <t xml:space="preserve">EL-RPETG-BEI</t>
  </si>
  <si>
    <t xml:space="preserve">Elegoo Rapid PETG</t>
  </si>
  <si>
    <t xml:space="preserve">Beige</t>
  </si>
  <si>
    <t xml:space="preserve">±0.02mm</t>
  </si>
  <si>
    <t xml:space="preserve">240–270°C</t>
  </si>
  <si>
    <t xml:space="preserve">65–75°C</t>
  </si>
  <si>
    <t xml:space="preserve">65°C / 8h</t>
  </si>
  <si>
    <t xml:space="preserve">PLACEHOLDER — color and official 12-color line count confirmed (us.elegoo.com) but hex not found on 3dfilamentprofiles.com or any other source checked this pass</t>
  </si>
  <si>
    <t xml:space="preserve">Cardboard spool — AMS Adapter Ring required for all AMS variants | Hex: unconfirmed placeholder</t>
  </si>
  <si>
    <t xml:space="preserve">EL-RPETG-BK</t>
  </si>
  <si>
    <t xml:space="preserve">Black</t>
  </si>
  <si>
    <t xml:space="preserve">#000000</t>
  </si>
  <si>
    <t xml:space="preserve">Color and official 12-color line count confirmed (us.elegoo.com official product page); hex and temps via 3dfilamentprofiles.com per-color detail pages</t>
  </si>
  <si>
    <t xml:space="preserve">Cardboard spool — AMS Adapter Ring required for all AMS variants | Hex: manufacturer-listed value (3dfilamentprofiles.com)</t>
  </si>
  <si>
    <t xml:space="preserve">EL-RPETG-BL</t>
  </si>
  <si>
    <t xml:space="preserve">#0000FF</t>
  </si>
  <si>
    <t xml:space="preserve">EL-RPETG-BR</t>
  </si>
  <si>
    <t xml:space="preserve">Brown</t>
  </si>
  <si>
    <t xml:space="preserve">EL-RPETG-GN</t>
  </si>
  <si>
    <t xml:space="preserve">Green</t>
  </si>
  <si>
    <t xml:space="preserve">EL-RPETG-GY</t>
  </si>
  <si>
    <t xml:space="preserve">EL-RPETG-OR</t>
  </si>
  <si>
    <t xml:space="preserve">Orange</t>
  </si>
  <si>
    <t xml:space="preserve">#FFA500</t>
  </si>
  <si>
    <t xml:space="preserve">EL-RPETG-RD</t>
  </si>
  <si>
    <t xml:space="preserve">#EA140E</t>
  </si>
  <si>
    <t xml:space="preserve">EL-RPETG-SPG</t>
  </si>
  <si>
    <t xml:space="preserve">Space Grey</t>
  </si>
  <si>
    <t xml:space="preserve">#616161</t>
  </si>
  <si>
    <t xml:space="preserve">EL-RPETG-TR</t>
  </si>
  <si>
    <t xml:space="preserve">Transparent</t>
  </si>
  <si>
    <t xml:space="preserve">#F7F7F8</t>
  </si>
  <si>
    <t xml:space="preserve">EL-RPETG-WH</t>
  </si>
  <si>
    <t xml:space="preserve">EL-RPETG-YL</t>
  </si>
  <si>
    <t xml:space="preserve">Yellow</t>
  </si>
  <si>
    <t xml:space="preserve">AMBIGUOUS — two different 3dfilamentprofiles.com detail pages give conflicting confirmed hex for this exact color (#FFEF47 vs #FFFF00); not resolved without a tiebreaker (e.g. checking a physical spool), left as placeholder rather than guessing between them | Cardboard spool — AMS Adapter Ring required for all AMS variants | Hex: unconfirmed placeholder</t>
  </si>
  <si>
    <t xml:space="preserve">EL-PETGP-BK</t>
  </si>
  <si>
    <t xml:space="preserve">Elegoo PETG Pro</t>
  </si>
  <si>
    <t xml:space="preserve">Color and official 7-color line confirmed (elegoo.com product page, 2026-10-07: Grey, White, Black, Silver, Blue, Pink, Red); hex via 3dfilamentprofiles.com dedicated per-color page, unambiguous single match. Note: that same source also carries 7 more Elegoo PETG Pro color names not on elegoo.com's own storefront (Burgundy Red, Green, Light Blue, Olive Green, Orange, Purple, Yellow) — same regional/retailer naming variance already documented for PLA Basic and PLA Matte, not reconciled</t>
  </si>
  <si>
    <t xml:space="preserve">Cardboard spool — AMS Adapter Ring required for all AMS variants | Hex: 3dfilamentprofiles.com per-color page (listed value, not separately colorimeter-measured on that page)</t>
  </si>
  <si>
    <t xml:space="preserve">EL-PETGP-BL</t>
  </si>
  <si>
    <t xml:space="preserve">#1748BA</t>
  </si>
  <si>
    <t xml:space="preserve">EL-PETGP-GY</t>
  </si>
  <si>
    <t xml:space="preserve">#ADADAD</t>
  </si>
  <si>
    <t xml:space="preserve">EL-PETGP-PK</t>
  </si>
  <si>
    <t xml:space="preserve">Pink</t>
  </si>
  <si>
    <t xml:space="preserve">#FFA7F5</t>
  </si>
  <si>
    <t xml:space="preserve">EL-PETGP-RD</t>
  </si>
  <si>
    <t xml:space="preserve">#FF0000</t>
  </si>
  <si>
    <t xml:space="preserve">EL-PETGP-SLV</t>
  </si>
  <si>
    <t xml:space="preserve">Silver</t>
  </si>
  <si>
    <t xml:space="preserve">#66676C</t>
  </si>
  <si>
    <t xml:space="preserve">EL-PETGP-WH</t>
  </si>
  <si>
    <t xml:space="preserve">EL-PLA-BEI</t>
  </si>
  <si>
    <t xml:space="preserve">Elegoo PLA</t>
  </si>
  <si>
    <t xml:space="preserve">#FEE7BF</t>
  </si>
  <si>
    <t xml:space="preserve">190–220°C</t>
  </si>
  <si>
    <t xml:space="preserve">45–60°C</t>
  </si>
  <si>
    <t xml:space="preserve">45°C / 4h</t>
  </si>
  <si>
    <t xml:space="preserve">B</t>
  </si>
  <si>
    <t xml:space="preserve">Color confirmed (us.elegoo.com official product page, 18-color line); hex via MakerWorld community swatch set "The Complete Elegoo Colour Swatch ID Set" — community-sourced, not manufacturer-published, treat as approximate</t>
  </si>
  <si>
    <t xml:space="preserve">Cardboard spool — AMS Adapter Ring required for all AMS variants | Hex: community-sourced (MakerWorld), not manufacturer-confirmed</t>
  </si>
  <si>
    <t xml:space="preserve">EL-PLA-BK</t>
  </si>
  <si>
    <t xml:space="preserve">EL-PLA-BR</t>
  </si>
  <si>
    <t xml:space="preserve">#9E6A4B</t>
  </si>
  <si>
    <t xml:space="preserve">EL-PLA-CUF</t>
  </si>
  <si>
    <t xml:space="preserve">Copper Filled</t>
  </si>
  <si>
    <t xml:space="preserve">PLACEHOLDER — color confirmed real (us.elegoo.com official product page, 18-color line) but not in the community swatch set checked this pass</t>
  </si>
  <si>
    <t xml:space="preserve">MakerWorld swatch set has a "Bronze Filled" (#895837) entry but not "Copper Filled" specifically — different name, not assumed identical per no-cross-inference rule | Cardboard spool — AMS Adapter Ring required for all AMS variants | Hex: unconfirmed placeholder</t>
  </si>
  <si>
    <t xml:space="preserve">EL-PLA-DBL</t>
  </si>
  <si>
    <t xml:space="preserve">Dark Blue</t>
  </si>
  <si>
    <t xml:space="preserve">#2240AF</t>
  </si>
  <si>
    <t xml:space="preserve">EL-PLA-GY</t>
  </si>
  <si>
    <t xml:space="preserve">#8F949B</t>
  </si>
  <si>
    <t xml:space="preserve">EL-PLA-NGN</t>
  </si>
  <si>
    <t xml:space="preserve">Neon Green</t>
  </si>
  <si>
    <t xml:space="preserve">#08E327</t>
  </si>
  <si>
    <t xml:space="preserve">EL-PLA-OR</t>
  </si>
  <si>
    <t xml:space="preserve">#FD7C18</t>
  </si>
  <si>
    <t xml:space="preserve">EL-PLA-PK</t>
  </si>
  <si>
    <t xml:space="preserve">#F9B0BD</t>
  </si>
  <si>
    <t xml:space="preserve">EL-PLA-PU</t>
  </si>
  <si>
    <t xml:space="preserve">Purple</t>
  </si>
  <si>
    <t xml:space="preserve">#603BA0</t>
  </si>
  <si>
    <t xml:space="preserve">EL-PLA-RD</t>
  </si>
  <si>
    <t xml:space="preserve">EL-PLA-SGN</t>
  </si>
  <si>
    <t xml:space="preserve">Sea Green</t>
  </si>
  <si>
    <t xml:space="preserve">#1ABC83</t>
  </si>
  <si>
    <t xml:space="preserve">EL-PLA-SKB</t>
  </si>
  <si>
    <t xml:space="preserve">Sky Blue</t>
  </si>
  <si>
    <t xml:space="preserve">#27B2D0</t>
  </si>
  <si>
    <t xml:space="preserve">EL-PLA-SPG</t>
  </si>
  <si>
    <t xml:space="preserve">#5D5D5D</t>
  </si>
  <si>
    <t xml:space="preserve">EL-PLA-TR</t>
  </si>
  <si>
    <t xml:space="preserve">Translucent</t>
  </si>
  <si>
    <t xml:space="preserve">#E9E9E7</t>
  </si>
  <si>
    <t xml:space="preserve">Mapped from MakerWorld swatch's "Clear" — likely the same product under a different name, not confirmed identical | Cardboard spool — AMS Adapter Ring required for all AMS variants | Hex: community-sourced (MakerWorld), not manufacturer-confirmed</t>
  </si>
  <si>
    <t xml:space="preserve">EL-PLA-WH</t>
  </si>
  <si>
    <t xml:space="preserve">EL-PLA-WDC</t>
  </si>
  <si>
    <t xml:space="preserve">Wood Color</t>
  </si>
  <si>
    <t xml:space="preserve">#B19870</t>
  </si>
  <si>
    <t xml:space="preserve">EL-PLA-YL</t>
  </si>
  <si>
    <t xml:space="preserve">#F6D701</t>
  </si>
  <si>
    <t xml:space="preserve">EL-RFID-BEI</t>
  </si>
  <si>
    <t xml:space="preserve">Elegoo PLA (RFID) emoji Brand Edition</t>
  </si>
  <si>
    <t xml:space="preserve">PLACEHOLDER — color and official 17-color line count confirmed (us.elegoo.com official product page) but this is a very new PRE-ORDER product (as of this pass, only Black/White/Red/Yellow show "Ready to Ship", the rest "By August 15") — no hex found anywhere, genuinely too new to be indexed by any third-party source checked, not a research gap. The product's own official description calls it "an official ELEGOO x emoji brand edition of ELEGOO PLA" (not PLA Plus), which may mean identical pigments to this catalog's plain PLA line, but that is not confirmed — different SKU/product page/possibly different batch, not assumed identical per no-cross-inference rule.</t>
  </si>
  <si>
    <t xml:space="preserve">Cardboard spool — AMS Adapter Ring required for all AMS variants; RFID-tagged for ELEGOO CANVAS filament recognition | Hex: unconfirmed placeholder, product too new to be indexed anywhere checked this pass</t>
  </si>
  <si>
    <t xml:space="preserve">EL-RFID-BK</t>
  </si>
  <si>
    <t xml:space="preserve">EL-RFID-BR</t>
  </si>
  <si>
    <t xml:space="preserve">EL-RFID-DBL</t>
  </si>
  <si>
    <t xml:space="preserve">EL-RFID-GY</t>
  </si>
  <si>
    <t xml:space="preserve">EL-RFID-NGN</t>
  </si>
  <si>
    <t xml:space="preserve">EL-RFID-OR</t>
  </si>
  <si>
    <t xml:space="preserve">EL-RFID-PK</t>
  </si>
  <si>
    <t xml:space="preserve">EL-RFID-PU</t>
  </si>
  <si>
    <t xml:space="preserve">EL-RFID-RD</t>
  </si>
  <si>
    <t xml:space="preserve">EL-RFID-SGN</t>
  </si>
  <si>
    <t xml:space="preserve">EL-RFID-SKB</t>
  </si>
  <si>
    <t xml:space="preserve">EL-RFID-SPG</t>
  </si>
  <si>
    <t xml:space="preserve">EL-RFID-TR</t>
  </si>
  <si>
    <t xml:space="preserve">EL-RFID-WH</t>
  </si>
  <si>
    <t xml:space="preserve">EL-RFID-WDC</t>
  </si>
  <si>
    <t xml:space="preserve">EL-RFID-YL</t>
  </si>
  <si>
    <t xml:space="preserve">EL-PLAB-APG</t>
  </si>
  <si>
    <t xml:space="preserve">Elegoo PLA Basic</t>
  </si>
  <si>
    <t xml:space="preserve">Apple Green</t>
  </si>
  <si>
    <t xml:space="preserve">190–230°C</t>
  </si>
  <si>
    <t xml:space="preserve">35–65°C</t>
  </si>
  <si>
    <t xml:space="preserve">55°C / 6h</t>
  </si>
  <si>
    <t xml:space="preserve">PLACEHOLDER — color confirmed real (us.elegoo.com official product page, 19-color US-market line — note some regional Elegoo storefronts show up to 24-25 colors for this same line, not reconciled this pass) but hex not found on 3dfilamentprofiles.com or any other source checked this pass</t>
  </si>
  <si>
    <t xml:space="preserve">EL-PLAB-BEI</t>
  </si>
  <si>
    <t xml:space="preserve">#F4E0B8</t>
  </si>
  <si>
    <t xml:space="preserve">RESOLVED via 3dfilamentprofiles.com's ELEGOO PLA Basic listing, direct name match</t>
  </si>
  <si>
    <t xml:space="preserve">EL-PLAB-BK</t>
  </si>
  <si>
    <t xml:space="preserve">EL-PLAB-COBL</t>
  </si>
  <si>
    <t xml:space="preserve">Cobalt Blue</t>
  </si>
  <si>
    <t xml:space="preserve">EL-PLAB-COB</t>
  </si>
  <si>
    <t xml:space="preserve">Cocoa Brown</t>
  </si>
  <si>
    <t xml:space="preserve">#725B4D</t>
  </si>
  <si>
    <t xml:space="preserve">CORRECTED 2026-09-30 — previously used #9E6A4B, mapped from a "Brown" entry on the assumption this was the same product under a different name. That was wrong: 3dfilamentprofiles.com's own PLA Basic listing has BOTH "Brown" (#9E6A4B) and "Cocoa Brown" (#725B4D) as two separate, distinct rows for this same line. Corrected to the direct, correctly-named match. | Cardboard spool — AMS Adapter Ring required for all AMS variants | Hex: manufacturer-listed value (3dfilamentprofiles.com)</t>
  </si>
  <si>
    <t xml:space="preserve">EL-PLAB-CY</t>
  </si>
  <si>
    <t xml:space="preserve">Cyan</t>
  </si>
  <si>
    <t xml:space="preserve">EL-PLAB-GN</t>
  </si>
  <si>
    <t xml:space="preserve">EL-PLAB-GY</t>
  </si>
  <si>
    <t xml:space="preserve">EL-PLAB-HPK</t>
  </si>
  <si>
    <t xml:space="preserve">Hot Pink</t>
  </si>
  <si>
    <t xml:space="preserve">#FA7291</t>
  </si>
  <si>
    <t xml:space="preserve">180–210°C</t>
  </si>
  <si>
    <t xml:space="preserve">EL-PLAB-MSB</t>
  </si>
  <si>
    <t xml:space="preserve">Misty Blue</t>
  </si>
  <si>
    <t xml:space="preserve">EL-PLAB-OR</t>
  </si>
  <si>
    <t xml:space="preserve">EL-PLAB-PK</t>
  </si>
  <si>
    <t xml:space="preserve">EL-PLAB-PU</t>
  </si>
  <si>
    <t xml:space="preserve">EL-PLAB-RD</t>
  </si>
  <si>
    <t xml:space="preserve">EL-PLAB-SFY</t>
  </si>
  <si>
    <t xml:space="preserve">Sunflower Yellow</t>
  </si>
  <si>
    <t xml:space="preserve">#FEC600</t>
  </si>
  <si>
    <t xml:space="preserve">RESOLVED 2026-09-30: hex #FEC600 via 3dfilamentprofiles.com, direct name match, community TD 4.6 | Cardboard spool — AMS Adapter Ring required for all AMS variants | Hex: manufacturer-listed value (3dfilamentprofiles.com)</t>
  </si>
  <si>
    <t xml:space="preserve">EL-PLAB-TR</t>
  </si>
  <si>
    <t xml:space="preserve">#BEBBC0</t>
  </si>
  <si>
    <t xml:space="preserve">RESOLVED via 3dfilamentprofiles.com's ELEGOO PLA Basic listing, mapped from their listing name "Clear" — naming variance from Elegoo's own official color name, treated as the same color</t>
  </si>
  <si>
    <t xml:space="preserve">EL-PLAB-TQG</t>
  </si>
  <si>
    <t xml:space="preserve">Turquoise Green</t>
  </si>
  <si>
    <t xml:space="preserve">EL-PLAB-WH</t>
  </si>
  <si>
    <t xml:space="preserve">EL-PLAB-YL</t>
  </si>
  <si>
    <t xml:space="preserve">#F5EC00</t>
  </si>
  <si>
    <t xml:space="preserve">RESOLVED 2026-09-30: hex #F5EC00 via 3dfilamentprofiles.com, direct name match, community TD 8.8 | Cardboard spool — AMS Adapter Ring required for all AMS variants | Hex: manufacturer-listed value (3dfilamentprofiles.com)</t>
  </si>
  <si>
    <t xml:space="preserve">EL-CMYK-CY</t>
  </si>
  <si>
    <t xml:space="preserve">Elegoo PLA CMYK</t>
  </si>
  <si>
    <t xml:space="preserve">Rilievo Cyan</t>
  </si>
  <si>
    <t xml:space="preserve">55°C / 8h</t>
  </si>
  <si>
    <t xml:space="preserve">PLACEHOLDER — color and official 4-color line confirmed (elegoo.com product page, 2026-10-07: Rilievo Cyan/Magenta/Yellow/White, a translucent CMY+White lithophane set, same format as similar bundles from other brands) but hex is a genuine dead end — 3dfilamentprofiles.com has no Elegoo PLA CMYK entries at all (confirmed against its dedicated line page directly, not an unresearched gap). Deliberately not borrowing another brand's published CMYK hex values for this line — no-cross-inference rule</t>
  </si>
  <si>
    <t xml:space="preserve">Cardboard spool — AMS Adapter Ring required for all AMS variants | Lithophane/relief-print filament, translucent by design | Hex: unconfirmed placeholder</t>
  </si>
  <si>
    <t xml:space="preserve">EL-CMYK-MG</t>
  </si>
  <si>
    <t xml:space="preserve">Rilievo Magenta</t>
  </si>
  <si>
    <t xml:space="preserve">PLACEHOLDER — color and official 4-color line confirmed (elegoo.com product page, 2026-10-07) but hex is a genuine dead end — 3dfilamentprofiles.com has no Elegoo PLA CMYK entries at all (confirmed against its dedicated line page directly, not an unresearched gap)</t>
  </si>
  <si>
    <t xml:space="preserve">EL-CMYK-WH</t>
  </si>
  <si>
    <t xml:space="preserve">Rilievo White</t>
  </si>
  <si>
    <t xml:space="preserve">EL-CMYK-YL</t>
  </si>
  <si>
    <t xml:space="preserve">Rilievo Yellow</t>
  </si>
  <si>
    <t xml:space="preserve">EL-GLX-BK</t>
  </si>
  <si>
    <t xml:space="preserve">Elegoo PLA Galaxy</t>
  </si>
  <si>
    <t xml:space="preserve">#000026</t>
  </si>
  <si>
    <t xml:space="preserve">Color and 3-color line confirmed via official elegoo.com/3djake.ch product listings (2026-10-06) — a speckled night-sky finish over a solid base color, not a multi-color gradient; hex via 3dfilamentprofiles.com dedicated per-color page, unambiguous single match</t>
  </si>
  <si>
    <t xml:space="preserve">Cardboard spool — AMS Adapter Ring required for all AMS variants | Hex: 3dfilamentprofiles.com per-color page</t>
  </si>
  <si>
    <t xml:space="preserve">EL-GLX-PKB</t>
  </si>
  <si>
    <t xml:space="preserve">Peacock Blue</t>
  </si>
  <si>
    <t xml:space="preserve">#0E3D6C</t>
  </si>
  <si>
    <t xml:space="preserve">Color and 3-color line confirmed via official elegoo.com/3djake.ch product listings (2026-10-06); 3dfilamentprofiles.com lists two candidate entries for this color — "Galaxy Peacock Blue" (#0E3D6C, used here, exact line-name match) and a separate plain "Peacock Blue" (#1D4965) — not reconciled further, used the line-specific name as the better match</t>
  </si>
  <si>
    <t xml:space="preserve">Cardboard spool — AMS Adapter Ring required for all AMS variants | Hex: 3dfilamentprofiles.com per-color page (one of two ambiguous candidates — see tier_rationale)</t>
  </si>
  <si>
    <t xml:space="preserve">EL-GLX-PU</t>
  </si>
  <si>
    <t xml:space="preserve">#1A0A53</t>
  </si>
  <si>
    <t xml:space="preserve">Color and 3-color line confirmed via official elegoo.com/3djake.ch product listings (2026-10-06); hex via 3dfilamentprofiles.com dedicated per-color page, unambiguous single match</t>
  </si>
  <si>
    <t xml:space="preserve">EL-GLW-BL</t>
  </si>
  <si>
    <t xml:space="preserve">Elegoo PLA Glow</t>
  </si>
  <si>
    <t xml:space="preserve">#64B0FF</t>
  </si>
  <si>
    <t xml:space="preserve">Color and 5-color line confirmed via official elegoo.com product page (2026-10-06: Blue, Green, Yellow, Orange, Pink); hex is a colorimeter-measured value from 3dfilamentprofiles.com — this is the daylight/charged color, not the dark-glow color, which this catalog does not track</t>
  </si>
  <si>
    <t xml:space="preserve">Cardboard spool — AMS Adapter Ring required for all AMS variants | Hex: colorimeter-measured value (3dfilamentprofiles.com), no separate nominal/listed value shown on source page</t>
  </si>
  <si>
    <t xml:space="preserve">EL-GLW-GN</t>
  </si>
  <si>
    <t xml:space="preserve">#96D35F</t>
  </si>
  <si>
    <t xml:space="preserve">Color and 5-color line confirmed via official elegoo.com product page (2026-10-06); hex via 3dfilamentprofiles.com dedicated per-color page, unambiguous single match (listed value, not separately colorimeter-measured on that page)</t>
  </si>
  <si>
    <t xml:space="preserve">Cardboard spool — AMS Adapter Ring required for all AMS variants | Hex: 3dfilamentprofiles.com per-color page (daylight/charged color, not the dark-glow color)</t>
  </si>
  <si>
    <t xml:space="preserve">EL-GLW-OR</t>
  </si>
  <si>
    <t xml:space="preserve">PLACEHOLDER — color and 5-color line confirmed (elegoo.com product page, 2026-10-06) but hex is a genuine dead end — 3dfilamentprofiles.com has a dedicated per-color page for this exact color but both its listed RGB and measured RGB fields are blank/unrecorded</t>
  </si>
  <si>
    <t xml:space="preserve">EL-GLW-PK</t>
  </si>
  <si>
    <t xml:space="preserve">PLACEHOLDER — color and 5-color line confirmed (elegoo.com product page, 2026-10-06); 3dfilamentprofiles.com's per-color page lists two conflicting RGB values under the same "RGB:" label (#FA9D96 and #F3CA81, neither marked as measured/tested) with no way to pick between them — left unresolved rather than guessing</t>
  </si>
  <si>
    <t xml:space="preserve">Cardboard spool — AMS Adapter Ring required for all AMS variants | Hex: unconfirmed placeholder — two ambiguous source candidates, see tier_rationale</t>
  </si>
  <si>
    <t xml:space="preserve">EL-GLW-YL</t>
  </si>
  <si>
    <t xml:space="preserve">EL-MRB-MRB</t>
  </si>
  <si>
    <t xml:space="preserve">Elegoo PLA Marble</t>
  </si>
  <si>
    <t xml:space="preserve">Marble</t>
  </si>
  <si>
    <t xml:space="preserve">#D5DFE7</t>
  </si>
  <si>
    <t xml:space="preserve">Color and official 3-color line count confirmed (us.elegoo.com official product page); hex and temps via 3dfilamentprofiles.com's dedicated per-color detail page</t>
  </si>
  <si>
    <t xml:space="preserve">AMBIGUOUS SOURCE — this color's own dedicated 3dfilamentprofiles.com detail page (TD 5.4) gives #D5DFE7, used here; a separate generic listing-grid row for the same color name gives a conflicting #ADADAD — dedicated page preferred as the more authoritative source, but not independently reconciled | Cardboard spool — AMS Adapter Ring required for all AMS variants; "Realistic stone-like texture" per manufacturer — solid pigment with a marbled surface finish, not a multi-color blend | Hex: manufacturer-listed value (3dfilamentprofiles.com)</t>
  </si>
  <si>
    <t xml:space="preserve">EL-MRB-BRD</t>
  </si>
  <si>
    <t xml:space="preserve">Marble Brick Red</t>
  </si>
  <si>
    <t xml:space="preserve">#6E1C20</t>
  </si>
  <si>
    <t xml:space="preserve">Cardboard spool — AMS Adapter Ring required for all AMS variants; "Realistic stone-like texture" per manufacturer — solid pigment with a marbled surface finish, not a multi-color blend | Hex: manufacturer-listed value (3dfilamentprofiles.com)</t>
  </si>
  <si>
    <t xml:space="preserve">EL-MRB-CMG</t>
  </si>
  <si>
    <t xml:space="preserve">Marble Cement Grey</t>
  </si>
  <si>
    <t xml:space="preserve">#696969</t>
  </si>
  <si>
    <t xml:space="preserve">AMBIGUOUS SOURCE — this value is from the correctly-categorized "PLA Marble" listing grid; a separate 3dfilamentprofiles.com entry lists a conflicting #505253 for "Marble cement Grey" but miscategorizes it under their "PLA Basic" material type — likely a site data-entry error on their end, not a second real product, but not independently confirmed which value is correct | Cardboard spool — AMS Adapter Ring required for all AMS variants; "Realistic stone-like texture" per manufacturer — solid pigment with a marbled surface finish, not a multi-color blend | Hex: manufacturer-listed value (3dfilamentprofiles.com)</t>
  </si>
  <si>
    <t xml:space="preserve">EL-PLAM-BEI</t>
  </si>
  <si>
    <t xml:space="preserve">Elegoo PLA Matte</t>
  </si>
  <si>
    <t xml:space="preserve">#EFD8BE</t>
  </si>
  <si>
    <t xml:space="preserve">Color and 9-color line confirmed via official elegoo.com product page (2026-10-05); hex via 3dfilamentprofiles.com dedicated per-color page</t>
  </si>
  <si>
    <t xml:space="preserve">EL-PLAM-BK</t>
  </si>
  <si>
    <t xml:space="preserve">#090909</t>
  </si>
  <si>
    <t xml:space="preserve">EL-PLAM-ICB</t>
  </si>
  <si>
    <t xml:space="preserve">Ice Blue</t>
  </si>
  <si>
    <t xml:space="preserve">#B4F5FE</t>
  </si>
  <si>
    <t xml:space="preserve">EL-PLAM-LVP</t>
  </si>
  <si>
    <t xml:space="preserve">Lavender Purple</t>
  </si>
  <si>
    <t xml:space="preserve">#B091EF</t>
  </si>
  <si>
    <t xml:space="preserve">EL-PLAM-MTG</t>
  </si>
  <si>
    <t xml:space="preserve">Mint Green</t>
  </si>
  <si>
    <t xml:space="preserve">#98FF98</t>
  </si>
  <si>
    <t xml:space="preserve">EL-PLAM-NVB</t>
  </si>
  <si>
    <t xml:space="preserve">Navy Blue</t>
  </si>
  <si>
    <t xml:space="preserve">#2C3662</t>
  </si>
  <si>
    <t xml:space="preserve">Color and 9-color line confirmed via official elegoo.com product page (2026-10-05); hex via 3dfilamentprofiles.com dedicated per-color page. Note: that same source also lists a separate 'Matte Navy Blue' entry (#142538) — a different, darker value; this entry uses the page specifically named 'Navy Blue' to match this catalog's color name, not reconciled further</t>
  </si>
  <si>
    <t xml:space="preserve">EL-PLAM-PK</t>
  </si>
  <si>
    <t xml:space="preserve">#FFC2F4</t>
  </si>
  <si>
    <t xml:space="preserve">Color and 9-color line confirmed via official elegoo.com product page (2026-10-05), listed there simply as 'Pink'; several retailers (Memory Express, 3DJake) and 3dfilamentprofiles.com itself list the same color as 'Sakura Pink' — treated as the same color (one color in this slot across every source checked), hex via 3dfilamentprofiles.com's 'Sakura Pink' page</t>
  </si>
  <si>
    <t xml:space="preserve">Cardboard spool — AMS Adapter Ring required for all AMS variants | Hex: 3dfilamentprofiles.com per-color page (listed there as "Sakura Pink")</t>
  </si>
  <si>
    <t xml:space="preserve">EL-PLAM-SGY</t>
  </si>
  <si>
    <t xml:space="preserve">Slate Grey</t>
  </si>
  <si>
    <t xml:space="preserve">#969799</t>
  </si>
  <si>
    <t xml:space="preserve">EL-PLAM-SNY</t>
  </si>
  <si>
    <t xml:space="preserve">Sunshine Yellow</t>
  </si>
  <si>
    <t xml:space="preserve">#F9E069</t>
  </si>
  <si>
    <t xml:space="preserve">EL-MET-BL</t>
  </si>
  <si>
    <t xml:space="preserve">Elegoo PLA Metallic</t>
  </si>
  <si>
    <t xml:space="preserve">Metallic Blue</t>
  </si>
  <si>
    <t xml:space="preserve">PLACEHOLDER — color and official 4-color line confirmed (elegoo.com product page, 2026-10-06) but hex is a genuine dead end — 3dfilamentprofiles.com has no Elegoo PLA Metallic entries at all (confirmed against its dedicated line page directly, not an unresearched gap)</t>
  </si>
  <si>
    <t xml:space="preserve">EL-MET-BRZ</t>
  </si>
  <si>
    <t xml:space="preserve">Metallic Bronze</t>
  </si>
  <si>
    <t xml:space="preserve">EL-MET-GLD</t>
  </si>
  <si>
    <t xml:space="preserve">Metallic Gold</t>
  </si>
  <si>
    <t xml:space="preserve">PLACEHOLDER — color and official 4-color line confirmed (elegoo.com product page, 2026-10-06: Metallic Gold/Bronze/Blue/Green, all listed sold out at time of check) but hex is a genuine dead end — 3dfilamentprofiles.com has no Elegoo PLA Metallic entries at all (confirmed against its dedicated line page directly, not an unresearched gap)</t>
  </si>
  <si>
    <t xml:space="preserve">EL-MET-GN</t>
  </si>
  <si>
    <t xml:space="preserve">Metallic Green</t>
  </si>
  <si>
    <t xml:space="preserve">EL-PLAP-BEI</t>
  </si>
  <si>
    <t xml:space="preserve">Elegoo PLA Plus</t>
  </si>
  <si>
    <t xml:space="preserve">Color confirmed (us.elegoo.com official product page, 17-color line, exact same names as this catalog's PLA line minus Copper Filled); hex via MakerWorld community swatch set, which explicitly states coverage for "PLA, PLA+, Rapid PETG, TPU 95A" per color — applied here on that basis, not a cross-line guess</t>
  </si>
  <si>
    <t xml:space="preserve">EL-PLAP-BK</t>
  </si>
  <si>
    <t xml:space="preserve">EL-PLAP-BR</t>
  </si>
  <si>
    <t xml:space="preserve">EL-PLAP-DBL</t>
  </si>
  <si>
    <t xml:space="preserve">EL-PLAP-GY</t>
  </si>
  <si>
    <t xml:space="preserve">EL-PLAP-NGN</t>
  </si>
  <si>
    <t xml:space="preserve">EL-PLAP-OR</t>
  </si>
  <si>
    <t xml:space="preserve">EL-PLAP-PK</t>
  </si>
  <si>
    <t xml:space="preserve">EL-PLAP-PU</t>
  </si>
  <si>
    <t xml:space="preserve">EL-PLAP-RD</t>
  </si>
  <si>
    <t xml:space="preserve">EL-PLAP-SGN</t>
  </si>
  <si>
    <t xml:space="preserve">EL-PLAP-SKB</t>
  </si>
  <si>
    <t xml:space="preserve">EL-PLAP-SPG</t>
  </si>
  <si>
    <t xml:space="preserve">EL-PLAP-TR</t>
  </si>
  <si>
    <t xml:space="preserve">EL-PLAP-WH</t>
  </si>
  <si>
    <t xml:space="preserve">EL-PLAP-WDC</t>
  </si>
  <si>
    <t xml:space="preserve">EL-PLAP-YL</t>
  </si>
  <si>
    <t xml:space="preserve">EL-PLAPRO-BEI</t>
  </si>
  <si>
    <t xml:space="preserve">Elegoo PLA Pro</t>
  </si>
  <si>
    <t xml:space="preserve">PLACEHOLDER — color and official 14-color line count confirmed (us.elegoo.com) but hex not found this pass; this line proved genuinely hard to find per-color data for, unlike most other Elegoo lines this session — multiple searches mostly surfaced other 3dfilamentprofiles.com sub-tiers (Basic/HF/High Speed) for this same material family, not the "Pro" sub-tier that matches this product</t>
  </si>
  <si>
    <t xml:space="preserve">EL-PLAPRO-BK</t>
  </si>
  <si>
    <t xml:space="preserve">EL-PLAPRO-BL</t>
  </si>
  <si>
    <t xml:space="preserve">EL-PLAPRO-BGR</t>
  </si>
  <si>
    <t xml:space="preserve">Burgundy Red</t>
  </si>
  <si>
    <t xml:space="preserve">#990000</t>
  </si>
  <si>
    <t xml:space="preserve">Color and official 14-color line count confirmed (us.elegoo.com official product page); print/bed temps confirmed via SpoolScout TDS (190-230°C / 35-65°C); hex via 3dfilamentprofiles.com's "PLA+/Pro Pro" sub-tier listing, which is their categorization specifically for this Elegoo product line (distinct from their "Basic", "HF", and "High Speed" sub-tiers, which are different products not used here)</t>
  </si>
  <si>
    <t xml:space="preserve">EL-PLAPRO-GN</t>
  </si>
  <si>
    <t xml:space="preserve">EL-PLAPRO-GY</t>
  </si>
  <si>
    <t xml:space="preserve">EL-PLAPRO-HPK</t>
  </si>
  <si>
    <t xml:space="preserve">EL-PLAPRO-LBL</t>
  </si>
  <si>
    <t xml:space="preserve">Light Blue</t>
  </si>
  <si>
    <t xml:space="preserve">EL-PLAPRO-NGN</t>
  </si>
  <si>
    <t xml:space="preserve">EL-PLAPRO-PU</t>
  </si>
  <si>
    <t xml:space="preserve">EL-PLAPRO-SV</t>
  </si>
  <si>
    <t xml:space="preserve">EL-PLAPRO-TRD</t>
  </si>
  <si>
    <t xml:space="preserve">True Red</t>
  </si>
  <si>
    <t xml:space="preserve">EL-PLAPRO-WH</t>
  </si>
  <si>
    <t xml:space="preserve">EL-PLAPRO-YL</t>
  </si>
  <si>
    <t xml:space="preserve">EL-PLASK-BKPU</t>
  </si>
  <si>
    <t xml:space="preserve">Elegoo PLA Silk</t>
  </si>
  <si>
    <t xml:space="preserve">Black Purple</t>
  </si>
  <si>
    <t xml:space="preserve">Multi-color gradient/dual-tone product — no single representative hex published (3dfilamentprofiles.com: #000000 / #7B219F)</t>
  </si>
  <si>
    <t xml:space="preserve">Cardboard spool — AMS Adapter Ring required for all AMS variants | Confirmed to exist in official catalog</t>
  </si>
  <si>
    <t xml:space="preserve">EL-PLASK-BKRD</t>
  </si>
  <si>
    <t xml:space="preserve">Black Red</t>
  </si>
  <si>
    <t xml:space="preserve">Multi-color gradient/dual-tone product — no single representative hex published (3dfilamentprofiles.com: #000000 / #BD0000)</t>
  </si>
  <si>
    <t xml:space="preserve">EL-PLASK-BLGN</t>
  </si>
  <si>
    <t xml:space="preserve">Blue Green</t>
  </si>
  <si>
    <t xml:space="preserve">Multi-color gradient/dual-tone product — no single representative hex published (3dfilamentprofiles.com: #4BDC86 / #1887C6)</t>
  </si>
  <si>
    <t xml:space="preserve">EL-PLASK-BGO</t>
  </si>
  <si>
    <t xml:space="preserve">Blue Green Orange</t>
  </si>
  <si>
    <t xml:space="preserve">Multi-color (tri-color) gradient product — no single representative hex published (3dfilamentprofiles.com: #C66529 / #1F3E52 / #4F8235)</t>
  </si>
  <si>
    <t xml:space="preserve">EL-PLASK-BLMG</t>
  </si>
  <si>
    <t xml:space="preserve">Blue Magenta</t>
  </si>
  <si>
    <t xml:space="preserve">Multi-color gradient/dual-tone product — no single representative hex published (3dfilamentprofiles.com: #2842AA / #AB2D55). Note: 3dfilamentprofiles.com's separate "Blue Purple" entry in this same line lists the identical pair of component hex values — likely the same physical product listed twice under two names on that source, not independently verified</t>
  </si>
  <si>
    <t xml:space="preserve">EL-PLASK-BLPU</t>
  </si>
  <si>
    <t xml:space="preserve">Blue Purple</t>
  </si>
  <si>
    <t xml:space="preserve">Multi-color gradient/dual-tone product — no single representative hex published (3dfilamentprofiles.com: #2842AA / #AB2D55). Note: identical component hex pair to this same line's separate "Blue Magenta" entry on 3dfilamentprofiles.com — likely the same physical product listed twice under two names on that source, not independently verified</t>
  </si>
  <si>
    <t xml:space="preserve">EL-PLASK-BPBK</t>
  </si>
  <si>
    <t xml:space="preserve">Blue Purple Black</t>
  </si>
  <si>
    <t xml:space="preserve">Multi-color (four-tone) gradient product — no single representative hex published (3dfilamentprofiles.com: #100428 / #52017A / #020F4C / #0A0D36)</t>
  </si>
  <si>
    <t xml:space="preserve">EL-PLASK-BRZ</t>
  </si>
  <si>
    <t xml:space="preserve">Bronze</t>
  </si>
  <si>
    <t xml:space="preserve">#B37A56</t>
  </si>
  <si>
    <t xml:space="preserve">Color and 16-variant line confirmed via official elegoo.com storefront (2026-10-05); hex via 3dfilamentprofiles.com dedicated per-color page, unambiguous single match. Note: a separate 'Copper' color (#CE733A) exists on the same source as a visually similar but distinctly-named metallic — not treated as the same color</t>
  </si>
  <si>
    <t xml:space="preserve">EL-PLASK-GLD</t>
  </si>
  <si>
    <t xml:space="preserve">Gold</t>
  </si>
  <si>
    <t xml:space="preserve">PLACEHOLDER — color confirmed real (official elegoo.com storefront, 16-variant line) but hex is ambiguous: 3dfilamentprofiles.com lists three different candidate values across its Elegoo PLA Silk entries — two separate pages both named plain 'Gold' (#E2AC02 and #F9B910) plus a third, differently-named 'Silk Gold' (#FFD10E) — no way to determine which (if any) matches this exact SKU, left as placeholder rather than guessing</t>
  </si>
  <si>
    <t xml:space="preserve">Cardboard spool — AMS Adapter Ring required for all AMS variants | Hex: unconfirmed placeholder (ambiguous source data — 3 conflicting candidates)</t>
  </si>
  <si>
    <t xml:space="preserve">EL-PLASK-GNRD</t>
  </si>
  <si>
    <t xml:space="preserve">Green Red</t>
  </si>
  <si>
    <t xml:space="preserve">Multi-color gradient/dual-tone product — no single representative hex published (3dfilamentprofiles.com lists this as "Red Green", #FF0000 / #04FF00)</t>
  </si>
  <si>
    <t xml:space="preserve">EL-PLASK-HGN</t>
  </si>
  <si>
    <t xml:space="preserve">Holly Green</t>
  </si>
  <si>
    <t xml:space="preserve">#00C760</t>
  </si>
  <si>
    <t xml:space="preserve">Color and 16-variant line confirmed via official elegoo.com storefront (2026-10-05); hex via 3dfilamentprofiles.com dedicated per-color page, unambiguous single match</t>
  </si>
  <si>
    <t xml:space="preserve">EL-PLASK-HPK</t>
  </si>
  <si>
    <t xml:space="preserve">PLACEHOLDER — official elegoo.com storefront names this color 'Hot Pink', but 3dfilamentprofiles.com's Elegoo PLA Silk line has no entry by that exact name — closest candidates are 'Coral Pink' (#DB6E6D) and 'Peach Pink' (#EB8A98), neither confirmed as the same product (also consistent with the retailer-naming variance already seen elsewhere in this catalog, e.g. PLA Matte's Pink/Sakura Pink) — left as placeholder rather than guessing between two unconfirmed candidates</t>
  </si>
  <si>
    <t xml:space="preserve">Cardboard spool — AMS Adapter Ring required for all AMS variants | Hex: unconfirmed placeholder (ambiguous source data — 2 unconfirmed candidates)</t>
  </si>
  <si>
    <t xml:space="preserve">EL-PLASK-MTG</t>
  </si>
  <si>
    <t xml:space="preserve">#00FFA2</t>
  </si>
  <si>
    <t xml:space="preserve">Color and 16-variant line confirmed via official elegoo.com storefront (2026-10-05); hex via 3dfilamentprofiles.com dedicated per-color page, unambiguous single match. No-cross-inference note: this is a different hex from PLA Matte's own 'Mint Green' (#98FF98) in this same catalog — different product line, not assumed identical despite the identical color name</t>
  </si>
  <si>
    <t xml:space="preserve">EL-PLASK-RD</t>
  </si>
  <si>
    <t xml:space="preserve">#D32F3C</t>
  </si>
  <si>
    <t xml:space="preserve">Color and 16-variant line confirmed via official elegoo.com storefront (2026-10-05); hex via 3dfilamentprofiles.com dedicated per-color page, unambiguous single match. Note: separate 'True Red' (#B70620), 'Red Bronze', and 'Red Copper' entries exist on the same source as distinctly-named colors — not treated as the same color</t>
  </si>
  <si>
    <t xml:space="preserve">EL-PLASK-SLV</t>
  </si>
  <si>
    <t xml:space="preserve">#93969C</t>
  </si>
  <si>
    <t xml:space="preserve">Color and 16-variant line confirmed via official elegoo.com storefront (2026-10-05) — line includes both single-tone colors and multi-tone/gradient variants (tri-color silk announced in Elegoo's own 2026 blog post); hex via 3dfilamentprofiles.com dedicated per-color page, unambiguous single match. Note: that same source separately lists a "Silver Grey" entry (#A5A9A8) — a different hex — not used here since the official storefront names this color plain "Silver"</t>
  </si>
  <si>
    <t xml:space="preserve">EL-PLASK-WH</t>
  </si>
  <si>
    <t xml:space="preserve">#E0E7F0</t>
  </si>
  <si>
    <t xml:space="preserve">EL-SPK-BK</t>
  </si>
  <si>
    <t xml:space="preserve">Elegoo PLA Sparkle</t>
  </si>
  <si>
    <t xml:space="preserve">Sparkle Black</t>
  </si>
  <si>
    <t xml:space="preserve">#010C13</t>
  </si>
  <si>
    <t xml:space="preserve">Color and official 7-color line count confirmed (us.elegoo.com official product page); hex and temps via 3dfilamentprofiles.com's dedicated per-color detail page</t>
  </si>
  <si>
    <t xml:space="preserve">Cardboard spool — AMS Adapter Ring required for all AMS variants; glitter-particle additive, slightly abrasive — monitor nozzle wear | Hex: manufacturer-listed value (3dfilamentprofiles.com)</t>
  </si>
  <si>
    <t xml:space="preserve">EL-SPK-DGY</t>
  </si>
  <si>
    <t xml:space="preserve">Sparkle Dark Grey</t>
  </si>
  <si>
    <t xml:space="preserve">#878A8F</t>
  </si>
  <si>
    <t xml:space="preserve">Mapped from 3dfilamentprofiles.com's "Dark Gray" (US spelling) — same color as Elegoo's own "Sparkle Dark Grey" | Cardboard spool — AMS Adapter Ring required for all AMS variants; glitter-particle additive, slightly abrasive — monitor nozzle wear | Hex: manufacturer-listed value (3dfilamentprofiles.com)</t>
  </si>
  <si>
    <t xml:space="preserve">EL-SPK-GD</t>
  </si>
  <si>
    <t xml:space="preserve">Sparkle Gold</t>
  </si>
  <si>
    <t xml:space="preserve">#FDD528</t>
  </si>
  <si>
    <t xml:space="preserve">Mapped from 3dfilamentprofiles.com's "Gold Yellow" — naming variance from Elegoo's own "Sparkle Gold", treated as the same color | Cardboard spool — AMS Adapter Ring required for all AMS variants; glitter-particle additive, slightly abrasive — monitor nozzle wear | Hex: manufacturer-listed value (3dfilamentprofiles.com)</t>
  </si>
  <si>
    <t xml:space="preserve">EL-SPK-GN</t>
  </si>
  <si>
    <t xml:space="preserve">Sparkle Green</t>
  </si>
  <si>
    <t xml:space="preserve">PLACEHOLDER/AMBIGUOUS — color confirmed real but hex not safely resolvable this pass, see notes</t>
  </si>
  <si>
    <t xml:space="preserve">AMBIGUOUS — two different 3dfilamentprofiles.com entries give conflicting hex for this exact color (#004000 vs #38571A), one with notably different temps (single-point 230°C/65°C vs the line's usual 190-220°C/35-65°C range, suggesting it may be a data-entry outlier) — not resolved without a tiebreaker, left as placeholder rather than guessing | Cardboard spool — AMS Adapter Ring required for all AMS variants; glitter-particle additive, slightly abrasive — monitor nozzle wear | Hex: unconfirmed placeholder</t>
  </si>
  <si>
    <t xml:space="preserve">EL-SPK-PGY</t>
  </si>
  <si>
    <t xml:space="preserve">Sparkle Purplish Grey</t>
  </si>
  <si>
    <t xml:space="preserve">#413B53</t>
  </si>
  <si>
    <t xml:space="preserve">Mapped from 3dfilamentprofiles.com's "Purplish Gray" (US spelling) — same color as Elegoo's own "Sparkle Purplish Grey" | Cardboard spool — AMS Adapter Ring required for all AMS variants; glitter-particle additive, slightly abrasive — monitor nozzle wear | Hex: manufacturer-listed value (3dfilamentprofiles.com)</t>
  </si>
  <si>
    <t xml:space="preserve">EL-SPK-RD</t>
  </si>
  <si>
    <t xml:space="preserve">Sparkle Red</t>
  </si>
  <si>
    <t xml:space="preserve">#BF5043</t>
  </si>
  <si>
    <t xml:space="preserve">EL-SPK-TQ</t>
  </si>
  <si>
    <t xml:space="preserve">Sparkle Turquoise</t>
  </si>
  <si>
    <t xml:space="preserve">#36B7B2</t>
  </si>
  <si>
    <t xml:space="preserve">EL-WD-OAK</t>
  </si>
  <si>
    <t xml:space="preserve">Elegoo PLA Wood</t>
  </si>
  <si>
    <t xml:space="preserve">Oak Wood</t>
  </si>
  <si>
    <t xml:space="preserve">#C4AC99</t>
  </si>
  <si>
    <t xml:space="preserve">Color and line confirmed via official elegoo.com product page (2026-10-06); hex via 3dfilamentprofiles.com dedicated per-color page, unambiguous single match</t>
  </si>
  <si>
    <t xml:space="preserve">Cardboard spool — AMS Adapter Ring required for all AMS variants | Hex: 3dfilamentprofiles.com per-color page (measured RGB on the same page: #D4B792, listed hex used per standing convention)</t>
  </si>
  <si>
    <t xml:space="preserve">EL-WD-ROSE</t>
  </si>
  <si>
    <t xml:space="preserve">Rosewood</t>
  </si>
  <si>
    <t xml:space="preserve">#60433F</t>
  </si>
  <si>
    <t xml:space="preserve">Color and line confirmed via official elegoo.com/3djake product listings (2026-10-06); hex via 3dfilamentprofiles.com dedicated per-color page, unambiguous single match</t>
  </si>
  <si>
    <t xml:space="preserve">EL-WD-BIRCH</t>
  </si>
  <si>
    <t xml:space="preserve">Tan Birch</t>
  </si>
  <si>
    <t xml:space="preserve">#DFD1C4</t>
  </si>
  <si>
    <t xml:space="preserve">Color confirmed via 3dfilamentprofiles.com dedicated per-color page (2026-10-06); not separately verified against elegoo.com storefront listing text, but appears alongside the other 3 colors on the same manufacturer-sourced listing sequence</t>
  </si>
  <si>
    <t xml:space="preserve">Cardboard spool — AMS Adapter Ring required for all AMS variants | Hex: 3dfilamentprofiles.com per-color page (measured RGB on the same page: #E1C59E, listed hex used per standing convention)</t>
  </si>
  <si>
    <t xml:space="preserve">EL-WD-TEAK</t>
  </si>
  <si>
    <t xml:space="preserve">Teak Wood</t>
  </si>
  <si>
    <t xml:space="preserve">#B6825D</t>
  </si>
  <si>
    <t xml:space="preserve">Cardboard spool — AMS Adapter Ring required for all AMS variants | Hex: 3dfilamentprofiles.com per-color page (measured RGB on the same page: #A46B4C, listed hex used per standing convention)</t>
  </si>
  <si>
    <t xml:space="preserve">EL-PLACF-BK</t>
  </si>
  <si>
    <t xml:space="preserve">Elegoo PLA-CF</t>
  </si>
  <si>
    <t xml:space="preserve">210–240°C</t>
  </si>
  <si>
    <t xml:space="preserve">45–55°C</t>
  </si>
  <si>
    <t xml:space="preserve">55°C / 4h</t>
  </si>
  <si>
    <t xml:space="preserve">PLACEHOLDER — color confirmed real (us.elegoo.com, 7-color line: Carbon Fiber Black/Grey/Red/Blue/Green/Purple/Brown, consistent across US/EU/AU storefronts); print temps confirmed via 3dfilamentprofiles.com's default-settings page for this material (210-240°C / 55°C bed / 55°C-4h dry), but no per-color hex data exists on that site for any color in this line — checked directly, genuine absence not an unresearched gap</t>
  </si>
  <si>
    <t xml:space="preserve">Cardboard spool — AMS Adapter Ring required for all AMS variants; abrasive — hardened nozzle required | Hex: unconfirmed placeholder</t>
  </si>
  <si>
    <t xml:space="preserve">EL-PLACF-BL</t>
  </si>
  <si>
    <t xml:space="preserve">EL-PLACF-BR</t>
  </si>
  <si>
    <t xml:space="preserve">Carbon Fiber Brown</t>
  </si>
  <si>
    <t xml:space="preserve">EL-PLACF-GN</t>
  </si>
  <si>
    <t xml:space="preserve">EL-PLACF-GY</t>
  </si>
  <si>
    <t xml:space="preserve">EL-PLACF-PU</t>
  </si>
  <si>
    <t xml:space="preserve">Carbon Fiber Purple</t>
  </si>
  <si>
    <t xml:space="preserve">EL-PLACF-RD</t>
  </si>
  <si>
    <t xml:space="preserve">EL-RPP-BEI</t>
  </si>
  <si>
    <t xml:space="preserve">Elegoo Rapid PLA Plus</t>
  </si>
  <si>
    <t xml:space="preserve">PLACEHOLDER — color and official 26-color line confirmed (elegoo.com UK storefront product page, 2026-10-07) but hex not resolved this pass — 3dfilamentprofiles.com tags only a single Elegoo entry under its "Rapid" material-type filter (Orange, used for that one color below); this line's remaining 25 colors proved too large to individually source-match this pass without risking a cross-line guess (e.g. borrowing a same-named PLA Basic hex, which the no-cross-inference rule forbids) — worth a dedicated follow-up pass</t>
  </si>
  <si>
    <t xml:space="preserve">Cardboard spool — AMS Adapter Ring required for all AMS variants | Supports 30–600mm/s print speed per manufacturer | Hex: unconfirmed placeholder</t>
  </si>
  <si>
    <t xml:space="preserve">EL-RPP-BK</t>
  </si>
  <si>
    <t xml:space="preserve">EL-RPP-BL</t>
  </si>
  <si>
    <t xml:space="preserve">EL-RPP-BNWH</t>
  </si>
  <si>
    <t xml:space="preserve">Bone White</t>
  </si>
  <si>
    <t xml:space="preserve">EL-RPP-BRN</t>
  </si>
  <si>
    <t xml:space="preserve">EL-RPP-CHBK</t>
  </si>
  <si>
    <t xml:space="preserve">Chestnut Black</t>
  </si>
  <si>
    <t xml:space="preserve">EL-RPP-CHBR</t>
  </si>
  <si>
    <t xml:space="preserve">Chocolate Brown</t>
  </si>
  <si>
    <t xml:space="preserve">EL-RPP-CFBR</t>
  </si>
  <si>
    <t xml:space="preserve">Coffee Brown</t>
  </si>
  <si>
    <t xml:space="preserve">EL-RPP-GN</t>
  </si>
  <si>
    <t xml:space="preserve">EL-RPP-GY</t>
  </si>
  <si>
    <t xml:space="preserve">EL-RPP-LVPR</t>
  </si>
  <si>
    <t xml:space="preserve">EL-RPP-MGYL</t>
  </si>
  <si>
    <t xml:space="preserve">Mango Yellow</t>
  </si>
  <si>
    <t xml:space="preserve">EL-RPP-MDBK</t>
  </si>
  <si>
    <t xml:space="preserve">Midnight Black</t>
  </si>
  <si>
    <t xml:space="preserve">EL-RPP-OAKW</t>
  </si>
  <si>
    <t xml:space="preserve">Oak Wood Color</t>
  </si>
  <si>
    <t xml:space="preserve">EL-RPP-OCBL</t>
  </si>
  <si>
    <t xml:space="preserve">Ocean Blue</t>
  </si>
  <si>
    <t xml:space="preserve">EL-RPP-OLGN</t>
  </si>
  <si>
    <t xml:space="preserve">Olive Green</t>
  </si>
  <si>
    <t xml:space="preserve">EL-RPP-OR</t>
  </si>
  <si>
    <t xml:space="preserve">#FF8800</t>
  </si>
  <si>
    <t xml:space="preserve">Color and official 26-color line confirmed (elegoo.com UK storefront product page, 2026-10-07); hex via 3dfilamentprofiles.com's dedicated "Rapid" material-type per-color page, unambiguous single match for this exact line</t>
  </si>
  <si>
    <t xml:space="preserve">Cardboard spool — AMS Adapter Ring required for all AMS variants | Supports 30–600mm/s print speed per manufacturer | Hex: 3dfilamentprofiles.com per-color page (Rapid-tagged match)</t>
  </si>
  <si>
    <t xml:space="preserve">EL-RPP-PCWH</t>
  </si>
  <si>
    <t xml:space="preserve">Porcelain White</t>
  </si>
  <si>
    <t xml:space="preserve">EL-RPP-PKOR</t>
  </si>
  <si>
    <t xml:space="preserve">Pumpkin Orange</t>
  </si>
  <si>
    <t xml:space="preserve">EL-RPP-RD</t>
  </si>
  <si>
    <t xml:space="preserve">EL-RPP-SKPK</t>
  </si>
  <si>
    <t xml:space="preserve">Sakura Pink</t>
  </si>
  <si>
    <t xml:space="preserve">EL-RPP-SLV</t>
  </si>
  <si>
    <t xml:space="preserve">EL-RPP-TLGN</t>
  </si>
  <si>
    <t xml:space="preserve">Teal Green</t>
  </si>
  <si>
    <t xml:space="preserve">EL-RPP-TRGN</t>
  </si>
  <si>
    <t xml:space="preserve">True Green</t>
  </si>
  <si>
    <t xml:space="preserve">EL-RPP-WH</t>
  </si>
  <si>
    <t xml:space="preserve">EL-RPP-YL</t>
  </si>
  <si>
    <t xml:space="preserve">EL-TPU-BK</t>
  </si>
  <si>
    <t xml:space="preserve">Elegoo TPU 95A</t>
  </si>
  <si>
    <t xml:space="preserve">35–60°C</t>
  </si>
  <si>
    <t xml:space="preserve">50°C / 8h</t>
  </si>
  <si>
    <t xml:space="preserve">Color and temps manufacturer-confirmed (us.elegoo.com product page, 7-color line; temps cross-checked via 3djake.com per-color listings); hex via MakerWorld community swatch set, exact name match</t>
  </si>
  <si>
    <t xml:space="preserve">Cardboard spool — AMS Adapter Ring required for all AMS variants; TPU is external-spool-only on Bambu AMS regardless of adapter ring | Hex: community-sourced (MakerWorld), not manufacturer-confirmed</t>
  </si>
  <si>
    <t xml:space="preserve">EL-TPU-BL</t>
  </si>
  <si>
    <t xml:space="preserve">PLACEHOLDER — color and temps manufacturer-confirmed (us.elegoo.com product page, 7-color line) but this exact color name is not in the MakerWorld swatch set (which covers "Dark Blue"/"Neon Green" for other lines, not plain "Blue"/"Green" as TPU 95A names them) — not assumed identical, per no-cross-inference rule</t>
  </si>
  <si>
    <t xml:space="preserve">Cardboard spool — AMS Adapter Ring required for all AMS variants; TPU is external-spool-only on Bambu AMS regardless of adapter ring | Hex: unconfirmed placeholder</t>
  </si>
  <si>
    <t xml:space="preserve">EL-TPU-GN</t>
  </si>
  <si>
    <t xml:space="preserve">EL-TPU-GY</t>
  </si>
  <si>
    <t xml:space="preserve">EL-TPU-RD</t>
  </si>
  <si>
    <t xml:space="preserve">EL-TPU-TR</t>
  </si>
  <si>
    <t xml:space="preserve">EL-TPU-WH</t>
  </si>
  <si>
    <t xml:space="preserve">Elegoo  —  Material Guide</t>
  </si>
  <si>
    <t xml:space="preserve">Material</t>
  </si>
  <si>
    <t xml:space="preserve">Enclosure Required</t>
  </si>
  <si>
    <t xml:space="preserve">AMS Compatible</t>
  </si>
  <si>
    <t xml:space="preserve">Drying Required</t>
  </si>
  <si>
    <t xml:space="preserve">No</t>
  </si>
  <si>
    <t xml:space="preserve">Recommended</t>
  </si>
  <si>
    <t xml:space="preserve">Cardboard spool, ~199-200mm OD — AMS Adapter Ring required for all AMS variants. Hex codes are community-sourced (MakerWorld), not manufacturer-published.</t>
  </si>
  <si>
    <t xml:space="preserve">Cardboard spool — AMS Adapter Ring required. Distinct product line from plain "PLA" with different colors and (where checked) different hex for same-named colors — not cross-referenced. Color count varies by region: 19 (US) up to 24-25 (AU/other storefronts) — not reconciled this pass.</t>
  </si>
  <si>
    <t xml:space="preserve">Cardboard spool — AMS Adapter Ring required. Same 17 color names as the plain PLA line; hex from the same community swatch set, which explicitly covers PLA+.</t>
  </si>
  <si>
    <t xml:space="preserve">Cardboard spool. External-spool-only on Bambu AMS regardless of adapter ring, same as every other brand's TPU in this catalog. 7-color line, only 4/7 hex confirmed this pass (Black/White/Grey/Red) — Blue/Green/Translucent use different color names than the source swatch's PLA-line entries, not assumed identical.</t>
  </si>
  <si>
    <t xml:space="preserve">Cardboard spool — AMS Adapter Ring required; AMS Lite incompatible (open-frame). Real 6-color line (Deep Black, White, Blue, ASA Green, Grey, Red) — this catalog originally assumed 12 colors in error, corrected 2026-09-23. Deep Black uses a colorimeter-measured hex, not the flat nominal value most retailers list.</t>
  </si>
  <si>
    <t xml:space="preserve">Cardboard spool — AMS Adapter Ring required. 12-color line, 8/12 hex confirmed. Yellow deliberately left unresolved — two different manufacturer-sourced listings gave conflicting hex for this exact color, not resolved without a physical-spool tiebreaker.</t>
  </si>
  <si>
    <t xml:space="preserve">Cardboard spool — AMS Adapter Ring required. 14-color line, only 1/14 hex confirmed this pass (Burgundy Red) — this line proved unusually hard to source per-color data for; worth a dedicated follow-up pass.</t>
  </si>
  <si>
    <t xml:space="preserve">Cardboard spool — AMS Adapter Ring required. Brand-new pre-order product as of 2026-09-27, RFID-tagged for ELEGOO CANVAS. Same 17 color names as PLA Plus. Zero hex confirmed — too new to be indexed by any third-party source checked; re-check once this line has fully shipped.</t>
  </si>
  <si>
    <t xml:space="preserve">Cardboard spool — AMS Adapter Ring required. 3-color line, all 3 hex resolved, but two of the three (Marble, Marble Cement Grey) have conflicting values across sources within 3dfilamentprofiles.com itself — flagged per-entry, not reconciled. Stone-like surface texture over a solid pigment, not a multi-color blend.</t>
  </si>
  <si>
    <t xml:space="preserve">Cardboard spool — AMS Adapter Ring required. 7-color line, 6/7 hex resolved; Sparkle Green left unresolved due to conflicting source values (#004000 vs #38571A). Glitter-particle additive, slightly abrasive — monitor nozzle wear.</t>
  </si>
  <si>
    <t xml:space="preserve">Cardboard spool — AMS Adapter Ring required; AMS Lite incompatible; abrasive, hardened nozzle required. 6-color line, only 1/6 hex resolved (Green) — Black/Grey/Blue explicitly show no RGB data on their own source pages (genuine absence, not unresearched); Red/Sand never surfaced.</t>
  </si>
  <si>
    <t xml:space="preserve">Cardboard spool — AMS Adapter Ring required; abrasive, hardened nozzle required. 7-color line, 0/7 hex resolved — genuine dead end confirmed against 3dfilamentprofiles.com's dedicated PLA-CF section directly, not an unresearched gap. Print temps are real (manufacturer default-settings page).</t>
  </si>
  <si>
    <t xml:space="preserve">Cardboard spool — AMS Adapter Ring required. Added 2026-10-05. 9-color line per official elegoo.com (Black, Slate Grey, Beige, Ice Blue, Lavender Purple, Mint Green, Navy Blue, Pink, Sunshine Yellow); 9/9 hex resolved via 3dfilamentprofiles.com's dedicated per-color pages, which carry several additional color names (Army Green, Chocolate, Ruby Red, Sky Blue, Teal Green, Yellow, etc.) not seen on elegoo.com's own storefront — not added here, flagged as the same regional/retailer naming variance already documented for PLA Basic.</t>
  </si>
  <si>
    <t xml:space="preserve">Cardboard spool — AMS Adapter Ring required. Added 2026-10-05. 16-variant line per official elegoo.com storefront: 8 single-tone colors (Silver, White, Bronze, Holly Green, Mint Green, Red, Gold, Hot Pink) + 8 multi-tone/gradient variants (tri-color silk announced in Elegoo's own 2026 blog post) — Green Red, Black Purple, Black Red, Blue Magenta, Blue Green, Blue Green Orange, Blue Purple Black, Blue Purple. 6/8 single-tone hex resolved (Tier A, unambiguous 3dfilamentprofiles.com matches); Gold and Hot Pink left as placeholders due to multiple conflicting/unconfirmed source candidates, not guessed. All 8 gradient variants left as placeholders by design — a multi-color-per-spool product has no single representative hex, consistent with how this catalog treats every other brand's gradient/rainbow products.</t>
  </si>
  <si>
    <t xml:space="preserve">Cardboard spool — AMS Adapter Ring required. Added 2026-10-06. 3-color line (Black, Purple, Peacock Blue) — speckled night-sky finish over a solid base, not a gradient. 3/3 hex resolved via 3dfilamentprofiles.com; Peacock Blue had two candidate source entries with different hex, used the line-specific-named one.</t>
  </si>
  <si>
    <t xml:space="preserve">Cardboard spool — AMS Adapter Ring required. Added 2026-10-06. 4-color line (Metallic Gold, Bronze, Blue, Green) confirmed via elegoo.com (all listed sold out at time of check). 0/4 hex resolved — genuine dead end confirmed against 3dfilamentprofiles.com's dedicated PLA Metallic section directly (zero entries), not an unresearched gap.</t>
  </si>
  <si>
    <t xml:space="preserve">Cardboard spool — AMS Adapter Ring required. Added 2026-10-06. 4-color line (Oak Wood, Teak Wood, Tan Birch, Rosewood) — a wood-toned PLA (not wood-filled). 4/4 hex resolved via 3dfilamentprofiles.com. Note: Elegoo also sells a separate 'PLA Walnut Wood' product that is a genuinely wood-particle-filled filament, a different material entirely from this color-only line — not added here, flagged for a possible future separate line.</t>
  </si>
  <si>
    <t xml:space="preserve">Cardboard spool — AMS Adapter Ring required. Added 2026-10-06. 5-color line (Blue, Green, Yellow, Orange, Pink) confirmed via elegoo.com. 2/5 hex resolved (Blue, Green) — Yellow and Orange have dedicated 3dfilamentprofiles.com pages with blank RGB fields (genuine gap, not unresearched); Pink's source page lists two conflicting RGB values with no way to pick between them. All hex are the daylight/charged color — this catalog does not track a separate dark-glow color.</t>
  </si>
  <si>
    <t xml:space="preserve">Cardboard spool — AMS Adapter Ring required. Added 2026-10-07. 4-color translucent lithophane/relief-print set (Rilievo Cyan, Magenta, Yellow, White) confirmed via elegoo.com. 0/4 hex resolved — genuine dead end, 3dfilamentprofiles.com has zero Elegoo PLA CMYK entries. Deliberately not borrowed from another brand's published CMYK hex values for a similar bundle (e.g. Bambu Lab's own PLA CMYK set) — no-cross-inference rule.</t>
  </si>
  <si>
    <t xml:space="preserve">Cardboard spool — AMS Adapter Ring required. Added 2026-10-07. 26-color line confirmed via elegoo.com's UK storefront (supports 30-600mm/s print speed per manufacturer). Only 1/26 hex resolved (Orange) via 3dfilamentprofiles.com's single 'Rapid'-tagged entry — the other 25 colors were not individually source-matched this pass to avoid a cross-line guess (e.g. borrowing same-named PLA Basic hex values); worth a dedicated follow-up pass. Print/bed temps not manufacturer-stated on the product page — modeled on this catalog's standard Elegoo PLA profile.</t>
  </si>
  <si>
    <t xml:space="preserve">Cardboard spool — AMS Adapter Ring required. Added 2026-10-07. 7-color line (Grey, White, Black, Silver, Blue, Pink, Red) confirmed via elegoo.com. 7/7 hex resolved via 3dfilamentprofiles.com, which also lists 7 more color names (Burgundy Red, Green, Light Blue, Olive Green, Orange, Purple, Yellow) not on elegoo.com's own storefront — same regional/retailer naming variance already documented for PLA Basic/PLA Matte, not added here.</t>
  </si>
  <si>
    <t xml:space="preserve">⚙  Configuration</t>
  </si>
  <si>
    <t xml:space="preserve">Setting</t>
  </si>
  <si>
    <t xml:space="preserve">Value</t>
  </si>
  <si>
    <t xml:space="preserve">Brand</t>
  </si>
  <si>
    <t xml:space="preserve">Elegoo</t>
  </si>
  <si>
    <t xml:space="preserve">File Version</t>
  </si>
  <si>
    <t xml:space="preserve">v3</t>
  </si>
  <si>
    <t xml:space="preserve">Generated</t>
  </si>
  <si>
    <t xml:space="preserve">2026-10-07</t>
  </si>
  <si>
    <t xml:space="preserve">Date this file was last generated by generate_all.py</t>
  </si>
  <si>
    <t xml:space="preserve">SKU Note</t>
  </si>
  <si>
    <t xml:space="preserve">Reference codes — verify at manufacturer site</t>
  </si>
  <si>
    <t xml:space="preserve">SKU column: confirmed mfr codes noted above; others are internal reference codes</t>
  </si>
  <si>
    <t xml:space="preserve">Hex Note</t>
  </si>
  <si>
    <t xml:space="preserve">Per-row confirmation status is tracked in each Catalog row's Notes column (manufacturer TDS-confirmed, official product-page confirmed, or unconfirmed placeholder). #999999 in the Hex Code column always means unconfirmed placeholder, not a real color.</t>
  </si>
  <si>
    <t xml:space="preserve">Approximate hex = visually representative; not manufacturer-confirmed</t>
  </si>
  <si>
    <t xml:space="preserve">Inventory Note</t>
  </si>
  <si>
    <t xml:space="preserve">This workbook covers catalog reference data only. On-hand spool inventory is tracked separately in Filament_Inventory.xlsx.</t>
  </si>
  <si>
    <t xml:space="preserve">Split from per-brand Inventory Tracker sheets, 2026-07-23</t>
  </si>
</sst>
</file>

<file path=xl/styles.xml><?xml version="1.0" encoding="utf-8"?>
<styleSheet xmlns="http://schemas.openxmlformats.org/spreadsheetml/2006/main">
  <numFmts count="2">
    <numFmt numFmtId="164" formatCode="General"/>
    <numFmt numFmtId="165" formatCode="General"/>
  </numFmts>
  <fonts count="18">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FFFFFF"/>
      <name val="Arial"/>
      <family val="0"/>
      <charset val="1"/>
    </font>
    <font>
      <b val="true"/>
      <sz val="10"/>
      <color rgb="FF000000"/>
      <name val="Arial"/>
      <family val="0"/>
      <charset val="1"/>
    </font>
    <font>
      <b val="true"/>
      <sz val="10"/>
      <color rgb="FF7F6000"/>
      <name val="Arial"/>
      <family val="0"/>
      <charset val="1"/>
    </font>
    <font>
      <sz val="10"/>
      <color rgb="FF000000"/>
      <name val="Arial"/>
      <family val="0"/>
      <charset val="1"/>
    </font>
    <font>
      <b val="true"/>
      <sz val="10"/>
      <color rgb="FF276221"/>
      <name val="Arial"/>
      <family val="0"/>
      <charset val="1"/>
    </font>
    <font>
      <b val="true"/>
      <sz val="10"/>
      <color rgb="FF1F3864"/>
      <name val="Arial"/>
      <family val="0"/>
      <charset val="1"/>
    </font>
    <font>
      <b val="true"/>
      <sz val="10"/>
      <color rgb="FF9C0006"/>
      <name val="Arial"/>
      <family val="0"/>
      <charset val="1"/>
    </font>
    <font>
      <i val="true"/>
      <sz val="10"/>
      <color rgb="FF000000"/>
      <name val="Arial"/>
      <family val="0"/>
      <charset val="1"/>
    </font>
    <font>
      <b val="true"/>
      <sz val="13"/>
      <color rgb="FFFFFFFF"/>
      <name val="Arial"/>
      <family val="0"/>
      <charset val="1"/>
    </font>
    <font>
      <sz val="9"/>
      <color rgb="FF444444"/>
      <name val="Arial"/>
      <family val="0"/>
      <charset val="1"/>
    </font>
    <font>
      <sz val="10"/>
      <name val="Arial"/>
      <family val="2"/>
    </font>
    <font>
      <b val="true"/>
      <sz val="12"/>
      <color rgb="FFFFFFFF"/>
      <name val="Arial"/>
      <family val="0"/>
      <charset val="1"/>
    </font>
    <font>
      <sz val="10"/>
      <color rgb="FF7F6000"/>
      <name val="Arial"/>
      <family val="0"/>
      <charset val="1"/>
    </font>
  </fonts>
  <fills count="126">
    <fill>
      <patternFill patternType="none"/>
    </fill>
    <fill>
      <patternFill patternType="gray125"/>
    </fill>
    <fill>
      <patternFill patternType="darkGray">
        <fgColor rgb="FF163368"/>
        <bgColor rgb="FF3C4331"/>
      </patternFill>
    </fill>
    <fill>
      <patternFill patternType="solid">
        <fgColor rgb="FF1F4CA6"/>
        <bgColor rgb="FF163368"/>
      </patternFill>
    </fill>
    <fill>
      <patternFill patternType="darkGray">
        <fgColor rgb="FFF4F2F8"/>
        <bgColor rgb="FFF6F1EC"/>
      </patternFill>
    </fill>
    <fill>
      <patternFill patternType="solid">
        <fgColor rgb="FFFFFFFF"/>
        <bgColor rgb="FFFCFCFD"/>
      </patternFill>
    </fill>
    <fill>
      <patternFill patternType="solid">
        <fgColor rgb="FFFFD502"/>
        <bgColor rgb="FFF6E700"/>
      </patternFill>
    </fill>
    <fill>
      <patternFill patternType="solid">
        <fgColor rgb="FF93D154"/>
        <bgColor rgb="FFBDB2B2"/>
      </patternFill>
    </fill>
    <fill>
      <patternFill patternType="solid">
        <fgColor rgb="FFBDD7EE"/>
        <bgColor rgb="FFB8CCE4"/>
      </patternFill>
    </fill>
    <fill>
      <patternFill patternType="solid">
        <fgColor rgb="FFF7B6B9"/>
        <bgColor rgb="FFFFC7CE"/>
      </patternFill>
    </fill>
    <fill>
      <patternFill patternType="solid">
        <fgColor rgb="FFFFEB9C"/>
        <bgColor rgb="FFFCE5BC"/>
      </patternFill>
    </fill>
    <fill>
      <patternFill patternType="darkGray">
        <fgColor rgb="FF00F049"/>
        <bgColor rgb="FF29B5E0"/>
      </patternFill>
    </fill>
    <fill>
      <patternFill patternType="darkGray">
        <fgColor rgb="FFE1FDEF"/>
        <bgColor rgb="FFE5F6F7"/>
      </patternFill>
    </fill>
    <fill>
      <patternFill patternType="solid">
        <fgColor rgb="FFEEF3FC"/>
        <bgColor rgb="FFF4F2F8"/>
      </patternFill>
    </fill>
    <fill>
      <patternFill patternType="solid">
        <fgColor rgb="FF163368"/>
        <bgColor rgb="FF1F4CA6"/>
      </patternFill>
    </fill>
    <fill>
      <patternFill patternType="mediumGray">
        <fgColor rgb="FFE1E2E6"/>
        <bgColor rgb="FFE8E7F1"/>
      </patternFill>
    </fill>
    <fill>
      <patternFill patternType="solid">
        <fgColor rgb="FF030413"/>
        <bgColor rgb="FF000000"/>
      </patternFill>
    </fill>
    <fill>
      <patternFill patternType="solid">
        <fgColor rgb="FFE1E2E6"/>
        <bgColor rgb="FFE8E7F1"/>
      </patternFill>
    </fill>
    <fill>
      <patternFill patternType="darkGray">
        <fgColor rgb="FF8A8D92"/>
        <bgColor rgb="FFA096D2"/>
      </patternFill>
    </fill>
    <fill>
      <patternFill patternType="darkGray">
        <fgColor rgb="FFDF1D18"/>
        <bgColor rgb="FFFF0000"/>
      </patternFill>
    </fill>
    <fill>
      <patternFill patternType="darkGray">
        <fgColor rgb="FFFEE2E2"/>
        <bgColor rgb="FFF9E9E8"/>
      </patternFill>
    </fill>
    <fill>
      <patternFill patternType="solid">
        <fgColor rgb="FF12670F"/>
        <bgColor rgb="FF3C4331"/>
      </patternFill>
    </fill>
    <fill>
      <patternFill patternType="solid">
        <fgColor rgb="FFECECE9"/>
        <bgColor rgb="FFEDEDED"/>
      </patternFill>
    </fill>
    <fill>
      <patternFill patternType="solid">
        <fgColor rgb="FF000000"/>
        <bgColor rgb="FF030413"/>
      </patternFill>
    </fill>
    <fill>
      <patternFill patternType="solid">
        <fgColor rgb="FF0000FF"/>
        <bgColor rgb="FF163368"/>
      </patternFill>
    </fill>
    <fill>
      <patternFill patternType="darkGray">
        <fgColor rgb="FFE3E8FB"/>
        <bgColor rgb="FFE8E7F1"/>
      </patternFill>
    </fill>
    <fill>
      <patternFill patternType="mediumGray">
        <fgColor rgb="FFFF8708"/>
        <bgColor rgb="FFFFD502"/>
      </patternFill>
    </fill>
    <fill>
      <patternFill patternType="solid">
        <fgColor rgb="FFFFF3E0"/>
        <bgColor rgb="FFFEFAE9"/>
      </patternFill>
    </fill>
    <fill>
      <patternFill patternType="solid">
        <fgColor rgb="FF645460"/>
        <bgColor rgb="FF3C4331"/>
      </patternFill>
    </fill>
    <fill>
      <patternFill patternType="lightGray">
        <fgColor rgb="FFECECE9"/>
        <bgColor rgb="FFEDEDED"/>
      </patternFill>
    </fill>
    <fill>
      <patternFill patternType="solid">
        <fgColor rgb="FFF7F7F8"/>
        <bgColor rgb="FFF6F8F1"/>
      </patternFill>
    </fill>
    <fill>
      <patternFill patternType="darkGray">
        <fgColor rgb="FFFFFFFF"/>
        <bgColor rgb="FFFCFCFD"/>
      </patternFill>
    </fill>
    <fill>
      <patternFill patternType="solid">
        <fgColor rgb="FF1F4CA6"/>
        <bgColor rgb="FF163368"/>
      </patternFill>
    </fill>
    <fill>
      <patternFill patternType="darkGray">
        <fgColor rgb="FFBDB2B2"/>
        <bgColor rgb="FFA096D2"/>
      </patternFill>
    </fill>
    <fill>
      <patternFill patternType="darkGray">
        <fgColor rgb="FFF7F7F8"/>
        <bgColor rgb="FFF4F2F8"/>
      </patternFill>
    </fill>
    <fill>
      <patternFill patternType="solid">
        <fgColor rgb="FFFFB9F5"/>
        <bgColor rgb="FFF7B6B9"/>
      </patternFill>
    </fill>
    <fill>
      <patternFill patternType="solid">
        <fgColor rgb="FFFFF6FD"/>
        <bgColor rgb="FFF7F7F8"/>
      </patternFill>
    </fill>
    <fill>
      <patternFill patternType="solid">
        <fgColor rgb="FFFF0000"/>
        <bgColor rgb="FFDF1D18"/>
      </patternFill>
    </fill>
    <fill>
      <patternFill patternType="solid">
        <fgColor rgb="FFFEE2E2"/>
        <bgColor rgb="FFF9E9E8"/>
      </patternFill>
    </fill>
    <fill>
      <patternFill patternType="darkGray">
        <fgColor rgb="FF645460"/>
        <bgColor rgb="FF8A8D92"/>
      </patternFill>
    </fill>
    <fill>
      <patternFill patternType="darkGray">
        <fgColor rgb="FFEDEDED"/>
        <bgColor rgb="FFECECE9"/>
      </patternFill>
    </fill>
    <fill>
      <patternFill patternType="darkGray">
        <fgColor rgb="FFFCE5BC"/>
        <bgColor rgb="FFFFF2CC"/>
      </patternFill>
    </fill>
    <fill>
      <patternFill patternType="solid">
        <fgColor rgb="FFFEFCF7"/>
        <bgColor rgb="FFFCFCFD"/>
      </patternFill>
    </fill>
    <fill>
      <patternFill patternType="mediumGray">
        <fgColor rgb="FFAF805C"/>
        <bgColor rgb="FF925900"/>
      </patternFill>
    </fill>
    <fill>
      <patternFill patternType="mediumGray">
        <fgColor rgb="FFEDEDED"/>
        <bgColor rgb="FFF6F1EC"/>
      </patternFill>
    </fill>
    <fill>
      <patternFill patternType="darkGray">
        <fgColor rgb="FF1F4CA6"/>
        <bgColor rgb="FF163368"/>
      </patternFill>
    </fill>
    <fill>
      <patternFill patternType="mediumGray">
        <fgColor rgb="FFE3E8FB"/>
        <bgColor rgb="FFE8E7F1"/>
      </patternFill>
    </fill>
    <fill>
      <patternFill patternType="darkGray">
        <fgColor rgb="FFF4F2F8"/>
        <bgColor rgb="FFEEF3FC"/>
      </patternFill>
    </fill>
    <fill>
      <patternFill patternType="solid">
        <fgColor rgb="FF00F049"/>
        <bgColor rgb="FF29B5E0"/>
      </patternFill>
    </fill>
    <fill>
      <patternFill patternType="solid">
        <fgColor rgb="FFE1FDEF"/>
        <bgColor rgb="FFE5F6F7"/>
      </patternFill>
    </fill>
    <fill>
      <patternFill patternType="solid">
        <fgColor rgb="FFFF8708"/>
        <bgColor rgb="FFAF805C"/>
      </patternFill>
    </fill>
    <fill>
      <patternFill patternType="mediumGray">
        <fgColor rgb="FFFFF3E0"/>
        <bgColor rgb="FFFEEFEE"/>
      </patternFill>
    </fill>
    <fill>
      <patternFill patternType="solid">
        <fgColor rgb="FFF7B6B9"/>
        <bgColor rgb="FFFFC7CE"/>
      </patternFill>
    </fill>
    <fill>
      <patternFill patternType="darkGray">
        <fgColor rgb="FFFFF6FD"/>
        <bgColor rgb="FFF7F7F8"/>
      </patternFill>
    </fill>
    <fill>
      <patternFill patternType="darkGray">
        <fgColor rgb="FF645460"/>
        <bgColor rgb="FF1F4CA6"/>
      </patternFill>
    </fill>
    <fill>
      <patternFill patternType="solid">
        <fgColor rgb="FFE8E7F1"/>
        <bgColor rgb="FFECECE9"/>
      </patternFill>
    </fill>
    <fill>
      <patternFill patternType="mediumGray">
        <fgColor rgb="FF29B5E0"/>
        <bgColor rgb="FF00F049"/>
      </patternFill>
    </fill>
    <fill>
      <patternFill patternType="darkGray">
        <fgColor rgb="FFE5F6F7"/>
        <bgColor rgb="FFE1FDEF"/>
      </patternFill>
    </fill>
    <fill>
      <patternFill patternType="solid">
        <fgColor rgb="FF29B5E0"/>
        <bgColor rgb="FF8A8D92"/>
      </patternFill>
    </fill>
    <fill>
      <patternFill patternType="solid">
        <fgColor rgb="FFE5F6F7"/>
        <bgColor rgb="FFEEF3FC"/>
      </patternFill>
    </fill>
    <fill>
      <patternFill patternType="mediumGray">
        <fgColor rgb="FFECECE9"/>
        <bgColor rgb="FFEDEDED"/>
      </patternFill>
    </fill>
    <fill>
      <patternFill patternType="darkGray">
        <fgColor rgb="FFECECE9"/>
        <bgColor rgb="FFE8E7F1"/>
      </patternFill>
    </fill>
    <fill>
      <patternFill patternType="solid">
        <fgColor rgb="FFFCFCFD"/>
        <bgColor rgb="FFFEFCF7"/>
      </patternFill>
    </fill>
    <fill>
      <patternFill patternType="darkGray">
        <fgColor rgb="FFAF805C"/>
        <bgColor rgb="FF8A8D92"/>
      </patternFill>
    </fill>
    <fill>
      <patternFill patternType="solid">
        <fgColor rgb="FFF6F1EC"/>
        <bgColor rgb="FFF4F2F8"/>
      </patternFill>
    </fill>
    <fill>
      <patternFill patternType="darkGray">
        <fgColor rgb="FFFFD502"/>
        <bgColor rgb="FFF6E700"/>
      </patternFill>
    </fill>
    <fill>
      <patternFill patternType="darkGray">
        <fgColor rgb="FFFDFCE0"/>
        <bgColor rgb="FFFEFAE9"/>
      </patternFill>
    </fill>
    <fill>
      <patternFill patternType="darkGray">
        <fgColor rgb="FFFCE5BC"/>
        <bgColor rgb="FFF0DFDB"/>
      </patternFill>
    </fill>
    <fill>
      <patternFill patternType="darkGray">
        <fgColor rgb="FF645460"/>
        <bgColor rgb="FF925900"/>
      </patternFill>
    </fill>
    <fill>
      <patternFill patternType="mediumGray">
        <fgColor rgb="FFAF805C"/>
        <bgColor rgb="FFFF8708"/>
      </patternFill>
    </fill>
    <fill>
      <patternFill patternType="solid">
        <fgColor rgb="FFFEEFEE"/>
        <bgColor rgb="FFF6F1EC"/>
      </patternFill>
    </fill>
    <fill>
      <patternFill patternType="solid">
        <fgColor rgb="FFFFD502"/>
        <bgColor rgb="FFF6E700"/>
      </patternFill>
    </fill>
    <fill>
      <patternFill patternType="darkGray">
        <fgColor rgb="FFBDB2B2"/>
        <bgColor rgb="FFB8CCE4"/>
      </patternFill>
    </fill>
    <fill>
      <patternFill patternType="solid">
        <fgColor rgb="FFF7F7F8"/>
        <bgColor rgb="FFF6F8F1"/>
      </patternFill>
    </fill>
    <fill>
      <patternFill patternType="solid">
        <fgColor rgb="FFF6E700"/>
        <bgColor rgb="FFFFD502"/>
      </patternFill>
    </fill>
    <fill>
      <patternFill patternType="solid">
        <fgColor rgb="FFFDFCE0"/>
        <bgColor rgb="FFFEFAE9"/>
      </patternFill>
    </fill>
    <fill>
      <patternFill patternType="darkGray">
        <fgColor rgb="FF163368"/>
        <bgColor rgb="FF1F4CA6"/>
      </patternFill>
    </fill>
    <fill>
      <patternFill patternType="mediumGray">
        <fgColor rgb="FFE8E7F1"/>
        <bgColor rgb="FFE1E2E6"/>
      </patternFill>
    </fill>
    <fill>
      <patternFill patternType="darkGray">
        <fgColor rgb="FFE1E2E6"/>
        <bgColor rgb="FFE8E7F1"/>
      </patternFill>
    </fill>
    <fill>
      <patternFill patternType="mediumGray">
        <fgColor rgb="FF29B5E0"/>
        <bgColor rgb="FFA096D2"/>
      </patternFill>
    </fill>
    <fill>
      <patternFill patternType="solid">
        <fgColor rgb="FFEEF3FC"/>
        <bgColor rgb="FFE5F6F7"/>
      </patternFill>
    </fill>
    <fill>
      <patternFill patternType="solid">
        <fgColor rgb="FF93D154"/>
        <bgColor rgb="FFBDB2B2"/>
      </patternFill>
    </fill>
    <fill>
      <patternFill patternType="solid">
        <fgColor rgb="FFF6F8F1"/>
        <bgColor rgb="FFF7F7F8"/>
      </patternFill>
    </fill>
    <fill>
      <patternFill patternType="solid">
        <fgColor rgb="FFE1E2E6"/>
        <bgColor rgb="FFE3E8FB"/>
      </patternFill>
    </fill>
    <fill>
      <patternFill patternType="mediumGray">
        <fgColor rgb="FF910403"/>
        <bgColor rgb="FF3C4331"/>
      </patternFill>
    </fill>
    <fill>
      <patternFill patternType="mediumGray">
        <fgColor rgb="FFF0DFDB"/>
        <bgColor rgb="FFE8E7F1"/>
      </patternFill>
    </fill>
    <fill>
      <patternFill patternType="solid">
        <fgColor rgb="FFEDEDED"/>
        <bgColor rgb="FFECECE9"/>
      </patternFill>
    </fill>
    <fill>
      <patternFill patternType="darkGray">
        <fgColor rgb="FFF0DFDB"/>
        <bgColor rgb="FFFCE5BC"/>
      </patternFill>
    </fill>
    <fill>
      <patternFill patternType="darkGray">
        <fgColor rgb="FFFEFCF7"/>
        <bgColor rgb="FFFCFCFD"/>
      </patternFill>
    </fill>
    <fill>
      <patternFill patternType="darkGray">
        <fgColor rgb="FFC1F6DE"/>
        <bgColor rgb="FFBDD7EE"/>
      </patternFill>
    </fill>
    <fill>
      <patternFill patternType="darkGray">
        <fgColor rgb="FFF5FFFC"/>
        <bgColor rgb="FFFCFCFD"/>
      </patternFill>
    </fill>
    <fill>
      <patternFill patternType="solid">
        <fgColor rgb="FFA096D2"/>
        <bgColor rgb="FFBDB2B2"/>
      </patternFill>
    </fill>
    <fill>
      <patternFill patternType="solid">
        <fgColor rgb="FFF4F2F8"/>
        <bgColor rgb="FFEEF3FC"/>
      </patternFill>
    </fill>
    <fill>
      <patternFill patternType="mediumGray">
        <fgColor rgb="FFC1F6DE"/>
        <bgColor rgb="FF93D154"/>
      </patternFill>
    </fill>
    <fill>
      <patternFill patternType="darkGray">
        <fgColor rgb="FFF5FFFC"/>
        <bgColor rgb="FFF6F8F1"/>
      </patternFill>
    </fill>
    <fill>
      <patternFill patternType="darkGray">
        <fgColor rgb="FF163368"/>
        <bgColor rgb="FF3C4331"/>
      </patternFill>
    </fill>
    <fill>
      <patternFill patternType="darkGray">
        <fgColor rgb="FFE8E7F1"/>
        <bgColor rgb="FFE1E2E6"/>
      </patternFill>
    </fill>
    <fill>
      <patternFill patternType="darkGray">
        <fgColor rgb="FFFFB9F5"/>
        <bgColor rgb="FFFFC7CE"/>
      </patternFill>
    </fill>
    <fill>
      <patternFill patternType="darkGray">
        <fgColor rgb="FFFFF6FD"/>
        <bgColor rgb="FFFCFCFD"/>
      </patternFill>
    </fill>
    <fill>
      <patternFill patternType="solid">
        <fgColor rgb="FFFEDB68"/>
        <bgColor rgb="FFFFEB9C"/>
      </patternFill>
    </fill>
    <fill>
      <patternFill patternType="darkGray">
        <fgColor rgb="FFFEFAE9"/>
        <bgColor rgb="FFFEFCF7"/>
      </patternFill>
    </fill>
    <fill>
      <patternFill patternType="solid">
        <fgColor rgb="FF910403"/>
        <bgColor rgb="FFDF1D18"/>
      </patternFill>
    </fill>
    <fill>
      <patternFill patternType="darkGray">
        <fgColor rgb="FFF0DFDB"/>
        <bgColor rgb="FFFEE2E2"/>
      </patternFill>
    </fill>
    <fill>
      <patternFill patternType="solid">
        <fgColor rgb="FFAF805C"/>
        <bgColor rgb="FF8A8D92"/>
      </patternFill>
    </fill>
    <fill>
      <patternFill patternType="darkGray">
        <fgColor rgb="FFF6F1EC"/>
        <bgColor rgb="FFEDEDED"/>
      </patternFill>
    </fill>
    <fill>
      <patternFill patternType="mediumGray">
        <fgColor rgb="FFE1FDEF"/>
        <bgColor rgb="FFE5F6F7"/>
      </patternFill>
    </fill>
    <fill>
      <patternFill patternType="solid">
        <fgColor rgb="FFDF1D18"/>
        <bgColor rgb="FFFF0000"/>
      </patternFill>
    </fill>
    <fill>
      <patternFill patternType="darkGray">
        <fgColor rgb="FFF9E9E8"/>
        <bgColor rgb="FFFEE2E2"/>
      </patternFill>
    </fill>
    <fill>
      <patternFill patternType="mediumGray">
        <fgColor rgb="FFE3E8FB"/>
        <bgColor rgb="FFE8E7F1"/>
      </patternFill>
    </fill>
    <fill>
      <patternFill patternType="solid">
        <fgColor rgb="FF8A8D92"/>
        <bgColor rgb="FFA096D2"/>
      </patternFill>
    </fill>
    <fill>
      <patternFill patternType="mediumGray">
        <fgColor rgb="FFEDEDED"/>
        <bgColor rgb="FFF4F2F8"/>
      </patternFill>
    </fill>
    <fill>
      <patternFill patternType="darkGray">
        <fgColor rgb="FFFEFAE9"/>
        <bgColor rgb="FFFDFCE0"/>
      </patternFill>
    </fill>
    <fill>
      <patternFill patternType="darkGray">
        <fgColor rgb="FF3C4331"/>
        <bgColor rgb="FF163368"/>
      </patternFill>
    </fill>
    <fill>
      <patternFill patternType="darkGray">
        <fgColor rgb="FFE8E7F1"/>
        <bgColor rgb="FFECECE9"/>
      </patternFill>
    </fill>
    <fill>
      <patternFill patternType="mediumGray">
        <fgColor rgb="FF925900"/>
        <bgColor rgb="FFAF805C"/>
      </patternFill>
    </fill>
    <fill>
      <patternFill patternType="darkGray">
        <fgColor rgb="FFF9E9E8"/>
        <bgColor rgb="FFF6F1EC"/>
      </patternFill>
    </fill>
    <fill>
      <patternFill patternType="darkGray">
        <fgColor rgb="FF29B5E0"/>
        <bgColor rgb="FF8A8D92"/>
      </patternFill>
    </fill>
    <fill>
      <patternFill patternType="solid">
        <fgColor rgb="FFBDB2B2"/>
        <bgColor rgb="FFF7B6B9"/>
      </patternFill>
    </fill>
    <fill>
      <patternFill patternType="darkGray">
        <fgColor rgb="FFF6F8F1"/>
        <bgColor rgb="FFF7F7F8"/>
      </patternFill>
    </fill>
    <fill>
      <patternFill patternType="mediumGray">
        <fgColor rgb="FF645460"/>
        <bgColor rgb="FF3C4331"/>
      </patternFill>
    </fill>
    <fill>
      <patternFill patternType="darkGray">
        <fgColor rgb="FFECECE9"/>
        <bgColor rgb="FFE8E7F1"/>
      </patternFill>
    </fill>
    <fill>
      <patternFill patternType="darkGray">
        <fgColor rgb="FFF0DFDB"/>
        <bgColor rgb="FFE1E2E6"/>
      </patternFill>
    </fill>
    <fill>
      <patternFill patternType="mediumGray">
        <fgColor rgb="FFF7F7F8"/>
        <bgColor rgb="FFFEFCF7"/>
      </patternFill>
    </fill>
    <fill>
      <patternFill patternType="solid">
        <fgColor rgb="FFF6F1EC"/>
        <bgColor rgb="FFFEEFEE"/>
      </patternFill>
    </fill>
    <fill>
      <patternFill patternType="darkGray">
        <fgColor rgb="FFFFF3E0"/>
        <bgColor rgb="FFFEEFEE"/>
      </patternFill>
    </fill>
    <fill>
      <patternFill patternType="solid">
        <fgColor rgb="FFFFF2CC"/>
        <bgColor rgb="FFFFF3E0"/>
      </patternFill>
    </fill>
  </fills>
  <borders count="2">
    <border diagonalUp="false" diagonalDown="false">
      <left/>
      <right/>
      <top/>
      <bottom/>
      <diagonal/>
    </border>
    <border diagonalUp="false" diagonalDown="false">
      <left style="thin">
        <color rgb="FFB8CCE4"/>
      </left>
      <right style="thin">
        <color rgb="FFB8CCE4"/>
      </right>
      <top style="thin">
        <color rgb="FFB8CCE4"/>
      </top>
      <bottom style="thin">
        <color rgb="FFB8CC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5" fontId="6" fillId="5" borderId="1" xfId="0" applyFont="true" applyBorder="true" applyAlignment="true" applyProtection="false">
      <alignment horizontal="center" vertical="center" textRotation="0" wrapText="true" indent="0" shrinkToFit="false"/>
      <protection locked="true" hidden="false"/>
    </xf>
    <xf numFmtId="165" fontId="6" fillId="6" borderId="1" xfId="0" applyFont="true" applyBorder="true" applyAlignment="true" applyProtection="false">
      <alignment horizontal="center" vertical="center" textRotation="0" wrapText="true" indent="0" shrinkToFit="false"/>
      <protection locked="true" hidden="false"/>
    </xf>
    <xf numFmtId="165" fontId="6" fillId="7" borderId="1" xfId="0" applyFont="true" applyBorder="true" applyAlignment="true" applyProtection="false">
      <alignment horizontal="center" vertical="center" textRotation="0" wrapText="true" indent="0" shrinkToFit="false"/>
      <protection locked="true" hidden="false"/>
    </xf>
    <xf numFmtId="165" fontId="6" fillId="8" borderId="1" xfId="0" applyFont="true" applyBorder="true" applyAlignment="true" applyProtection="false">
      <alignment horizontal="center" vertical="center" textRotation="0" wrapText="true" indent="0" shrinkToFit="false"/>
      <protection locked="true" hidden="false"/>
    </xf>
    <xf numFmtId="165" fontId="6" fillId="9" borderId="1" xfId="0" applyFont="true" applyBorder="true" applyAlignment="true" applyProtection="false">
      <alignment horizontal="center" vertical="center" textRotation="0" wrapText="true" indent="0" shrinkToFit="false"/>
      <protection locked="true" hidden="false"/>
    </xf>
    <xf numFmtId="165" fontId="6" fillId="10"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10" fillId="8" borderId="1" xfId="0" applyFont="true" applyBorder="true" applyAlignment="true" applyProtection="false">
      <alignment horizontal="center" vertical="center" textRotation="0" wrapText="true" indent="0" shrinkToFit="false"/>
      <protection locked="true" hidden="false"/>
    </xf>
    <xf numFmtId="164" fontId="11" fillId="9"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8" fillId="11" borderId="1" xfId="0" applyFont="true" applyBorder="true" applyAlignment="true" applyProtection="false">
      <alignment horizontal="center" vertical="center" textRotation="0" wrapText="true" indent="0" shrinkToFit="false"/>
      <protection locked="true" hidden="false"/>
    </xf>
    <xf numFmtId="164" fontId="14" fillId="12" borderId="1" xfId="0" applyFont="true" applyBorder="true" applyAlignment="true" applyProtection="false">
      <alignment horizontal="center" vertical="center" textRotation="0" wrapText="true" indent="0" shrinkToFit="false"/>
      <protection locked="true" hidden="false"/>
    </xf>
    <xf numFmtId="164" fontId="8" fillId="13" borderId="1" xfId="0" applyFont="true" applyBorder="true" applyAlignment="true" applyProtection="false">
      <alignment horizontal="left" vertical="center" textRotation="0" wrapText="true" indent="0" shrinkToFit="false"/>
      <protection locked="true" hidden="false"/>
    </xf>
    <xf numFmtId="164" fontId="8" fillId="14" borderId="1" xfId="0" applyFont="true" applyBorder="true" applyAlignment="true" applyProtection="false">
      <alignment horizontal="center" vertical="center" textRotation="0" wrapText="true" indent="0" shrinkToFit="false"/>
      <protection locked="true" hidden="false"/>
    </xf>
    <xf numFmtId="164" fontId="14" fillId="15" borderId="1" xfId="0" applyFont="true" applyBorder="true" applyAlignment="true" applyProtection="false">
      <alignment horizontal="center" vertical="center" textRotation="0" wrapText="true" indent="0" shrinkToFit="false"/>
      <protection locked="true" hidden="false"/>
    </xf>
    <xf numFmtId="164" fontId="8" fillId="13" borderId="1" xfId="0" applyFont="true" applyBorder="true" applyAlignment="true" applyProtection="false">
      <alignment horizontal="center" vertical="center" textRotation="0" wrapText="true" indent="0" shrinkToFit="false"/>
      <protection locked="true" hidden="false"/>
    </xf>
    <xf numFmtId="164" fontId="8" fillId="16" borderId="1" xfId="0" applyFont="true" applyBorder="true" applyAlignment="true" applyProtection="false">
      <alignment horizontal="center" vertical="center" textRotation="0" wrapText="true" indent="0" shrinkToFit="false"/>
      <protection locked="true" hidden="false"/>
    </xf>
    <xf numFmtId="164" fontId="14" fillId="17" borderId="1" xfId="0" applyFont="true" applyBorder="true" applyAlignment="true" applyProtection="false">
      <alignment horizontal="center" vertical="center" textRotation="0" wrapText="true" indent="0" shrinkToFit="false"/>
      <protection locked="true" hidden="false"/>
    </xf>
    <xf numFmtId="164" fontId="8" fillId="18" borderId="1" xfId="0" applyFont="true" applyBorder="true" applyAlignment="true" applyProtection="false">
      <alignment horizontal="center" vertical="center" textRotation="0" wrapText="tru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4" fontId="8" fillId="19" borderId="1" xfId="0" applyFont="true" applyBorder="true" applyAlignment="true" applyProtection="false">
      <alignment horizontal="center" vertical="center" textRotation="0" wrapText="true" indent="0" shrinkToFit="false"/>
      <protection locked="true" hidden="false"/>
    </xf>
    <xf numFmtId="164" fontId="14" fillId="20" borderId="1" xfId="0" applyFont="true" applyBorder="true" applyAlignment="true" applyProtection="false">
      <alignment horizontal="center" vertical="center" textRotation="0" wrapText="tru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8" fillId="21" borderId="1" xfId="0" applyFont="true" applyBorder="true" applyAlignment="true" applyProtection="false">
      <alignment horizontal="center" vertical="center" textRotation="0" wrapText="true" indent="0" shrinkToFit="false"/>
      <protection locked="true" hidden="false"/>
    </xf>
    <xf numFmtId="164" fontId="14" fillId="22" borderId="1" xfId="0" applyFont="true" applyBorder="true" applyAlignment="true" applyProtection="false">
      <alignment horizontal="center" vertical="center" textRotation="0" wrapText="true" indent="0" shrinkToFit="false"/>
      <protection locked="true" hidden="false"/>
    </xf>
    <xf numFmtId="164" fontId="8" fillId="23" borderId="1" xfId="0" applyFont="true" applyBorder="true" applyAlignment="true" applyProtection="false">
      <alignment horizontal="center" vertical="center" textRotation="0" wrapText="true" indent="0" shrinkToFit="false"/>
      <protection locked="true" hidden="false"/>
    </xf>
    <xf numFmtId="164" fontId="8" fillId="24" borderId="1" xfId="0" applyFont="true" applyBorder="true" applyAlignment="true" applyProtection="false">
      <alignment horizontal="center" vertical="center" textRotation="0" wrapText="true" indent="0" shrinkToFit="false"/>
      <protection locked="true" hidden="false"/>
    </xf>
    <xf numFmtId="164" fontId="14" fillId="25" borderId="1" xfId="0" applyFont="true" applyBorder="true" applyAlignment="true" applyProtection="false">
      <alignment horizontal="center" vertical="center" textRotation="0" wrapText="true" indent="0" shrinkToFit="false"/>
      <protection locked="true" hidden="false"/>
    </xf>
    <xf numFmtId="164" fontId="8" fillId="26" borderId="1" xfId="0" applyFont="true" applyBorder="true" applyAlignment="true" applyProtection="false">
      <alignment horizontal="center" vertical="center" textRotation="0" wrapText="true" indent="0" shrinkToFit="false"/>
      <protection locked="true" hidden="false"/>
    </xf>
    <xf numFmtId="164" fontId="14" fillId="27" borderId="1" xfId="0" applyFont="true" applyBorder="true" applyAlignment="true" applyProtection="false">
      <alignment horizontal="center" vertical="center" textRotation="0" wrapText="true" indent="0" shrinkToFit="false"/>
      <protection locked="true" hidden="false"/>
    </xf>
    <xf numFmtId="164" fontId="8" fillId="28" borderId="1" xfId="0" applyFont="true" applyBorder="true" applyAlignment="true" applyProtection="false">
      <alignment horizontal="center" vertical="center" textRotation="0" wrapText="true" indent="0" shrinkToFit="false"/>
      <protection locked="true" hidden="false"/>
    </xf>
    <xf numFmtId="164" fontId="14" fillId="29" borderId="1" xfId="0" applyFont="true" applyBorder="true" applyAlignment="true" applyProtection="false">
      <alignment horizontal="center" vertical="center" textRotation="0" wrapText="true" indent="0" shrinkToFit="false"/>
      <protection locked="true" hidden="false"/>
    </xf>
    <xf numFmtId="164" fontId="8" fillId="30" borderId="1" xfId="0" applyFont="true" applyBorder="true" applyAlignment="true" applyProtection="false">
      <alignment horizontal="center" vertical="center" textRotation="0" wrapText="true" indent="0" shrinkToFit="false"/>
      <protection locked="true" hidden="false"/>
    </xf>
    <xf numFmtId="164" fontId="14" fillId="31" borderId="1" xfId="0" applyFont="true" applyBorder="true" applyAlignment="true" applyProtection="false">
      <alignment horizontal="center" vertical="center" textRotation="0" wrapText="true" indent="0" shrinkToFit="false"/>
      <protection locked="true" hidden="false"/>
    </xf>
    <xf numFmtId="164" fontId="8" fillId="32" borderId="1" xfId="0" applyFont="true" applyBorder="true" applyAlignment="true" applyProtection="false">
      <alignment horizontal="center" vertical="center" textRotation="0" wrapText="true" indent="0" shrinkToFit="false"/>
      <protection locked="true" hidden="false"/>
    </xf>
    <xf numFmtId="164" fontId="8" fillId="33" borderId="1" xfId="0" applyFont="true" applyBorder="true" applyAlignment="true" applyProtection="false">
      <alignment horizontal="center" vertical="center" textRotation="0" wrapText="true" indent="0" shrinkToFit="false"/>
      <protection locked="true" hidden="false"/>
    </xf>
    <xf numFmtId="164" fontId="14" fillId="34" borderId="1" xfId="0" applyFont="true" applyBorder="true" applyAlignment="true" applyProtection="false">
      <alignment horizontal="center" vertical="center" textRotation="0" wrapText="true" indent="0" shrinkToFit="false"/>
      <protection locked="true" hidden="false"/>
    </xf>
    <xf numFmtId="164" fontId="8" fillId="35" borderId="1" xfId="0" applyFont="true" applyBorder="true" applyAlignment="true" applyProtection="false">
      <alignment horizontal="center" vertical="center" textRotation="0" wrapText="true" indent="0" shrinkToFit="false"/>
      <protection locked="true" hidden="false"/>
    </xf>
    <xf numFmtId="164" fontId="14" fillId="36" borderId="1" xfId="0" applyFont="true" applyBorder="true" applyAlignment="true" applyProtection="false">
      <alignment horizontal="center" vertical="center" textRotation="0" wrapText="true" indent="0" shrinkToFit="false"/>
      <protection locked="true" hidden="false"/>
    </xf>
    <xf numFmtId="164" fontId="8" fillId="37" borderId="1" xfId="0" applyFont="true" applyBorder="true" applyAlignment="true" applyProtection="false">
      <alignment horizontal="center" vertical="center" textRotation="0" wrapText="true" indent="0" shrinkToFit="false"/>
      <protection locked="true" hidden="false"/>
    </xf>
    <xf numFmtId="164" fontId="14" fillId="38" borderId="1" xfId="0" applyFont="true" applyBorder="true" applyAlignment="true" applyProtection="false">
      <alignment horizontal="center" vertical="center" textRotation="0" wrapText="true" indent="0" shrinkToFit="false"/>
      <protection locked="true" hidden="false"/>
    </xf>
    <xf numFmtId="164" fontId="8" fillId="39" borderId="1" xfId="0" applyFont="true" applyBorder="true" applyAlignment="true" applyProtection="false">
      <alignment horizontal="center" vertical="center" textRotation="0" wrapText="true" indent="0" shrinkToFit="false"/>
      <protection locked="true" hidden="false"/>
    </xf>
    <xf numFmtId="164" fontId="14" fillId="40" borderId="1" xfId="0" applyFont="true" applyBorder="true" applyAlignment="true" applyProtection="false">
      <alignment horizontal="center" vertical="center" textRotation="0" wrapText="true" indent="0" shrinkToFit="false"/>
      <protection locked="true" hidden="false"/>
    </xf>
    <xf numFmtId="164" fontId="8" fillId="41" borderId="1" xfId="0" applyFont="true" applyBorder="true" applyAlignment="true" applyProtection="false">
      <alignment horizontal="center" vertical="center" textRotation="0" wrapText="true" indent="0" shrinkToFit="false"/>
      <protection locked="true" hidden="false"/>
    </xf>
    <xf numFmtId="164" fontId="14" fillId="42" borderId="1" xfId="0" applyFont="true" applyBorder="true" applyAlignment="true" applyProtection="false">
      <alignment horizontal="center" vertical="center" textRotation="0" wrapText="true" indent="0" shrinkToFit="false"/>
      <protection locked="true" hidden="false"/>
    </xf>
    <xf numFmtId="164" fontId="8" fillId="43" borderId="1" xfId="0" applyFont="true" applyBorder="true" applyAlignment="true" applyProtection="false">
      <alignment horizontal="center" vertical="center" textRotation="0" wrapText="true" indent="0" shrinkToFit="false"/>
      <protection locked="true" hidden="false"/>
    </xf>
    <xf numFmtId="164" fontId="14" fillId="44" borderId="1" xfId="0" applyFont="true" applyBorder="true" applyAlignment="true" applyProtection="false">
      <alignment horizontal="center" vertical="center" textRotation="0" wrapText="true" indent="0" shrinkToFit="false"/>
      <protection locked="true" hidden="false"/>
    </xf>
    <xf numFmtId="164" fontId="8" fillId="45" borderId="1" xfId="0" applyFont="true" applyBorder="true" applyAlignment="true" applyProtection="false">
      <alignment horizontal="center" vertical="center" textRotation="0" wrapText="true" indent="0" shrinkToFit="false"/>
      <protection locked="true" hidden="false"/>
    </xf>
    <xf numFmtId="164" fontId="14" fillId="46" borderId="1" xfId="0" applyFont="true" applyBorder="true" applyAlignment="true" applyProtection="false">
      <alignment horizontal="center" vertical="center" textRotation="0" wrapText="true" indent="0" shrinkToFit="false"/>
      <protection locked="true" hidden="false"/>
    </xf>
    <xf numFmtId="164" fontId="14" fillId="47" borderId="1" xfId="0" applyFont="true" applyBorder="true" applyAlignment="true" applyProtection="false">
      <alignment horizontal="center" vertical="center" textRotation="0" wrapText="true" indent="0" shrinkToFit="false"/>
      <protection locked="true" hidden="false"/>
    </xf>
    <xf numFmtId="164" fontId="8" fillId="48" borderId="1" xfId="0" applyFont="true" applyBorder="true" applyAlignment="true" applyProtection="false">
      <alignment horizontal="center" vertical="center" textRotation="0" wrapText="true" indent="0" shrinkToFit="false"/>
      <protection locked="true" hidden="false"/>
    </xf>
    <xf numFmtId="164" fontId="14" fillId="49" borderId="1" xfId="0" applyFont="true" applyBorder="true" applyAlignment="true" applyProtection="false">
      <alignment horizontal="center" vertical="center" textRotation="0" wrapText="true" indent="0" shrinkToFit="false"/>
      <protection locked="true" hidden="false"/>
    </xf>
    <xf numFmtId="164" fontId="8" fillId="50" borderId="1" xfId="0" applyFont="true" applyBorder="true" applyAlignment="true" applyProtection="false">
      <alignment horizontal="center" vertical="center" textRotation="0" wrapText="true" indent="0" shrinkToFit="false"/>
      <protection locked="true" hidden="false"/>
    </xf>
    <xf numFmtId="164" fontId="14" fillId="51" borderId="1" xfId="0" applyFont="true" applyBorder="true" applyAlignment="true" applyProtection="false">
      <alignment horizontal="center" vertical="center" textRotation="0" wrapText="true" indent="0" shrinkToFit="false"/>
      <protection locked="true" hidden="false"/>
    </xf>
    <xf numFmtId="164" fontId="8" fillId="52" borderId="1" xfId="0" applyFont="true" applyBorder="true" applyAlignment="true" applyProtection="false">
      <alignment horizontal="center" vertical="center" textRotation="0" wrapText="true" indent="0" shrinkToFit="false"/>
      <protection locked="true" hidden="false"/>
    </xf>
    <xf numFmtId="164" fontId="14" fillId="53" borderId="1" xfId="0" applyFont="true" applyBorder="true" applyAlignment="true" applyProtection="false">
      <alignment horizontal="center" vertical="center" textRotation="0" wrapText="true" indent="0" shrinkToFit="false"/>
      <protection locked="true" hidden="false"/>
    </xf>
    <xf numFmtId="164" fontId="8" fillId="54" borderId="1" xfId="0" applyFont="true" applyBorder="true" applyAlignment="true" applyProtection="false">
      <alignment horizontal="center" vertical="center" textRotation="0" wrapText="true" indent="0" shrinkToFit="false"/>
      <protection locked="true" hidden="false"/>
    </xf>
    <xf numFmtId="164" fontId="14" fillId="55" borderId="1" xfId="0" applyFont="true" applyBorder="true" applyAlignment="true" applyProtection="false">
      <alignment horizontal="center" vertical="center" textRotation="0" wrapText="true" indent="0" shrinkToFit="false"/>
      <protection locked="true" hidden="false"/>
    </xf>
    <xf numFmtId="164" fontId="8" fillId="56" borderId="1" xfId="0" applyFont="true" applyBorder="true" applyAlignment="true" applyProtection="false">
      <alignment horizontal="center" vertical="center" textRotation="0" wrapText="true" indent="0" shrinkToFit="false"/>
      <protection locked="true" hidden="false"/>
    </xf>
    <xf numFmtId="164" fontId="14" fillId="57" borderId="1" xfId="0" applyFont="true" applyBorder="true" applyAlignment="true" applyProtection="false">
      <alignment horizontal="center" vertical="center" textRotation="0" wrapText="true" indent="0" shrinkToFit="false"/>
      <protection locked="true" hidden="false"/>
    </xf>
    <xf numFmtId="164" fontId="8" fillId="58" borderId="1" xfId="0" applyFont="true" applyBorder="true" applyAlignment="true" applyProtection="false">
      <alignment horizontal="center" vertical="center" textRotation="0" wrapText="true" indent="0" shrinkToFit="false"/>
      <protection locked="true" hidden="false"/>
    </xf>
    <xf numFmtId="164" fontId="14" fillId="59" borderId="1" xfId="0" applyFont="true" applyBorder="true" applyAlignment="true" applyProtection="false">
      <alignment horizontal="center" vertical="center" textRotation="0" wrapText="true" indent="0" shrinkToFit="false"/>
      <protection locked="true" hidden="false"/>
    </xf>
    <xf numFmtId="164" fontId="14" fillId="60" borderId="1" xfId="0" applyFont="true" applyBorder="true" applyAlignment="true" applyProtection="false">
      <alignment horizontal="center" vertical="center" textRotation="0" wrapText="true" indent="0" shrinkToFit="false"/>
      <protection locked="true" hidden="false"/>
    </xf>
    <xf numFmtId="164" fontId="8" fillId="61" borderId="1" xfId="0" applyFont="true" applyBorder="true" applyAlignment="true" applyProtection="false">
      <alignment horizontal="center" vertical="center" textRotation="0" wrapText="true" indent="0" shrinkToFit="false"/>
      <protection locked="true" hidden="false"/>
    </xf>
    <xf numFmtId="164" fontId="14" fillId="62" borderId="1" xfId="0" applyFont="true" applyBorder="true" applyAlignment="true" applyProtection="false">
      <alignment horizontal="center" vertical="center" textRotation="0" wrapText="true" indent="0" shrinkToFit="false"/>
      <protection locked="true" hidden="false"/>
    </xf>
    <xf numFmtId="164" fontId="8" fillId="63" borderId="1" xfId="0" applyFont="true" applyBorder="true" applyAlignment="true" applyProtection="false">
      <alignment horizontal="center" vertical="center" textRotation="0" wrapText="true" indent="0" shrinkToFit="false"/>
      <protection locked="true" hidden="false"/>
    </xf>
    <xf numFmtId="164" fontId="14" fillId="64" borderId="1" xfId="0" applyFont="true" applyBorder="true" applyAlignment="true" applyProtection="false">
      <alignment horizontal="center" vertical="center" textRotation="0" wrapText="true" indent="0" shrinkToFit="false"/>
      <protection locked="true" hidden="false"/>
    </xf>
    <xf numFmtId="164" fontId="8" fillId="65" borderId="1" xfId="0" applyFont="true" applyBorder="true" applyAlignment="true" applyProtection="false">
      <alignment horizontal="center" vertical="center" textRotation="0" wrapText="true" indent="0" shrinkToFit="false"/>
      <protection locked="true" hidden="false"/>
    </xf>
    <xf numFmtId="164" fontId="14" fillId="66" borderId="1" xfId="0" applyFont="true" applyBorder="true" applyAlignment="true" applyProtection="false">
      <alignment horizontal="center" vertical="center" textRotation="0" wrapText="true" indent="0" shrinkToFit="false"/>
      <protection locked="true" hidden="false"/>
    </xf>
    <xf numFmtId="164" fontId="8" fillId="67" borderId="1" xfId="0" applyFont="true" applyBorder="true" applyAlignment="true" applyProtection="false">
      <alignment horizontal="center" vertical="center" textRotation="0" wrapText="true" indent="0" shrinkToFit="false"/>
      <protection locked="true" hidden="false"/>
    </xf>
    <xf numFmtId="164" fontId="8" fillId="68" borderId="1" xfId="0" applyFont="true" applyBorder="true" applyAlignment="true" applyProtection="false">
      <alignment horizontal="center" vertical="center" textRotation="0" wrapText="true" indent="0" shrinkToFit="false"/>
      <protection locked="true" hidden="false"/>
    </xf>
    <xf numFmtId="164" fontId="8" fillId="69" borderId="1" xfId="0" applyFont="true" applyBorder="true" applyAlignment="true" applyProtection="false">
      <alignment horizontal="center" vertical="center" textRotation="0" wrapText="true" indent="0" shrinkToFit="false"/>
      <protection locked="true" hidden="false"/>
    </xf>
    <xf numFmtId="164" fontId="14" fillId="70" borderId="1" xfId="0" applyFont="true" applyBorder="true" applyAlignment="true" applyProtection="false">
      <alignment horizontal="center" vertical="center" textRotation="0" wrapText="true" indent="0" shrinkToFit="false"/>
      <protection locked="true" hidden="false"/>
    </xf>
    <xf numFmtId="164" fontId="8" fillId="71" borderId="1" xfId="0" applyFont="true" applyBorder="true" applyAlignment="true" applyProtection="false">
      <alignment horizontal="center" vertical="center" textRotation="0" wrapText="true" indent="0" shrinkToFit="false"/>
      <protection locked="true" hidden="false"/>
    </xf>
    <xf numFmtId="164" fontId="8" fillId="72" borderId="1" xfId="0" applyFont="true" applyBorder="true" applyAlignment="true" applyProtection="false">
      <alignment horizontal="center" vertical="center" textRotation="0" wrapText="true" indent="0" shrinkToFit="false"/>
      <protection locked="true" hidden="false"/>
    </xf>
    <xf numFmtId="164" fontId="14" fillId="73" borderId="1" xfId="0" applyFont="true" applyBorder="true" applyAlignment="true" applyProtection="false">
      <alignment horizontal="center" vertical="center" textRotation="0" wrapText="true" indent="0" shrinkToFit="false"/>
      <protection locked="true" hidden="false"/>
    </xf>
    <xf numFmtId="164" fontId="8" fillId="74" borderId="1" xfId="0" applyFont="true" applyBorder="true" applyAlignment="true" applyProtection="false">
      <alignment horizontal="center" vertical="center" textRotation="0" wrapText="true" indent="0" shrinkToFit="false"/>
      <protection locked="true" hidden="false"/>
    </xf>
    <xf numFmtId="164" fontId="14" fillId="75" borderId="1" xfId="0" applyFont="true" applyBorder="true" applyAlignment="true" applyProtection="false">
      <alignment horizontal="center" vertical="center" textRotation="0" wrapText="true" indent="0" shrinkToFit="false"/>
      <protection locked="true" hidden="false"/>
    </xf>
    <xf numFmtId="164" fontId="8" fillId="76" borderId="1" xfId="0" applyFont="true" applyBorder="true" applyAlignment="true" applyProtection="false">
      <alignment horizontal="center" vertical="center" textRotation="0" wrapText="true" indent="0" shrinkToFit="false"/>
      <protection locked="true" hidden="false"/>
    </xf>
    <xf numFmtId="164" fontId="14" fillId="77" borderId="1" xfId="0" applyFont="true" applyBorder="true" applyAlignment="true" applyProtection="false">
      <alignment horizontal="center" vertical="center" textRotation="0" wrapText="true" indent="0" shrinkToFit="false"/>
      <protection locked="true" hidden="false"/>
    </xf>
    <xf numFmtId="164" fontId="14" fillId="78" borderId="1" xfId="0" applyFont="true" applyBorder="true" applyAlignment="true" applyProtection="false">
      <alignment horizontal="center" vertical="center" textRotation="0" wrapText="true" indent="0" shrinkToFit="false"/>
      <protection locked="true" hidden="false"/>
    </xf>
    <xf numFmtId="164" fontId="8" fillId="79" borderId="1" xfId="0" applyFont="true" applyBorder="true" applyAlignment="true" applyProtection="false">
      <alignment horizontal="center" vertical="center" textRotation="0" wrapText="true" indent="0" shrinkToFit="false"/>
      <protection locked="true" hidden="false"/>
    </xf>
    <xf numFmtId="164" fontId="14" fillId="80" borderId="1" xfId="0" applyFont="true" applyBorder="true" applyAlignment="true" applyProtection="false">
      <alignment horizontal="center" vertical="center" textRotation="0" wrapText="true" indent="0" shrinkToFit="false"/>
      <protection locked="true" hidden="false"/>
    </xf>
    <xf numFmtId="164" fontId="8" fillId="81" borderId="1" xfId="0" applyFont="true" applyBorder="true" applyAlignment="true" applyProtection="false">
      <alignment horizontal="center" vertical="center" textRotation="0" wrapText="true" indent="0" shrinkToFit="false"/>
      <protection locked="true" hidden="false"/>
    </xf>
    <xf numFmtId="164" fontId="14" fillId="82" borderId="1" xfId="0" applyFont="true" applyBorder="true" applyAlignment="true" applyProtection="false">
      <alignment horizontal="center" vertical="center" textRotation="0" wrapText="true" indent="0" shrinkToFit="false"/>
      <protection locked="true" hidden="false"/>
    </xf>
    <xf numFmtId="164" fontId="8" fillId="83" borderId="1" xfId="0" applyFont="true" applyBorder="true" applyAlignment="true" applyProtection="false">
      <alignment horizontal="center" vertical="center" textRotation="0" wrapText="true" indent="0" shrinkToFit="false"/>
      <protection locked="true" hidden="false"/>
    </xf>
    <xf numFmtId="164" fontId="8" fillId="84" borderId="1" xfId="0" applyFont="true" applyBorder="true" applyAlignment="true" applyProtection="false">
      <alignment horizontal="center" vertical="center" textRotation="0" wrapText="true" indent="0" shrinkToFit="false"/>
      <protection locked="true" hidden="false"/>
    </xf>
    <xf numFmtId="164" fontId="14" fillId="85" borderId="1" xfId="0" applyFont="true" applyBorder="true" applyAlignment="true" applyProtection="false">
      <alignment horizontal="center" vertical="center" textRotation="0" wrapText="true" indent="0" shrinkToFit="false"/>
      <protection locked="true" hidden="false"/>
    </xf>
    <xf numFmtId="164" fontId="14" fillId="86" borderId="1" xfId="0" applyFont="true" applyBorder="true" applyAlignment="true" applyProtection="false">
      <alignment horizontal="center" vertical="center" textRotation="0" wrapText="true" indent="0" shrinkToFit="false"/>
      <protection locked="true" hidden="false"/>
    </xf>
    <xf numFmtId="164" fontId="8" fillId="87" borderId="1" xfId="0" applyFont="true" applyBorder="true" applyAlignment="true" applyProtection="false">
      <alignment horizontal="center" vertical="center" textRotation="0" wrapText="true" indent="0" shrinkToFit="false"/>
      <protection locked="true" hidden="false"/>
    </xf>
    <xf numFmtId="164" fontId="14" fillId="88" borderId="1" xfId="0" applyFont="true" applyBorder="true" applyAlignment="true" applyProtection="false">
      <alignment horizontal="center" vertical="center" textRotation="0" wrapText="true" indent="0" shrinkToFit="false"/>
      <protection locked="true" hidden="false"/>
    </xf>
    <xf numFmtId="164" fontId="8" fillId="89" borderId="1" xfId="0" applyFont="true" applyBorder="true" applyAlignment="true" applyProtection="false">
      <alignment horizontal="center" vertical="center" textRotation="0" wrapText="true" indent="0" shrinkToFit="false"/>
      <protection locked="true" hidden="false"/>
    </xf>
    <xf numFmtId="164" fontId="14" fillId="90" borderId="1" xfId="0" applyFont="true" applyBorder="true" applyAlignment="true" applyProtection="false">
      <alignment horizontal="center" vertical="center" textRotation="0" wrapText="true" indent="0" shrinkToFit="false"/>
      <protection locked="true" hidden="false"/>
    </xf>
    <xf numFmtId="164" fontId="8" fillId="91" borderId="1" xfId="0" applyFont="true" applyBorder="true" applyAlignment="true" applyProtection="false">
      <alignment horizontal="center" vertical="center" textRotation="0" wrapText="true" indent="0" shrinkToFit="false"/>
      <protection locked="true" hidden="false"/>
    </xf>
    <xf numFmtId="164" fontId="14" fillId="92" borderId="1" xfId="0" applyFont="true" applyBorder="true" applyAlignment="true" applyProtection="false">
      <alignment horizontal="center" vertical="center" textRotation="0" wrapText="true" indent="0" shrinkToFit="false"/>
      <protection locked="true" hidden="false"/>
    </xf>
    <xf numFmtId="164" fontId="8" fillId="93" borderId="1" xfId="0" applyFont="true" applyBorder="true" applyAlignment="true" applyProtection="false">
      <alignment horizontal="center" vertical="center" textRotation="0" wrapText="true" indent="0" shrinkToFit="false"/>
      <protection locked="true" hidden="false"/>
    </xf>
    <xf numFmtId="164" fontId="14" fillId="94" borderId="1" xfId="0" applyFont="true" applyBorder="true" applyAlignment="true" applyProtection="false">
      <alignment horizontal="center" vertical="center" textRotation="0" wrapText="true" indent="0" shrinkToFit="false"/>
      <protection locked="true" hidden="false"/>
    </xf>
    <xf numFmtId="164" fontId="8" fillId="95" borderId="1" xfId="0" applyFont="true" applyBorder="true" applyAlignment="true" applyProtection="false">
      <alignment horizontal="center" vertical="center" textRotation="0" wrapText="true" indent="0" shrinkToFit="false"/>
      <protection locked="true" hidden="false"/>
    </xf>
    <xf numFmtId="164" fontId="14" fillId="96" borderId="1" xfId="0" applyFont="true" applyBorder="true" applyAlignment="true" applyProtection="false">
      <alignment horizontal="center" vertical="center" textRotation="0" wrapText="true" indent="0" shrinkToFit="false"/>
      <protection locked="true" hidden="false"/>
    </xf>
    <xf numFmtId="164" fontId="8" fillId="97" borderId="1" xfId="0" applyFont="true" applyBorder="true" applyAlignment="true" applyProtection="false">
      <alignment horizontal="center" vertical="center" textRotation="0" wrapText="true" indent="0" shrinkToFit="false"/>
      <protection locked="true" hidden="false"/>
    </xf>
    <xf numFmtId="164" fontId="14" fillId="98" borderId="1" xfId="0" applyFont="true" applyBorder="true" applyAlignment="true" applyProtection="false">
      <alignment horizontal="center" vertical="center" textRotation="0" wrapText="true" indent="0" shrinkToFit="false"/>
      <protection locked="true" hidden="false"/>
    </xf>
    <xf numFmtId="164" fontId="8" fillId="99" borderId="1" xfId="0" applyFont="true" applyBorder="true" applyAlignment="true" applyProtection="false">
      <alignment horizontal="center" vertical="center" textRotation="0" wrapText="true" indent="0" shrinkToFit="false"/>
      <protection locked="true" hidden="false"/>
    </xf>
    <xf numFmtId="164" fontId="14" fillId="100" borderId="1" xfId="0" applyFont="true" applyBorder="true" applyAlignment="true" applyProtection="false">
      <alignment horizontal="center" vertical="center" textRotation="0" wrapText="true" indent="0" shrinkToFit="false"/>
      <protection locked="true" hidden="false"/>
    </xf>
    <xf numFmtId="164" fontId="8" fillId="101" borderId="1" xfId="0" applyFont="true" applyBorder="true" applyAlignment="true" applyProtection="false">
      <alignment horizontal="center" vertical="center" textRotation="0" wrapText="true" indent="0" shrinkToFit="false"/>
      <protection locked="true" hidden="false"/>
    </xf>
    <xf numFmtId="164" fontId="14" fillId="102" borderId="1" xfId="0" applyFont="true" applyBorder="true" applyAlignment="true" applyProtection="false">
      <alignment horizontal="center" vertical="center" textRotation="0" wrapText="true" indent="0" shrinkToFit="false"/>
      <protection locked="true" hidden="false"/>
    </xf>
    <xf numFmtId="164" fontId="8" fillId="103" borderId="1" xfId="0" applyFont="true" applyBorder="true" applyAlignment="true" applyProtection="false">
      <alignment horizontal="center" vertical="center" textRotation="0" wrapText="true" indent="0" shrinkToFit="false"/>
      <protection locked="true" hidden="false"/>
    </xf>
    <xf numFmtId="164" fontId="14" fillId="104" borderId="1" xfId="0" applyFont="true" applyBorder="true" applyAlignment="true" applyProtection="false">
      <alignment horizontal="center" vertical="center" textRotation="0" wrapText="true" indent="0" shrinkToFit="false"/>
      <protection locked="true" hidden="false"/>
    </xf>
    <xf numFmtId="164" fontId="14" fillId="105" borderId="1" xfId="0" applyFont="true" applyBorder="true" applyAlignment="true" applyProtection="false">
      <alignment horizontal="center" vertical="center" textRotation="0" wrapText="true" indent="0" shrinkToFit="false"/>
      <protection locked="true" hidden="false"/>
    </xf>
    <xf numFmtId="164" fontId="8" fillId="106" borderId="1" xfId="0" applyFont="true" applyBorder="true" applyAlignment="true" applyProtection="false">
      <alignment horizontal="center" vertical="center" textRotation="0" wrapText="true" indent="0" shrinkToFit="false"/>
      <protection locked="true" hidden="false"/>
    </xf>
    <xf numFmtId="164" fontId="14" fillId="107" borderId="1" xfId="0" applyFont="true" applyBorder="true" applyAlignment="true" applyProtection="false">
      <alignment horizontal="center" vertical="center" textRotation="0" wrapText="true" indent="0" shrinkToFit="false"/>
      <protection locked="true" hidden="false"/>
    </xf>
    <xf numFmtId="164" fontId="8" fillId="108" borderId="1" xfId="0" applyFont="true" applyBorder="true" applyAlignment="true" applyProtection="false">
      <alignment horizontal="center" vertical="center" textRotation="0" wrapText="true" indent="0" shrinkToFit="false"/>
      <protection locked="true" hidden="false"/>
    </xf>
    <xf numFmtId="164" fontId="8" fillId="109" borderId="1" xfId="0" applyFont="true" applyBorder="true" applyAlignment="true" applyProtection="false">
      <alignment horizontal="center" vertical="center" textRotation="0" wrapText="true" indent="0" shrinkToFit="false"/>
      <protection locked="true" hidden="false"/>
    </xf>
    <xf numFmtId="164" fontId="14" fillId="110" borderId="1" xfId="0" applyFont="true" applyBorder="true" applyAlignment="true" applyProtection="false">
      <alignment horizontal="center" vertical="center" textRotation="0" wrapText="true" indent="0" shrinkToFit="false"/>
      <protection locked="true" hidden="false"/>
    </xf>
    <xf numFmtId="164" fontId="14" fillId="111" borderId="1" xfId="0" applyFont="true" applyBorder="true" applyAlignment="true" applyProtection="false">
      <alignment horizontal="center" vertical="center" textRotation="0" wrapText="true" indent="0" shrinkToFit="false"/>
      <protection locked="true" hidden="false"/>
    </xf>
    <xf numFmtId="164" fontId="8" fillId="112" borderId="1" xfId="0" applyFont="true" applyBorder="true" applyAlignment="true" applyProtection="false">
      <alignment horizontal="center" vertical="center" textRotation="0" wrapText="true" indent="0" shrinkToFit="false"/>
      <protection locked="true" hidden="false"/>
    </xf>
    <xf numFmtId="164" fontId="14" fillId="113" borderId="1" xfId="0" applyFont="true" applyBorder="true" applyAlignment="true" applyProtection="false">
      <alignment horizontal="center" vertical="center" textRotation="0" wrapText="true" indent="0" shrinkToFit="false"/>
      <protection locked="true" hidden="false"/>
    </xf>
    <xf numFmtId="164" fontId="8" fillId="114" borderId="1" xfId="0" applyFont="true" applyBorder="true" applyAlignment="true" applyProtection="false">
      <alignment horizontal="center" vertical="center" textRotation="0" wrapText="true" indent="0" shrinkToFit="false"/>
      <protection locked="true" hidden="false"/>
    </xf>
    <xf numFmtId="164" fontId="14" fillId="115" borderId="1" xfId="0" applyFont="true" applyBorder="true" applyAlignment="true" applyProtection="false">
      <alignment horizontal="center" vertical="center" textRotation="0" wrapText="true" indent="0" shrinkToFit="false"/>
      <protection locked="true" hidden="false"/>
    </xf>
    <xf numFmtId="164" fontId="8" fillId="116" borderId="1" xfId="0" applyFont="true" applyBorder="true" applyAlignment="true" applyProtection="false">
      <alignment horizontal="center" vertical="center" textRotation="0" wrapText="true" indent="0" shrinkToFit="false"/>
      <protection locked="true" hidden="false"/>
    </xf>
    <xf numFmtId="164" fontId="8" fillId="117" borderId="1" xfId="0" applyFont="true" applyBorder="true" applyAlignment="true" applyProtection="false">
      <alignment horizontal="center" vertical="center" textRotation="0" wrapText="true" indent="0" shrinkToFit="false"/>
      <protection locked="true" hidden="false"/>
    </xf>
    <xf numFmtId="164" fontId="14" fillId="118" borderId="1" xfId="0" applyFont="true" applyBorder="true" applyAlignment="true" applyProtection="false">
      <alignment horizontal="center" vertical="center" textRotation="0" wrapText="true" indent="0" shrinkToFit="false"/>
      <protection locked="true" hidden="false"/>
    </xf>
    <xf numFmtId="164" fontId="8" fillId="119" borderId="1" xfId="0" applyFont="true" applyBorder="true" applyAlignment="true" applyProtection="false">
      <alignment horizontal="center" vertical="center" textRotation="0" wrapText="true" indent="0" shrinkToFit="false"/>
      <protection locked="true" hidden="false"/>
    </xf>
    <xf numFmtId="164" fontId="14" fillId="120" borderId="1" xfId="0" applyFont="true" applyBorder="true" applyAlignment="true" applyProtection="false">
      <alignment horizontal="center" vertical="center" textRotation="0" wrapText="true" indent="0" shrinkToFit="false"/>
      <protection locked="true" hidden="false"/>
    </xf>
    <xf numFmtId="164" fontId="8" fillId="121" borderId="1" xfId="0" applyFont="true" applyBorder="true" applyAlignment="true" applyProtection="false">
      <alignment horizontal="center" vertical="center" textRotation="0" wrapText="true" indent="0" shrinkToFit="false"/>
      <protection locked="true" hidden="false"/>
    </xf>
    <xf numFmtId="164" fontId="14" fillId="122" borderId="1" xfId="0" applyFont="true" applyBorder="true" applyAlignment="true" applyProtection="false">
      <alignment horizontal="center" vertical="center" textRotation="0" wrapText="true" indent="0" shrinkToFit="false"/>
      <protection locked="true" hidden="false"/>
    </xf>
    <xf numFmtId="164" fontId="14" fillId="123" borderId="1" xfId="0" applyFont="true" applyBorder="true" applyAlignment="true" applyProtection="false">
      <alignment horizontal="center" vertical="center" textRotation="0" wrapText="true" indent="0" shrinkToFit="false"/>
      <protection locked="true" hidden="false"/>
    </xf>
    <xf numFmtId="164" fontId="14" fillId="124" borderId="1" xfId="0" applyFont="true" applyBorder="true" applyAlignment="true" applyProtection="false">
      <alignment horizontal="center" vertical="center" textRotation="0" wrapText="true" indent="0" shrinkToFit="false"/>
      <protection locked="true" hidden="false"/>
    </xf>
    <xf numFmtId="164" fontId="16" fillId="2" borderId="0"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7" fillId="125"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17" fillId="125"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8">
    <dxf>
      <font>
        <name val="Arial"/>
        <charset val="1"/>
        <family val="0"/>
        <b val="1"/>
        <color rgb="FF9C5700"/>
      </font>
      <fill>
        <patternFill>
          <bgColor rgb="FFFFEB9C"/>
        </patternFill>
      </fill>
    </dxf>
    <dxf>
      <font>
        <name val="Arial"/>
        <charset val="1"/>
        <family val="0"/>
        <b val="1"/>
        <color rgb="FF276221"/>
      </font>
      <fill>
        <patternFill>
          <bgColor rgb="FFC6EFCE"/>
        </patternFill>
      </fill>
    </dxf>
    <dxf>
      <fill>
        <patternFill patternType="solid">
          <fgColor rgb="FF1F3864"/>
          <bgColor rgb="FF000000"/>
        </patternFill>
      </fill>
    </dxf>
    <dxf>
      <fill>
        <patternFill patternType="solid">
          <fgColor rgb="FFEEF3FB"/>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000026"/>
          <bgColor rgb="FF000000"/>
        </patternFill>
      </fill>
    </dxf>
    <dxf>
      <fill>
        <patternFill patternType="solid">
          <fgColor rgb="FF0000FF"/>
          <bgColor rgb="FF000000"/>
        </patternFill>
      </fill>
    </dxf>
    <dxf>
      <fill>
        <patternFill patternType="solid">
          <fgColor rgb="FF007700"/>
          <bgColor rgb="FF000000"/>
        </patternFill>
      </fill>
    </dxf>
    <dxf>
      <fill>
        <patternFill patternType="solid">
          <fgColor rgb="FF00C760"/>
          <bgColor rgb="FF000000"/>
        </patternFill>
      </fill>
    </dxf>
    <dxf>
      <fill>
        <patternFill patternType="solid">
          <fgColor rgb="FF00CC33"/>
          <bgColor rgb="FF000000"/>
        </patternFill>
      </fill>
    </dxf>
    <dxf>
      <fill>
        <patternFill patternType="solid">
          <fgColor rgb="FF00FFA2"/>
          <bgColor rgb="FF000000"/>
        </patternFill>
      </fill>
    </dxf>
    <dxf>
      <fill>
        <patternFill patternType="solid">
          <fgColor rgb="FF010C13"/>
          <bgColor rgb="FF000000"/>
        </patternFill>
      </fill>
    </dxf>
    <dxf>
      <fill>
        <patternFill patternType="solid">
          <fgColor rgb="FF08E327"/>
          <bgColor rgb="FF000000"/>
        </patternFill>
      </fill>
    </dxf>
    <dxf>
      <fill>
        <patternFill patternType="solid">
          <fgColor rgb="FF090909"/>
          <bgColor rgb="FF000000"/>
        </patternFill>
      </fill>
    </dxf>
    <dxf>
      <fill>
        <patternFill patternType="solid">
          <fgColor rgb="FF0C2388"/>
          <bgColor rgb="FF000000"/>
        </patternFill>
      </fill>
    </dxf>
    <dxf>
      <fill>
        <patternFill patternType="solid">
          <fgColor rgb="FF0E3D6C"/>
          <bgColor rgb="FF000000"/>
        </patternFill>
      </fill>
    </dxf>
    <dxf>
      <fill>
        <patternFill patternType="solid">
          <fgColor rgb="FF101A25"/>
          <bgColor rgb="FF000000"/>
        </patternFill>
      </fill>
    </dxf>
    <dxf>
      <fill>
        <patternFill patternType="solid">
          <fgColor rgb="FF1748BA"/>
          <bgColor rgb="FF000000"/>
        </patternFill>
      </fill>
    </dxf>
    <dxf>
      <fill>
        <patternFill patternType="solid">
          <fgColor rgb="FF1A0A53"/>
          <bgColor rgb="FF000000"/>
        </patternFill>
      </fill>
    </dxf>
    <dxf>
      <fill>
        <patternFill patternType="solid">
          <fgColor rgb="FF1ABC83"/>
          <bgColor rgb="FF000000"/>
        </patternFill>
      </fill>
    </dxf>
    <dxf>
      <fill>
        <patternFill patternType="solid">
          <fgColor rgb="FF2240AF"/>
          <bgColor rgb="FF000000"/>
        </patternFill>
      </fill>
    </dxf>
    <dxf>
      <fill>
        <patternFill patternType="solid">
          <fgColor rgb="FF27B2D0"/>
          <bgColor rgb="FF000000"/>
        </patternFill>
      </fill>
    </dxf>
    <dxf>
      <fill>
        <patternFill patternType="solid">
          <fgColor rgb="FF2C3662"/>
          <bgColor rgb="FF000000"/>
        </patternFill>
      </fill>
    </dxf>
    <dxf>
      <fill>
        <patternFill patternType="solid">
          <fgColor rgb="FF36B7B2"/>
          <bgColor rgb="FF000000"/>
        </patternFill>
      </fill>
    </dxf>
    <dxf>
      <fill>
        <patternFill patternType="solid">
          <fgColor rgb="FF413B53"/>
          <bgColor rgb="FF000000"/>
        </patternFill>
      </fill>
    </dxf>
    <dxf>
      <fill>
        <patternFill patternType="solid">
          <fgColor rgb="FF5D5D5D"/>
          <bgColor rgb="FF000000"/>
        </patternFill>
      </fill>
    </dxf>
    <dxf>
      <fill>
        <patternFill patternType="solid">
          <fgColor rgb="FF603BA0"/>
          <bgColor rgb="FF000000"/>
        </patternFill>
      </fill>
    </dxf>
    <dxf>
      <fill>
        <patternFill patternType="solid">
          <fgColor rgb="FF60433F"/>
          <bgColor rgb="FF000000"/>
        </patternFill>
      </fill>
    </dxf>
    <dxf>
      <fill>
        <patternFill patternType="solid">
          <fgColor rgb="FF616161"/>
          <bgColor rgb="FF000000"/>
        </patternFill>
      </fill>
    </dxf>
    <dxf>
      <fill>
        <patternFill patternType="solid">
          <fgColor rgb="FF64B0FF"/>
          <bgColor rgb="FF000000"/>
        </patternFill>
      </fill>
    </dxf>
    <dxf>
      <fill>
        <patternFill patternType="solid">
          <fgColor rgb="FF66676C"/>
          <bgColor rgb="FF000000"/>
        </patternFill>
      </fill>
    </dxf>
    <dxf>
      <fill>
        <patternFill patternType="solid">
          <fgColor rgb="FF696969"/>
          <bgColor rgb="FF000000"/>
        </patternFill>
      </fill>
    </dxf>
    <dxf>
      <fill>
        <patternFill patternType="solid">
          <fgColor rgb="FF6E1C20"/>
          <bgColor rgb="FF000000"/>
        </patternFill>
      </fill>
    </dxf>
    <dxf>
      <fill>
        <patternFill patternType="solid">
          <fgColor rgb="FF725B4D"/>
          <bgColor rgb="FF000000"/>
        </patternFill>
      </fill>
    </dxf>
    <dxf>
      <fill>
        <patternFill patternType="solid">
          <fgColor rgb="FF878A8F"/>
          <bgColor rgb="FF000000"/>
        </patternFill>
      </fill>
    </dxf>
    <dxf>
      <fill>
        <patternFill patternType="solid">
          <fgColor rgb="FF8F949B"/>
          <bgColor rgb="FF000000"/>
        </patternFill>
      </fill>
    </dxf>
    <dxf>
      <fill>
        <patternFill patternType="solid">
          <fgColor rgb="FF93969C"/>
          <bgColor rgb="FF000000"/>
        </patternFill>
      </fill>
    </dxf>
    <dxf>
      <fill>
        <patternFill patternType="solid">
          <fgColor rgb="FF969799"/>
          <bgColor rgb="FF000000"/>
        </patternFill>
      </fill>
    </dxf>
    <dxf>
      <fill>
        <patternFill patternType="solid">
          <fgColor rgb="FF96D35F"/>
          <bgColor rgb="FF000000"/>
        </patternFill>
      </fill>
    </dxf>
    <dxf>
      <fill>
        <patternFill patternType="solid">
          <fgColor rgb="FF98FF98"/>
          <bgColor rgb="FF000000"/>
        </patternFill>
      </fill>
    </dxf>
    <dxf>
      <fill>
        <patternFill patternType="solid">
          <fgColor rgb="FF990000"/>
          <bgColor rgb="FF000000"/>
        </patternFill>
      </fill>
    </dxf>
    <dxf>
      <fill>
        <patternFill patternType="solid">
          <fgColor rgb="FF999999"/>
          <bgColor rgb="FF000000"/>
        </patternFill>
      </fill>
    </dxf>
    <dxf>
      <fill>
        <patternFill patternType="solid">
          <fgColor rgb="FF9E6A4B"/>
          <bgColor rgb="FF000000"/>
        </patternFill>
      </fill>
    </dxf>
    <dxf>
      <fill>
        <patternFill patternType="solid">
          <fgColor rgb="FFADADAD"/>
          <bgColor rgb="FF000000"/>
        </patternFill>
      </fill>
    </dxf>
    <dxf>
      <fill>
        <patternFill patternType="solid">
          <fgColor rgb="FFB091EF"/>
          <bgColor rgb="FF000000"/>
        </patternFill>
      </fill>
    </dxf>
    <dxf>
      <fill>
        <patternFill patternType="solid">
          <fgColor rgb="FFB19870"/>
          <bgColor rgb="FF000000"/>
        </patternFill>
      </fill>
    </dxf>
    <dxf>
      <fill>
        <patternFill patternType="solid">
          <fgColor rgb="FFB37A56"/>
          <bgColor rgb="FF000000"/>
        </patternFill>
      </fill>
    </dxf>
    <dxf>
      <fill>
        <patternFill patternType="solid">
          <fgColor rgb="FFB4F5FE"/>
          <bgColor rgb="FF000000"/>
        </patternFill>
      </fill>
    </dxf>
    <dxf>
      <fill>
        <patternFill patternType="solid">
          <fgColor rgb="FFB6825D"/>
          <bgColor rgb="FF000000"/>
        </patternFill>
      </fill>
    </dxf>
    <dxf>
      <fill>
        <patternFill patternType="solid">
          <fgColor rgb="FFBEBBC0"/>
          <bgColor rgb="FF000000"/>
        </patternFill>
      </fill>
    </dxf>
    <dxf>
      <fill>
        <patternFill patternType="solid">
          <fgColor rgb="FFBF5043"/>
          <bgColor rgb="FF000000"/>
        </patternFill>
      </fill>
    </dxf>
    <dxf>
      <fill>
        <patternFill patternType="solid">
          <fgColor rgb="FFC4AC99"/>
          <bgColor rgb="FF000000"/>
        </patternFill>
      </fill>
    </dxf>
    <dxf>
      <fill>
        <patternFill patternType="solid">
          <fgColor rgb="FFD32F3C"/>
          <bgColor rgb="FF000000"/>
        </patternFill>
      </fill>
    </dxf>
    <dxf>
      <fill>
        <patternFill patternType="solid">
          <fgColor rgb="FFD5DFE7"/>
          <bgColor rgb="FF000000"/>
        </patternFill>
      </fill>
    </dxf>
    <dxf>
      <fill>
        <patternFill patternType="solid">
          <fgColor rgb="FFD61212"/>
          <bgColor rgb="FF000000"/>
        </patternFill>
      </fill>
    </dxf>
    <dxf>
      <fill>
        <patternFill patternType="solid">
          <fgColor rgb="FFDFD1C4"/>
          <bgColor rgb="FF000000"/>
        </patternFill>
      </fill>
    </dxf>
    <dxf>
      <fill>
        <patternFill patternType="solid">
          <fgColor rgb="FFE0E7F0"/>
          <bgColor rgb="FF000000"/>
        </patternFill>
      </fill>
    </dxf>
    <dxf>
      <fill>
        <patternFill patternType="solid">
          <fgColor rgb="FFE9E9E7"/>
          <bgColor rgb="FF000000"/>
        </patternFill>
      </fill>
    </dxf>
    <dxf>
      <fill>
        <patternFill patternType="solid">
          <fgColor rgb="FFEA140E"/>
          <bgColor rgb="FF000000"/>
        </patternFill>
      </fill>
    </dxf>
    <dxf>
      <fill>
        <patternFill patternType="solid">
          <fgColor rgb="FFEFD8BE"/>
          <bgColor rgb="FF000000"/>
        </patternFill>
      </fill>
    </dxf>
    <dxf>
      <fill>
        <patternFill patternType="solid">
          <fgColor rgb="FFF4E0B8"/>
          <bgColor rgb="FF000000"/>
        </patternFill>
      </fill>
    </dxf>
    <dxf>
      <fill>
        <patternFill patternType="solid">
          <fgColor rgb="FFF5EC00"/>
          <bgColor rgb="FF000000"/>
        </patternFill>
      </fill>
    </dxf>
    <dxf>
      <fill>
        <patternFill patternType="solid">
          <fgColor rgb="FFF6D701"/>
          <bgColor rgb="FF000000"/>
        </patternFill>
      </fill>
    </dxf>
    <dxf>
      <fill>
        <patternFill patternType="solid">
          <fgColor rgb="FFF7F7F8"/>
          <bgColor rgb="FF000000"/>
        </patternFill>
      </fill>
    </dxf>
    <dxf>
      <fill>
        <patternFill patternType="solid">
          <fgColor rgb="FFF9B0BD"/>
          <bgColor rgb="FF000000"/>
        </patternFill>
      </fill>
    </dxf>
    <dxf>
      <fill>
        <patternFill patternType="solid">
          <fgColor rgb="FFF9E069"/>
          <bgColor rgb="FF000000"/>
        </patternFill>
      </fill>
    </dxf>
    <dxf>
      <fill>
        <patternFill patternType="solid">
          <fgColor rgb="FFFA7291"/>
          <bgColor rgb="FF000000"/>
        </patternFill>
      </fill>
    </dxf>
    <dxf>
      <fill>
        <patternFill patternType="solid">
          <fgColor rgb="FFFD7C18"/>
          <bgColor rgb="FF000000"/>
        </patternFill>
      </fill>
    </dxf>
    <dxf>
      <fill>
        <patternFill patternType="solid">
          <fgColor rgb="FFFDD528"/>
          <bgColor rgb="FF000000"/>
        </patternFill>
      </fill>
    </dxf>
    <dxf>
      <fill>
        <patternFill patternType="solid">
          <fgColor rgb="FFFEC600"/>
          <bgColor rgb="FF000000"/>
        </patternFill>
      </fill>
    </dxf>
    <dxf>
      <fill>
        <patternFill patternType="solid">
          <fgColor rgb="FFFEE7BF"/>
          <bgColor rgb="FF000000"/>
        </patternFill>
      </fill>
    </dxf>
    <dxf>
      <fill>
        <patternFill patternType="solid">
          <fgColor rgb="FFFF0000"/>
          <bgColor rgb="FF000000"/>
        </patternFill>
      </fill>
    </dxf>
    <dxf>
      <fill>
        <patternFill patternType="solid">
          <fgColor rgb="FFFF8800"/>
          <bgColor rgb="FF000000"/>
        </patternFill>
      </fill>
    </dxf>
    <dxf>
      <fill>
        <patternFill patternType="solid">
          <fgColor rgb="FFFFA500"/>
          <bgColor rgb="FF000000"/>
        </patternFill>
      </fill>
    </dxf>
    <dxf>
      <fill>
        <patternFill patternType="solid">
          <fgColor rgb="FFFFA7F5"/>
          <bgColor rgb="FF000000"/>
        </patternFill>
      </fill>
    </dxf>
    <dxf>
      <fill>
        <patternFill patternType="solid">
          <fgColor rgb="FFFFC2F4"/>
          <bgColor rgb="FF000000"/>
        </patternFill>
      </fill>
    </dxf>
    <dxf>
      <fill>
        <patternFill patternType="solid">
          <fgColor rgb="FFE0E0E0"/>
          <bgColor rgb="FF000000"/>
        </patternFill>
      </fill>
    </dxf>
    <dxf>
      <fill>
        <patternFill patternType="solid">
          <fgColor rgb="FFE0E0E4"/>
          <bgColor rgb="FF000000"/>
        </patternFill>
      </fill>
    </dxf>
    <dxf>
      <fill>
        <patternFill patternType="solid">
          <fgColor rgb="FFE0E0FF"/>
          <bgColor rgb="FF000000"/>
        </patternFill>
      </fill>
    </dxf>
    <dxf>
      <fill>
        <patternFill patternType="solid">
          <fgColor rgb="FFE0E1E2"/>
          <bgColor rgb="FF000000"/>
        </patternFill>
      </fill>
    </dxf>
    <dxf>
      <fill>
        <patternFill patternType="solid">
          <fgColor rgb="FFE0EEE0"/>
          <bgColor rgb="FF000000"/>
        </patternFill>
      </fill>
    </dxf>
    <dxf>
      <fill>
        <patternFill patternType="solid">
          <fgColor rgb="FFE0F8E6"/>
          <bgColor rgb="FF000000"/>
        </patternFill>
      </fill>
    </dxf>
    <dxf>
      <fill>
        <patternFill patternType="solid">
          <fgColor rgb="FFE0F8EB"/>
          <bgColor rgb="FF000000"/>
        </patternFill>
      </fill>
    </dxf>
    <dxf>
      <fill>
        <patternFill patternType="solid">
          <fgColor rgb="FFE0FFF3"/>
          <bgColor rgb="FF000000"/>
        </patternFill>
      </fill>
    </dxf>
    <dxf>
      <fill>
        <patternFill patternType="solid">
          <fgColor rgb="FFE1E1E1"/>
          <bgColor rgb="FF000000"/>
        </patternFill>
      </fill>
    </dxf>
    <dxf>
      <fill>
        <patternFill patternType="solid">
          <fgColor rgb="FFE1E4F0"/>
          <bgColor rgb="FF000000"/>
        </patternFill>
      </fill>
    </dxf>
    <dxf>
      <fill>
        <patternFill patternType="solid">
          <fgColor rgb="FFE1FBE5"/>
          <bgColor rgb="FF000000"/>
        </patternFill>
      </fill>
    </dxf>
    <dxf>
      <fill>
        <patternFill patternType="solid">
          <fgColor rgb="FFE2E3E4"/>
          <bgColor rgb="FF000000"/>
        </patternFill>
      </fill>
    </dxf>
    <dxf>
      <fill>
        <patternFill patternType="solid">
          <fgColor rgb="FFE2E7ED"/>
          <bgColor rgb="FF000000"/>
        </patternFill>
      </fill>
    </dxf>
    <dxf>
      <fill>
        <patternFill patternType="solid">
          <fgColor rgb="FFE3E1EA"/>
          <bgColor rgb="FF000000"/>
        </patternFill>
      </fill>
    </dxf>
    <dxf>
      <fill>
        <patternFill patternType="solid">
          <fgColor rgb="FFE3E9F6"/>
          <bgColor rgb="FF000000"/>
        </patternFill>
      </fill>
    </dxf>
    <dxf>
      <fill>
        <patternFill patternType="solid">
          <fgColor rgb="FFE3F6F0"/>
          <bgColor rgb="FF000000"/>
        </patternFill>
      </fill>
    </dxf>
    <dxf>
      <fill>
        <patternFill patternType="solid">
          <fgColor rgb="FFE4E8F5"/>
          <bgColor rgb="FF000000"/>
        </patternFill>
      </fill>
    </dxf>
    <dxf>
      <fill>
        <patternFill patternType="solid">
          <fgColor rgb="FFE5E6EC"/>
          <bgColor rgb="FF000000"/>
        </patternFill>
      </fill>
    </dxf>
    <dxf>
      <fill>
        <patternFill patternType="solid">
          <fgColor rgb="FFE5F5F9"/>
          <bgColor rgb="FF000000"/>
        </patternFill>
      </fill>
    </dxf>
    <dxf>
      <fill>
        <patternFill patternType="solid">
          <fgColor rgb="FFE6F6F5"/>
          <bgColor rgb="FF000000"/>
        </patternFill>
      </fill>
    </dxf>
    <dxf>
      <fill>
        <patternFill patternType="solid">
          <fgColor rgb="FFE8E7EA"/>
          <bgColor rgb="FF000000"/>
        </patternFill>
      </fill>
    </dxf>
    <dxf>
      <fill>
        <patternFill patternType="solid">
          <fgColor rgb="FFEBE7F3"/>
          <bgColor rgb="FF000000"/>
        </patternFill>
      </fill>
    </dxf>
    <dxf>
      <fill>
        <patternFill patternType="solid">
          <fgColor rgb="FFEBE8E7"/>
          <bgColor rgb="FF000000"/>
        </patternFill>
      </fill>
    </dxf>
    <dxf>
      <fill>
        <patternFill patternType="solid">
          <fgColor rgb="FFEBEBEB"/>
          <bgColor rgb="FF000000"/>
        </patternFill>
      </fill>
    </dxf>
    <dxf>
      <fill>
        <patternFill patternType="solid">
          <fgColor rgb="FFECECEC"/>
          <bgColor rgb="FF000000"/>
        </patternFill>
      </fill>
    </dxf>
    <dxf>
      <fill>
        <patternFill patternType="solid">
          <fgColor rgb="FFECECED"/>
          <bgColor rgb="FF000000"/>
        </patternFill>
      </fill>
    </dxf>
    <dxf>
      <fill>
        <patternFill patternType="solid">
          <fgColor rgb="FFECF5FF"/>
          <bgColor rgb="FF000000"/>
        </patternFill>
      </fill>
    </dxf>
    <dxf>
      <fill>
        <patternFill patternType="solid">
          <fgColor rgb="FFEDE3E4"/>
          <bgColor rgb="FF000000"/>
        </patternFill>
      </fill>
    </dxf>
    <dxf>
      <fill>
        <patternFill patternType="solid">
          <fgColor rgb="FFEDEDED"/>
          <bgColor rgb="FF000000"/>
        </patternFill>
      </fill>
    </dxf>
    <dxf>
      <fill>
        <patternFill patternType="solid">
          <fgColor rgb="FFEEEBE9"/>
          <bgColor rgb="FF000000"/>
        </patternFill>
      </fill>
    </dxf>
    <dxf>
      <fill>
        <patternFill patternType="solid">
          <fgColor rgb="FFF0F0F1"/>
          <bgColor rgb="FF000000"/>
        </patternFill>
      </fill>
    </dxf>
    <dxf>
      <fill>
        <patternFill patternType="solid">
          <fgColor rgb="FFF1F2F3"/>
          <bgColor rgb="FF000000"/>
        </patternFill>
      </fill>
    </dxf>
    <dxf>
      <fill>
        <patternFill patternType="solid">
          <fgColor rgb="FFF2E0E0"/>
          <bgColor rgb="FF000000"/>
        </patternFill>
      </fill>
    </dxf>
    <dxf>
      <fill>
        <patternFill patternType="solid">
          <fgColor rgb="FFF2F2F2"/>
          <bgColor rgb="FF000000"/>
        </patternFill>
      </fill>
    </dxf>
    <dxf>
      <fill>
        <patternFill patternType="solid">
          <fgColor rgb="FFF2F2F3"/>
          <bgColor rgb="FF000000"/>
        </patternFill>
      </fill>
    </dxf>
    <dxf>
      <fill>
        <patternFill patternType="solid">
          <fgColor rgb="FFF2F9EB"/>
          <bgColor rgb="FF000000"/>
        </patternFill>
      </fill>
    </dxf>
    <dxf>
      <fill>
        <patternFill patternType="solid">
          <fgColor rgb="FFF2FFF2"/>
          <bgColor rgb="FF000000"/>
        </patternFill>
      </fill>
    </dxf>
    <dxf>
      <fill>
        <patternFill patternType="solid">
          <fgColor rgb="FFF3EDE9"/>
          <bgColor rgb="FF000000"/>
        </patternFill>
      </fill>
    </dxf>
    <dxf>
      <fill>
        <patternFill patternType="solid">
          <fgColor rgb="FFF5EFEA"/>
          <bgColor rgb="FF000000"/>
        </patternFill>
      </fill>
    </dxf>
    <dxf>
      <fill>
        <patternFill patternType="solid">
          <fgColor rgb="FFF5F1FD"/>
          <bgColor rgb="FF000000"/>
        </patternFill>
      </fill>
    </dxf>
    <dxf>
      <fill>
        <patternFill patternType="solid">
          <fgColor rgb="FFF5F2ED"/>
          <bgColor rgb="FF000000"/>
        </patternFill>
      </fill>
    </dxf>
    <dxf>
      <fill>
        <patternFill patternType="solid">
          <fgColor rgb="FFF5F5F5"/>
          <bgColor rgb="FF000000"/>
        </patternFill>
      </fill>
    </dxf>
    <dxf>
      <fill>
        <patternFill patternType="solid">
          <fgColor rgb="FFF6F0EB"/>
          <bgColor rgb="FF000000"/>
        </patternFill>
      </fill>
    </dxf>
    <dxf>
      <fill>
        <patternFill patternType="solid">
          <fgColor rgb="FFF6FDFE"/>
          <bgColor rgb="FF000000"/>
        </patternFill>
      </fill>
    </dxf>
    <dxf>
      <fill>
        <patternFill patternType="solid">
          <fgColor rgb="FFF7EAE8"/>
          <bgColor rgb="FF000000"/>
        </patternFill>
      </fill>
    </dxf>
    <dxf>
      <fill>
        <patternFill patternType="solid">
          <fgColor rgb="FFF7F5F2"/>
          <bgColor rgb="FF000000"/>
        </patternFill>
      </fill>
    </dxf>
    <dxf>
      <fill>
        <patternFill patternType="solid">
          <fgColor rgb="FFF7F6F7"/>
          <bgColor rgb="FF000000"/>
        </patternFill>
      </fill>
    </dxf>
    <dxf>
      <fill>
        <patternFill patternType="solid">
          <fgColor rgb="FFF9E6E7"/>
          <bgColor rgb="FF000000"/>
        </patternFill>
      </fill>
    </dxf>
    <dxf>
      <fill>
        <patternFill patternType="solid">
          <fgColor rgb="FFF9FBFC"/>
          <bgColor rgb="FF000000"/>
        </patternFill>
      </fill>
    </dxf>
    <dxf>
      <fill>
        <patternFill patternType="solid">
          <fgColor rgb="FFFAE2E2"/>
          <bgColor rgb="FF000000"/>
        </patternFill>
      </fill>
    </dxf>
    <dxf>
      <fill>
        <patternFill patternType="solid">
          <fgColor rgb="FFFBF9F7"/>
          <bgColor rgb="FF000000"/>
        </patternFill>
      </fill>
    </dxf>
    <dxf>
      <fill>
        <patternFill patternType="solid">
          <fgColor rgb="FFFBFCFD"/>
          <bgColor rgb="FF000000"/>
        </patternFill>
      </fill>
    </dxf>
    <dxf>
      <fill>
        <patternFill patternType="solid">
          <fgColor rgb="FFFCE2E2"/>
          <bgColor rgb="FF000000"/>
        </patternFill>
      </fill>
    </dxf>
    <dxf>
      <fill>
        <patternFill patternType="solid">
          <fgColor rgb="FFFCFCFC"/>
          <bgColor rgb="FF000000"/>
        </patternFill>
      </fill>
    </dxf>
    <dxf>
      <fill>
        <patternFill patternType="solid">
          <fgColor rgb="FFFDFAE0"/>
          <bgColor rgb="FF000000"/>
        </patternFill>
      </fill>
    </dxf>
    <dxf>
      <fill>
        <patternFill patternType="solid">
          <fgColor rgb="FFFDFAF7"/>
          <bgColor rgb="FF000000"/>
        </patternFill>
      </fill>
    </dxf>
    <dxf>
      <fill>
        <patternFill patternType="solid">
          <fgColor rgb="FFFDFBF6"/>
          <bgColor rgb="FF000000"/>
        </patternFill>
      </fill>
    </dxf>
    <dxf>
      <fill>
        <patternFill patternType="solid">
          <fgColor rgb="FFFDFCE0"/>
          <bgColor rgb="FF000000"/>
        </patternFill>
      </fill>
    </dxf>
    <dxf>
      <fill>
        <patternFill patternType="solid">
          <fgColor rgb="FFFEEEF1"/>
          <bgColor rgb="FF000000"/>
        </patternFill>
      </fill>
    </dxf>
    <dxf>
      <fill>
        <patternFill patternType="solid">
          <fgColor rgb="FFFEEFE3"/>
          <bgColor rgb="FF000000"/>
        </patternFill>
      </fill>
    </dxf>
    <dxf>
      <fill>
        <patternFill patternType="solid">
          <fgColor rgb="FFFEF5F7"/>
          <bgColor rgb="FF000000"/>
        </patternFill>
      </fill>
    </dxf>
    <dxf>
      <fill>
        <patternFill patternType="solid">
          <fgColor rgb="FFFEF8E0"/>
          <bgColor rgb="FF000000"/>
        </patternFill>
      </fill>
    </dxf>
    <dxf>
      <fill>
        <patternFill patternType="solid">
          <fgColor rgb="FFFEF9E5"/>
          <bgColor rgb="FF000000"/>
        </patternFill>
      </fill>
    </dxf>
    <dxf>
      <fill>
        <patternFill patternType="solid">
          <fgColor rgb="FFFEFBED"/>
          <bgColor rgb="FF000000"/>
        </patternFill>
      </fill>
    </dxf>
    <dxf>
      <fill>
        <patternFill patternType="solid">
          <fgColor rgb="FFFEFCF7"/>
          <bgColor rgb="FF000000"/>
        </patternFill>
      </fill>
    </dxf>
    <dxf>
      <fill>
        <patternFill patternType="solid">
          <fgColor rgb="FFFEFEFE"/>
          <bgColor rgb="FF000000"/>
        </patternFill>
      </fill>
    </dxf>
    <dxf>
      <fill>
        <patternFill patternType="solid">
          <fgColor rgb="FFFFE0E0"/>
          <bgColor rgb="FF000000"/>
        </patternFill>
      </fill>
    </dxf>
    <dxf>
      <fill>
        <patternFill patternType="solid">
          <fgColor rgb="FFFFF0E0"/>
          <bgColor rgb="FF000000"/>
        </patternFill>
      </fill>
    </dxf>
    <dxf>
      <fill>
        <patternFill patternType="solid">
          <fgColor rgb="FFFFF4E0"/>
          <bgColor rgb="FF000000"/>
        </patternFill>
      </fill>
    </dxf>
    <dxf>
      <fill>
        <patternFill patternType="solid">
          <fgColor rgb="FFFFF4FD"/>
          <bgColor rgb="FF000000"/>
        </patternFill>
      </fill>
    </dxf>
    <dxf>
      <fill>
        <patternFill patternType="solid">
          <fgColor rgb="FFFFF7FD"/>
          <bgColor rgb="FF000000"/>
        </patternFill>
      </fill>
    </dxf>
    <dxf>
      <fill>
        <patternFill patternType="solid">
          <fgColor rgb="FF444444"/>
          <bgColor rgb="FF000000"/>
        </patternFill>
      </fill>
    </dxf>
    <dxf>
      <fill>
        <patternFill patternType="solid">
          <fgColor rgb="FFFFEB9C"/>
          <bgColor rgb="FF000000"/>
        </patternFill>
      </fill>
    </dxf>
    <dxf>
      <fill>
        <patternFill patternType="solid">
          <fgColor rgb="FF9C5700"/>
          <bgColor rgb="FF000000"/>
        </patternFill>
      </fill>
    </dxf>
    <dxf>
      <fill>
        <patternFill patternType="solid">
          <fgColor rgb="FFFFC7CE"/>
          <bgColor rgb="FF000000"/>
        </patternFill>
      </fill>
    </dxf>
    <dxf>
      <fill>
        <patternFill patternType="solid">
          <fgColor rgb="FF9C0006"/>
          <bgColor rgb="FF000000"/>
        </patternFill>
      </fill>
    </dxf>
    <dxf>
      <fill>
        <patternFill patternType="solid">
          <fgColor rgb="FF92D050"/>
          <bgColor rgb="FF000000"/>
        </patternFill>
      </fill>
    </dxf>
    <dxf>
      <fill>
        <patternFill patternType="solid">
          <fgColor rgb="FFBDD7EE"/>
          <bgColor rgb="FF000000"/>
        </patternFill>
      </fill>
    </dxf>
    <dxf>
      <fill>
        <patternFill patternType="solid">
          <fgColor rgb="FFF4B8B8"/>
          <bgColor rgb="FF000000"/>
        </patternFill>
      </fill>
    </dxf>
    <dxf>
      <fill>
        <patternFill patternType="solid">
          <fgColor rgb="FF276221"/>
          <bgColor rgb="FF000000"/>
        </patternFill>
      </fill>
    </dxf>
    <dxf>
      <fill>
        <patternFill patternType="solid">
          <fgColor rgb="FFFFCC66"/>
          <bgColor rgb="FF000000"/>
        </patternFill>
      </fill>
    </dxf>
    <dxf>
      <fill>
        <patternFill patternType="solid">
          <fgColor rgb="FF7F4F00"/>
          <bgColor rgb="FF000000"/>
        </patternFill>
      </fill>
    </dxf>
    <dxf>
      <font>
        <name val="Arial"/>
        <charset val="1"/>
        <family val="0"/>
        <color rgb="FF7F6000"/>
      </font>
      <fill>
        <patternFill>
          <bgColor rgb="FFFFD700"/>
        </patternFill>
      </fill>
    </dxf>
    <dxf>
      <font>
        <name val="Arial"/>
        <charset val="1"/>
        <family val="0"/>
        <color rgb="FF276221"/>
      </font>
      <fill>
        <patternFill>
          <bgColor rgb="FF92D050"/>
        </patternFill>
      </fill>
    </dxf>
    <dxf>
      <font>
        <name val="Arial"/>
        <charset val="1"/>
        <family val="0"/>
        <color rgb="FF1F3864"/>
      </font>
      <fill>
        <patternFill>
          <bgColor rgb="FFBDD7EE"/>
        </patternFill>
      </fill>
    </dxf>
    <dxf>
      <font>
        <name val="Arial"/>
        <charset val="1"/>
        <family val="0"/>
        <color rgb="FF9C0006"/>
      </font>
      <fill>
        <patternFill>
          <bgColor rgb="FFF4B8B8"/>
        </patternFill>
      </fill>
    </dxf>
    <dxf>
      <font>
        <name val="Arial"/>
        <charset val="1"/>
        <family val="0"/>
        <color rgb="FF276221"/>
      </font>
      <fill>
        <patternFill>
          <bgColor rgb="FFC6EFCE"/>
        </patternFill>
      </fill>
    </dxf>
    <dxf>
      <font>
        <name val="Arial"/>
        <charset val="1"/>
        <family val="0"/>
        <color rgb="FF9C0006"/>
      </font>
      <fill>
        <patternFill>
          <bgColor rgb="FFFFC7CE"/>
        </patternFill>
      </fill>
    </dxf>
    <dxf>
      <font>
        <name val="Arial"/>
        <charset val="1"/>
        <family val="0"/>
        <color rgb="FF9C5700"/>
      </font>
      <fill>
        <patternFill>
          <bgColor rgb="FFFFEB9C"/>
        </patternFill>
      </fill>
    </dxf>
    <dxf>
      <font>
        <name val="Arial"/>
        <charset val="1"/>
        <family val="0"/>
        <color rgb="FF7F4F00"/>
      </font>
      <fill>
        <patternFill>
          <bgColor rgb="FFFFCC66"/>
        </patternFill>
      </fill>
    </dxf>
  </dxfs>
  <colors>
    <indexedColors>
      <rgbColor rgb="FF000000"/>
      <rgbColor rgb="FFFFFFFF"/>
      <rgbColor rgb="FFFF0000"/>
      <rgbColor rgb="FF00F049"/>
      <rgbColor rgb="FF0000FF"/>
      <rgbColor rgb="FFF6E700"/>
      <rgbColor rgb="FFFEEFEE"/>
      <rgbColor rgb="FFE3E8FB"/>
      <rgbColor rgb="FF910403"/>
      <rgbColor rgb="FF12670F"/>
      <rgbColor rgb="FF030413"/>
      <rgbColor rgb="FFE8E7F1"/>
      <rgbColor rgb="FFF7F7F8"/>
      <rgbColor rgb="FFEEF3FC"/>
      <rgbColor rgb="FFBDB2B2"/>
      <rgbColor rgb="FFAF805C"/>
      <rgbColor rgb="FFA096D2"/>
      <rgbColor rgb="FFDF1D18"/>
      <rgbColor rgb="FFFDFCE0"/>
      <rgbColor rgb="FFE1FDEF"/>
      <rgbColor rgb="FFFFF6FD"/>
      <rgbColor rgb="FFF0DFDB"/>
      <rgbColor rgb="FFF4F2F8"/>
      <rgbColor rgb="FFBDD7EE"/>
      <rgbColor rgb="FFFEFCF7"/>
      <rgbColor rgb="FFFFF2CC"/>
      <rgbColor rgb="FFFEDB68"/>
      <rgbColor rgb="FFECECE9"/>
      <rgbColor rgb="FFF6F8F1"/>
      <rgbColor rgb="FFFEFAE9"/>
      <rgbColor rgb="FFF6F1EC"/>
      <rgbColor rgb="FFFCFCFD"/>
      <rgbColor rgb="FFEDEDED"/>
      <rgbColor rgb="FFE5F6F7"/>
      <rgbColor rgb="FFC1F6DE"/>
      <rgbColor rgb="FFFFEB9C"/>
      <rgbColor rgb="FFB8CCE4"/>
      <rgbColor rgb="FFF7B6B9"/>
      <rgbColor rgb="FFFFB9F5"/>
      <rgbColor rgb="FFFFC7CE"/>
      <rgbColor rgb="FFFEE2E2"/>
      <rgbColor rgb="FF29B5E0"/>
      <rgbColor rgb="FF93D154"/>
      <rgbColor rgb="FFFFD502"/>
      <rgbColor rgb="FFFF8708"/>
      <rgbColor rgb="FFFCE5BC"/>
      <rgbColor rgb="FF645460"/>
      <rgbColor rgb="FF8A8D92"/>
      <rgbColor rgb="FF163368"/>
      <rgbColor rgb="FFE1E2E6"/>
      <rgbColor rgb="FFF5FFFC"/>
      <rgbColor rgb="FFFFF3E0"/>
      <rgbColor rgb="FF925900"/>
      <rgbColor rgb="FFF9E9E8"/>
      <rgbColor rgb="FF1F4CA6"/>
      <rgbColor rgb="FF3C433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H4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6"/>
    <col collapsed="false" customWidth="true" hidden="false" outlineLevel="0" max="8" min="3" style="0" width="10"/>
  </cols>
  <sheetData>
    <row r="1" customFormat="false" ht="36" hidden="false" customHeight="true" outlineLevel="0" collapsed="false">
      <c r="A1" s="1" t="s">
        <v>0</v>
      </c>
      <c r="B1" s="1"/>
      <c r="C1" s="1"/>
      <c r="D1" s="1"/>
      <c r="E1" s="1"/>
      <c r="F1" s="1"/>
      <c r="G1" s="1"/>
      <c r="H1" s="1"/>
    </row>
    <row r="3" customFormat="false" ht="18" hidden="false" customHeight="true" outlineLevel="0" collapsed="false">
      <c r="A3" s="2" t="s">
        <v>1</v>
      </c>
      <c r="B3" s="2"/>
      <c r="C3" s="2"/>
      <c r="D3" s="2"/>
      <c r="E3" s="2"/>
      <c r="F3" s="2"/>
      <c r="G3" s="2"/>
      <c r="H3" s="2"/>
    </row>
    <row r="4" customFormat="false" ht="18" hidden="false" customHeight="true" outlineLevel="0" collapsed="false">
      <c r="A4" s="3" t="s">
        <v>2</v>
      </c>
      <c r="B4" s="4" t="n">
        <f aca="false">COUNTA(Catalog!C3:C1000)-COUNTIF(Catalog!T3:T1000,"~[DISCONTINUED~]*")</f>
        <v>211</v>
      </c>
    </row>
    <row r="5" customFormat="false" ht="18" hidden="false" customHeight="true" outlineLevel="0" collapsed="false">
      <c r="A5" s="3" t="s">
        <v>3</v>
      </c>
      <c r="B5" s="5" t="n">
        <f aca="false">COUNTIF(Catalog!R3:R1000,"S")</f>
        <v>0</v>
      </c>
    </row>
    <row r="6" customFormat="false" ht="18" hidden="false" customHeight="true" outlineLevel="0" collapsed="false">
      <c r="A6" s="3" t="s">
        <v>4</v>
      </c>
      <c r="B6" s="6" t="n">
        <f aca="false">COUNTIF(Catalog!R3:R1000,"A")</f>
        <v>62</v>
      </c>
    </row>
    <row r="7" customFormat="false" ht="18" hidden="false" customHeight="true" outlineLevel="0" collapsed="false">
      <c r="A7" s="3" t="s">
        <v>5</v>
      </c>
      <c r="B7" s="7" t="n">
        <f aca="false">COUNTIF(Catalog!R3:R1000,"B")</f>
        <v>38</v>
      </c>
    </row>
    <row r="8" customFormat="false" ht="18" hidden="false" customHeight="true" outlineLevel="0" collapsed="false">
      <c r="A8" s="3" t="s">
        <v>6</v>
      </c>
      <c r="B8" s="8" t="n">
        <f aca="false">COUNTIF(Catalog!R3:R1000,"C")</f>
        <v>111</v>
      </c>
    </row>
    <row r="9" customFormat="false" ht="18" hidden="false" customHeight="true" outlineLevel="0" collapsed="false">
      <c r="A9" s="3" t="s">
        <v>7</v>
      </c>
      <c r="B9" s="9" t="n">
        <f aca="false">COUNTIF(Catalog!J3:J1000,"Yes")</f>
        <v>211</v>
      </c>
    </row>
    <row r="11" customFormat="false" ht="18" hidden="false" customHeight="true" outlineLevel="0" collapsed="false">
      <c r="A11" s="2" t="s">
        <v>8</v>
      </c>
      <c r="B11" s="2"/>
      <c r="C11" s="2"/>
      <c r="D11" s="2"/>
      <c r="E11" s="2"/>
      <c r="F11" s="2"/>
      <c r="G11" s="2"/>
      <c r="H11" s="2"/>
    </row>
    <row r="12" customFormat="false" ht="18" hidden="false" customHeight="true" outlineLevel="0" collapsed="false">
      <c r="A12" s="10" t="s">
        <v>9</v>
      </c>
      <c r="B12" s="11" t="s">
        <v>10</v>
      </c>
      <c r="C12" s="11"/>
      <c r="D12" s="11"/>
      <c r="E12" s="11"/>
      <c r="F12" s="11"/>
      <c r="G12" s="11"/>
      <c r="H12" s="11"/>
    </row>
    <row r="13" customFormat="false" ht="18" hidden="false" customHeight="true" outlineLevel="0" collapsed="false">
      <c r="A13" s="12" t="s">
        <v>11</v>
      </c>
      <c r="B13" s="11" t="s">
        <v>12</v>
      </c>
      <c r="C13" s="11"/>
      <c r="D13" s="11"/>
      <c r="E13" s="11"/>
      <c r="F13" s="11"/>
      <c r="G13" s="11"/>
      <c r="H13" s="11"/>
    </row>
    <row r="14" customFormat="false" ht="18" hidden="false" customHeight="true" outlineLevel="0" collapsed="false">
      <c r="A14" s="13" t="s">
        <v>13</v>
      </c>
      <c r="B14" s="11" t="s">
        <v>14</v>
      </c>
      <c r="C14" s="11"/>
      <c r="D14" s="11"/>
      <c r="E14" s="11"/>
      <c r="F14" s="11"/>
      <c r="G14" s="11"/>
      <c r="H14" s="11"/>
    </row>
    <row r="15" customFormat="false" ht="18" hidden="false" customHeight="true" outlineLevel="0" collapsed="false">
      <c r="A15" s="14" t="s">
        <v>15</v>
      </c>
      <c r="B15" s="11" t="s">
        <v>16</v>
      </c>
      <c r="C15" s="11"/>
      <c r="D15" s="11"/>
      <c r="E15" s="11"/>
      <c r="F15" s="11"/>
      <c r="G15" s="11"/>
      <c r="H15" s="11"/>
    </row>
    <row r="17" customFormat="false" ht="18" hidden="false" customHeight="true" outlineLevel="0" collapsed="false">
      <c r="A17" s="2" t="s">
        <v>17</v>
      </c>
      <c r="B17" s="2"/>
      <c r="C17" s="2"/>
      <c r="D17" s="2"/>
      <c r="E17" s="2"/>
      <c r="F17" s="2"/>
      <c r="G17" s="2"/>
      <c r="H17" s="2"/>
    </row>
    <row r="18" customFormat="false" ht="15" hidden="false" customHeight="true" outlineLevel="0" collapsed="false">
      <c r="A18" s="15" t="s">
        <v>18</v>
      </c>
      <c r="B18" s="15"/>
      <c r="C18" s="15"/>
      <c r="D18" s="15"/>
      <c r="E18" s="15"/>
      <c r="F18" s="15"/>
      <c r="G18" s="15"/>
      <c r="H18" s="15"/>
    </row>
    <row r="19" customFormat="false" ht="18" hidden="false" customHeight="true" outlineLevel="0" collapsed="false">
      <c r="A19" s="3" t="s">
        <v>19</v>
      </c>
      <c r="B19" s="16" t="str">
        <f aca="false">Config!$B$5</f>
        <v>2026-10-07</v>
      </c>
    </row>
    <row r="21" customFormat="false" ht="18" hidden="false" customHeight="true" outlineLevel="0" collapsed="false">
      <c r="A21" s="2" t="s">
        <v>20</v>
      </c>
      <c r="B21" s="2"/>
      <c r="C21" s="2"/>
      <c r="D21" s="2"/>
      <c r="E21" s="2"/>
      <c r="F21" s="2"/>
      <c r="G21" s="2"/>
      <c r="H21" s="2"/>
    </row>
    <row r="22" customFormat="false" ht="19.5" hidden="false" customHeight="true" outlineLevel="0" collapsed="false">
      <c r="A22" s="17" t="str">
        <f aca="false">IF(COUNTIF(Catalog!J3:J1000,"Yes")&gt;0,"⚠  One or more filaments require the AMS Adapter Ring — see Catalog column J","✓  No filaments in this catalog require the AMS Adapter Ring")</f>
        <v>⚠  One or more filaments require the AMS Adapter Ring — see Catalog column J</v>
      </c>
      <c r="B22" s="17"/>
      <c r="C22" s="17"/>
      <c r="D22" s="17"/>
      <c r="E22" s="17"/>
      <c r="F22" s="17"/>
      <c r="G22" s="17"/>
      <c r="H22" s="17"/>
    </row>
    <row r="24" customFormat="false" ht="18" hidden="false" customHeight="true" outlineLevel="0" collapsed="false">
      <c r="A24" s="2" t="s">
        <v>21</v>
      </c>
      <c r="B24" s="2"/>
      <c r="C24" s="2"/>
      <c r="D24" s="2"/>
      <c r="E24" s="2"/>
      <c r="F24" s="2"/>
      <c r="G24" s="2"/>
      <c r="H24" s="2"/>
    </row>
    <row r="25" customFormat="false" ht="21.75" hidden="false" customHeight="true" outlineLevel="0" collapsed="false">
      <c r="A25" s="18" t="s">
        <v>22</v>
      </c>
      <c r="B25" s="18" t="s">
        <v>23</v>
      </c>
    </row>
    <row r="26" customFormat="false" ht="18" hidden="false" customHeight="true" outlineLevel="0" collapsed="false">
      <c r="A26" s="19" t="s">
        <v>24</v>
      </c>
      <c r="B26" s="20" t="n">
        <f aca="false">COUNTIF(Catalog!A3:A700,"ASA")</f>
        <v>6</v>
      </c>
    </row>
    <row r="27" customFormat="false" ht="18" hidden="false" customHeight="true" outlineLevel="0" collapsed="false">
      <c r="A27" s="19" t="s">
        <v>25</v>
      </c>
      <c r="B27" s="20" t="n">
        <f aca="false">COUNTIF(Catalog!A3:A700,"ASA-CF")</f>
        <v>6</v>
      </c>
    </row>
    <row r="28" customFormat="false" ht="18" hidden="false" customHeight="true" outlineLevel="0" collapsed="false">
      <c r="A28" s="19" t="s">
        <v>26</v>
      </c>
      <c r="B28" s="20" t="n">
        <f aca="false">COUNTIF(Catalog!A3:A700,"PETG (Rapid)")</f>
        <v>12</v>
      </c>
    </row>
    <row r="29" customFormat="false" ht="18" hidden="false" customHeight="true" outlineLevel="0" collapsed="false">
      <c r="A29" s="19" t="s">
        <v>27</v>
      </c>
      <c r="B29" s="20" t="n">
        <f aca="false">COUNTIF(Catalog!A3:A700,"PETG Pro")</f>
        <v>7</v>
      </c>
    </row>
    <row r="30" customFormat="false" ht="18" hidden="false" customHeight="true" outlineLevel="0" collapsed="false">
      <c r="A30" s="19" t="s">
        <v>28</v>
      </c>
      <c r="B30" s="20" t="n">
        <f aca="false">COUNTIF(Catalog!A3:A700,"PLA")</f>
        <v>18</v>
      </c>
    </row>
    <row r="31" customFormat="false" ht="18" hidden="false" customHeight="true" outlineLevel="0" collapsed="false">
      <c r="A31" s="19" t="s">
        <v>29</v>
      </c>
      <c r="B31" s="20" t="n">
        <f aca="false">COUNTIF(Catalog!A3:A700,"PLA (RFID) emoji Brand Edition")</f>
        <v>17</v>
      </c>
    </row>
    <row r="32" customFormat="false" ht="18" hidden="false" customHeight="true" outlineLevel="0" collapsed="false">
      <c r="A32" s="19" t="s">
        <v>30</v>
      </c>
      <c r="B32" s="20" t="n">
        <f aca="false">COUNTIF(Catalog!A3:A700,"PLA Basic")</f>
        <v>19</v>
      </c>
    </row>
    <row r="33" customFormat="false" ht="18" hidden="false" customHeight="true" outlineLevel="0" collapsed="false">
      <c r="A33" s="19" t="s">
        <v>31</v>
      </c>
      <c r="B33" s="20" t="n">
        <f aca="false">COUNTIF(Catalog!A3:A700,"PLA CMYK")</f>
        <v>4</v>
      </c>
    </row>
    <row r="34" customFormat="false" ht="18" hidden="false" customHeight="true" outlineLevel="0" collapsed="false">
      <c r="A34" s="19" t="s">
        <v>32</v>
      </c>
      <c r="B34" s="20" t="n">
        <f aca="false">COUNTIF(Catalog!A3:A700,"PLA Galaxy")</f>
        <v>3</v>
      </c>
    </row>
    <row r="35" customFormat="false" ht="18" hidden="false" customHeight="true" outlineLevel="0" collapsed="false">
      <c r="A35" s="19" t="s">
        <v>33</v>
      </c>
      <c r="B35" s="20" t="n">
        <f aca="false">COUNTIF(Catalog!A3:A700,"PLA Glow")</f>
        <v>5</v>
      </c>
    </row>
    <row r="36" customFormat="false" ht="18" hidden="false" customHeight="true" outlineLevel="0" collapsed="false">
      <c r="A36" s="19" t="s">
        <v>34</v>
      </c>
      <c r="B36" s="20" t="n">
        <f aca="false">COUNTIF(Catalog!A3:A700,"PLA Marble")</f>
        <v>3</v>
      </c>
    </row>
    <row r="37" customFormat="false" ht="18" hidden="false" customHeight="true" outlineLevel="0" collapsed="false">
      <c r="A37" s="19" t="s">
        <v>35</v>
      </c>
      <c r="B37" s="20" t="n">
        <f aca="false">COUNTIF(Catalog!A3:A700,"PLA Matte")</f>
        <v>9</v>
      </c>
    </row>
    <row r="38" customFormat="false" ht="18" hidden="false" customHeight="true" outlineLevel="0" collapsed="false">
      <c r="A38" s="19" t="s">
        <v>36</v>
      </c>
      <c r="B38" s="20" t="n">
        <f aca="false">COUNTIF(Catalog!A3:A700,"PLA Metallic")</f>
        <v>4</v>
      </c>
    </row>
    <row r="39" customFormat="false" ht="18" hidden="false" customHeight="true" outlineLevel="0" collapsed="false">
      <c r="A39" s="19" t="s">
        <v>37</v>
      </c>
      <c r="B39" s="20" t="n">
        <f aca="false">COUNTIF(Catalog!A3:A700,"PLA Plus")</f>
        <v>17</v>
      </c>
    </row>
    <row r="40" customFormat="false" ht="18" hidden="false" customHeight="true" outlineLevel="0" collapsed="false">
      <c r="A40" s="19" t="s">
        <v>38</v>
      </c>
      <c r="B40" s="20" t="n">
        <f aca="false">COUNTIF(Catalog!A3:A700,"PLA Pro")</f>
        <v>14</v>
      </c>
    </row>
    <row r="41" customFormat="false" ht="18" hidden="false" customHeight="true" outlineLevel="0" collapsed="false">
      <c r="A41" s="19" t="s">
        <v>39</v>
      </c>
      <c r="B41" s="20" t="n">
        <f aca="false">COUNTIF(Catalog!A3:A700,"PLA Silk")</f>
        <v>16</v>
      </c>
    </row>
    <row r="42" customFormat="false" ht="18" hidden="false" customHeight="true" outlineLevel="0" collapsed="false">
      <c r="A42" s="19" t="s">
        <v>40</v>
      </c>
      <c r="B42" s="20" t="n">
        <f aca="false">COUNTIF(Catalog!A3:A700,"PLA Sparkle")</f>
        <v>7</v>
      </c>
    </row>
    <row r="43" customFormat="false" ht="18" hidden="false" customHeight="true" outlineLevel="0" collapsed="false">
      <c r="A43" s="19" t="s">
        <v>41</v>
      </c>
      <c r="B43" s="20" t="n">
        <f aca="false">COUNTIF(Catalog!A3:A700,"PLA Wood")</f>
        <v>4</v>
      </c>
    </row>
    <row r="44" customFormat="false" ht="18" hidden="false" customHeight="true" outlineLevel="0" collapsed="false">
      <c r="A44" s="19" t="s">
        <v>42</v>
      </c>
      <c r="B44" s="20" t="n">
        <f aca="false">COUNTIF(Catalog!A3:A700,"PLA-CF")</f>
        <v>7</v>
      </c>
    </row>
    <row r="45" customFormat="false" ht="18" hidden="false" customHeight="true" outlineLevel="0" collapsed="false">
      <c r="A45" s="19" t="s">
        <v>43</v>
      </c>
      <c r="B45" s="20" t="n">
        <f aca="false">COUNTIF(Catalog!A3:A700,"Rapid PLA Plus")</f>
        <v>26</v>
      </c>
    </row>
    <row r="46" customFormat="false" ht="18" hidden="false" customHeight="true" outlineLevel="0" collapsed="false">
      <c r="A46" s="19" t="s">
        <v>44</v>
      </c>
      <c r="B46" s="20" t="n">
        <f aca="false">COUNTIF(Catalog!A3:A700,"TPU 95A")</f>
        <v>7</v>
      </c>
    </row>
  </sheetData>
  <mergeCells count="12">
    <mergeCell ref="A1:H1"/>
    <mergeCell ref="A3:H3"/>
    <mergeCell ref="A11:H11"/>
    <mergeCell ref="B12:H12"/>
    <mergeCell ref="B13:H13"/>
    <mergeCell ref="B14:H14"/>
    <mergeCell ref="B15:H15"/>
    <mergeCell ref="A17:H17"/>
    <mergeCell ref="A18:H18"/>
    <mergeCell ref="A21:H21"/>
    <mergeCell ref="A22:H22"/>
    <mergeCell ref="A24:H24"/>
  </mergeCells>
  <conditionalFormatting sqref="A22:H22">
    <cfRule type="expression" priority="2" aboveAverage="0" equalAverage="0" bottom="0" percent="0" rank="0" text="" dxfId="0">
      <formula>NOT(ISERROR(SEARCH("⚠",A22)))</formula>
    </cfRule>
    <cfRule type="expression" priority="3" aboveAverage="0" equalAverage="0" bottom="0" percent="0" rank="0" text="" dxfId="1">
      <formula>NOT(ISERROR(SEARCH("✓",A22)))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T2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5"/>
    <col collapsed="false" customWidth="true" hidden="false" outlineLevel="0" max="2" min="2" style="0" width="18"/>
    <col collapsed="false" customWidth="true" hidden="false" outlineLevel="0" max="3" min="3" style="0" width="22"/>
    <col collapsed="false" customWidth="true" hidden="false" outlineLevel="0" max="4" min="4" style="0" width="18"/>
    <col collapsed="false" customWidth="true" hidden="false" outlineLevel="0" max="6" min="5" style="0" width="10"/>
    <col collapsed="false" customWidth="true" hidden="false" outlineLevel="0" max="7" min="7" style="0" width="9"/>
    <col collapsed="false" customWidth="true" hidden="false" outlineLevel="0" max="8" min="8" style="0" width="16"/>
    <col collapsed="false" customWidth="true" hidden="false" outlineLevel="0" max="9" min="9" style="0" width="12"/>
    <col collapsed="false" customWidth="true" hidden="false" outlineLevel="0" max="10" min="10" style="0" width="18"/>
    <col collapsed="false" customWidth="true" hidden="false" outlineLevel="0" max="11" min="11" style="0" width="15"/>
    <col collapsed="false" customWidth="true" hidden="false" outlineLevel="0" max="12" min="12" style="0" width="14"/>
    <col collapsed="false" customWidth="true" hidden="false" outlineLevel="0" max="13" min="13" style="0" width="16"/>
    <col collapsed="false" customWidth="true" hidden="false" outlineLevel="1" max="17" min="14" style="0" width="9"/>
    <col collapsed="false" customWidth="true" hidden="false" outlineLevel="0" max="18" min="18" style="0" width="9"/>
    <col collapsed="false" customWidth="true" hidden="false" outlineLevel="0" max="20" min="19" style="0" width="48"/>
  </cols>
  <sheetData>
    <row r="1" customFormat="false" ht="30" hidden="false" customHeight="true" outlineLevel="0" collapsed="false">
      <c r="A1" s="21" t="s">
        <v>45</v>
      </c>
      <c r="B1" s="21"/>
      <c r="C1" s="21"/>
      <c r="D1" s="21"/>
      <c r="E1" s="21"/>
      <c r="F1" s="21"/>
      <c r="G1" s="21"/>
      <c r="H1" s="21"/>
      <c r="I1" s="21"/>
      <c r="J1" s="21"/>
      <c r="K1" s="21"/>
      <c r="L1" s="21"/>
      <c r="M1" s="21"/>
      <c r="N1" s="21"/>
      <c r="O1" s="21"/>
      <c r="P1" s="21"/>
      <c r="Q1" s="21"/>
      <c r="R1" s="21"/>
      <c r="S1" s="21"/>
      <c r="T1" s="21"/>
    </row>
    <row r="2" customFormat="false" ht="33.75" hidden="false" customHeight="true" outlineLevel="0" collapsed="false">
      <c r="A2" s="22" t="s">
        <v>22</v>
      </c>
      <c r="B2" s="22" t="s">
        <v>46</v>
      </c>
      <c r="C2" s="22" t="s">
        <v>47</v>
      </c>
      <c r="D2" s="22" t="s">
        <v>48</v>
      </c>
      <c r="E2" s="22" t="s">
        <v>49</v>
      </c>
      <c r="F2" s="22" t="s">
        <v>50</v>
      </c>
      <c r="G2" s="22" t="s">
        <v>51</v>
      </c>
      <c r="H2" s="22" t="s">
        <v>52</v>
      </c>
      <c r="I2" s="22" t="s">
        <v>53</v>
      </c>
      <c r="J2" s="22" t="s">
        <v>54</v>
      </c>
      <c r="K2" s="22" t="s">
        <v>55</v>
      </c>
      <c r="L2" s="22" t="s">
        <v>56</v>
      </c>
      <c r="M2" s="22" t="s">
        <v>57</v>
      </c>
      <c r="N2" s="22" t="s">
        <v>58</v>
      </c>
      <c r="O2" s="22" t="s">
        <v>59</v>
      </c>
      <c r="P2" s="22" t="s">
        <v>60</v>
      </c>
      <c r="Q2" s="22" t="s">
        <v>61</v>
      </c>
      <c r="R2" s="22" t="s">
        <v>62</v>
      </c>
      <c r="S2" s="22" t="s">
        <v>63</v>
      </c>
      <c r="T2" s="22" t="s">
        <v>64</v>
      </c>
    </row>
    <row r="3" customFormat="false" ht="19.5" hidden="false" customHeight="true" outlineLevel="0" collapsed="false">
      <c r="A3" s="23" t="s">
        <v>24</v>
      </c>
      <c r="B3" s="23" t="s">
        <v>65</v>
      </c>
      <c r="C3" s="23" t="s">
        <v>66</v>
      </c>
      <c r="D3" s="23" t="s">
        <v>67</v>
      </c>
      <c r="E3" s="24"/>
      <c r="F3" s="25" t="s">
        <v>68</v>
      </c>
      <c r="G3" s="16" t="s">
        <v>69</v>
      </c>
      <c r="H3" s="16" t="s">
        <v>70</v>
      </c>
      <c r="I3" s="16" t="s">
        <v>71</v>
      </c>
      <c r="J3" s="16" t="s">
        <v>72</v>
      </c>
      <c r="K3" s="16" t="s">
        <v>73</v>
      </c>
      <c r="L3" s="16" t="s">
        <v>74</v>
      </c>
      <c r="M3" s="16" t="s">
        <v>75</v>
      </c>
      <c r="N3" s="16" t="s">
        <v>76</v>
      </c>
      <c r="O3" s="16" t="s">
        <v>77</v>
      </c>
      <c r="P3" s="16" t="s">
        <v>76</v>
      </c>
      <c r="Q3" s="16" t="s">
        <v>76</v>
      </c>
      <c r="R3" s="16" t="s">
        <v>78</v>
      </c>
      <c r="S3" s="23" t="s">
        <v>79</v>
      </c>
      <c r="T3" s="23" t="s">
        <v>80</v>
      </c>
    </row>
    <row r="4" customFormat="false" ht="19.5" hidden="false" customHeight="true" outlineLevel="0" collapsed="false">
      <c r="A4" s="26" t="s">
        <v>24</v>
      </c>
      <c r="B4" s="26" t="s">
        <v>81</v>
      </c>
      <c r="C4" s="26" t="s">
        <v>66</v>
      </c>
      <c r="D4" s="26" t="s">
        <v>82</v>
      </c>
      <c r="E4" s="27"/>
      <c r="F4" s="28" t="s">
        <v>83</v>
      </c>
      <c r="G4" s="29" t="s">
        <v>69</v>
      </c>
      <c r="H4" s="29" t="s">
        <v>70</v>
      </c>
      <c r="I4" s="29" t="s">
        <v>71</v>
      </c>
      <c r="J4" s="29" t="s">
        <v>72</v>
      </c>
      <c r="K4" s="29" t="s">
        <v>73</v>
      </c>
      <c r="L4" s="29" t="s">
        <v>74</v>
      </c>
      <c r="M4" s="29" t="s">
        <v>75</v>
      </c>
      <c r="N4" s="29" t="s">
        <v>76</v>
      </c>
      <c r="O4" s="29" t="s">
        <v>77</v>
      </c>
      <c r="P4" s="29" t="s">
        <v>76</v>
      </c>
      <c r="Q4" s="29" t="s">
        <v>76</v>
      </c>
      <c r="R4" s="29" t="s">
        <v>78</v>
      </c>
      <c r="S4" s="26" t="s">
        <v>79</v>
      </c>
      <c r="T4" s="26" t="s">
        <v>80</v>
      </c>
    </row>
    <row r="5" customFormat="false" ht="19.5" hidden="false" customHeight="true" outlineLevel="0" collapsed="false">
      <c r="A5" s="23" t="s">
        <v>24</v>
      </c>
      <c r="B5" s="23" t="s">
        <v>84</v>
      </c>
      <c r="C5" s="23" t="s">
        <v>66</v>
      </c>
      <c r="D5" s="23" t="s">
        <v>85</v>
      </c>
      <c r="E5" s="30"/>
      <c r="F5" s="31" t="s">
        <v>86</v>
      </c>
      <c r="G5" s="16" t="s">
        <v>69</v>
      </c>
      <c r="H5" s="16" t="s">
        <v>70</v>
      </c>
      <c r="I5" s="16" t="s">
        <v>71</v>
      </c>
      <c r="J5" s="16" t="s">
        <v>72</v>
      </c>
      <c r="K5" s="16" t="s">
        <v>73</v>
      </c>
      <c r="L5" s="16" t="s">
        <v>74</v>
      </c>
      <c r="M5" s="16" t="s">
        <v>75</v>
      </c>
      <c r="N5" s="16" t="s">
        <v>76</v>
      </c>
      <c r="O5" s="16" t="s">
        <v>77</v>
      </c>
      <c r="P5" s="16" t="s">
        <v>76</v>
      </c>
      <c r="Q5" s="16" t="s">
        <v>76</v>
      </c>
      <c r="R5" s="16" t="s">
        <v>78</v>
      </c>
      <c r="S5" s="23" t="s">
        <v>79</v>
      </c>
      <c r="T5" s="23" t="s">
        <v>87</v>
      </c>
    </row>
    <row r="6" customFormat="false" ht="19.5" hidden="false" customHeight="true" outlineLevel="0" collapsed="false">
      <c r="A6" s="26" t="s">
        <v>24</v>
      </c>
      <c r="B6" s="26" t="s">
        <v>88</v>
      </c>
      <c r="C6" s="26" t="s">
        <v>66</v>
      </c>
      <c r="D6" s="26" t="s">
        <v>89</v>
      </c>
      <c r="E6" s="32"/>
      <c r="F6" s="33" t="s">
        <v>90</v>
      </c>
      <c r="G6" s="29" t="s">
        <v>69</v>
      </c>
      <c r="H6" s="29" t="s">
        <v>70</v>
      </c>
      <c r="I6" s="29" t="s">
        <v>71</v>
      </c>
      <c r="J6" s="29" t="s">
        <v>72</v>
      </c>
      <c r="K6" s="29" t="s">
        <v>73</v>
      </c>
      <c r="L6" s="29" t="s">
        <v>74</v>
      </c>
      <c r="M6" s="29" t="s">
        <v>75</v>
      </c>
      <c r="N6" s="29" t="s">
        <v>76</v>
      </c>
      <c r="O6" s="29" t="s">
        <v>77</v>
      </c>
      <c r="P6" s="29" t="s">
        <v>76</v>
      </c>
      <c r="Q6" s="29" t="s">
        <v>76</v>
      </c>
      <c r="R6" s="29" t="s">
        <v>91</v>
      </c>
      <c r="S6" s="26" t="s">
        <v>92</v>
      </c>
      <c r="T6" s="26" t="s">
        <v>93</v>
      </c>
    </row>
    <row r="7" customFormat="false" ht="19.5" hidden="false" customHeight="true" outlineLevel="0" collapsed="false">
      <c r="A7" s="23" t="s">
        <v>24</v>
      </c>
      <c r="B7" s="23" t="s">
        <v>94</v>
      </c>
      <c r="C7" s="23" t="s">
        <v>66</v>
      </c>
      <c r="D7" s="23" t="s">
        <v>95</v>
      </c>
      <c r="E7" s="34"/>
      <c r="F7" s="35" t="s">
        <v>96</v>
      </c>
      <c r="G7" s="16" t="s">
        <v>69</v>
      </c>
      <c r="H7" s="16" t="s">
        <v>70</v>
      </c>
      <c r="I7" s="16" t="s">
        <v>71</v>
      </c>
      <c r="J7" s="16" t="s">
        <v>72</v>
      </c>
      <c r="K7" s="16" t="s">
        <v>73</v>
      </c>
      <c r="L7" s="16" t="s">
        <v>74</v>
      </c>
      <c r="M7" s="16" t="s">
        <v>75</v>
      </c>
      <c r="N7" s="16" t="s">
        <v>76</v>
      </c>
      <c r="O7" s="16" t="s">
        <v>77</v>
      </c>
      <c r="P7" s="16" t="s">
        <v>76</v>
      </c>
      <c r="Q7" s="16" t="s">
        <v>76</v>
      </c>
      <c r="R7" s="16" t="s">
        <v>78</v>
      </c>
      <c r="S7" s="23" t="s">
        <v>79</v>
      </c>
      <c r="T7" s="23" t="s">
        <v>80</v>
      </c>
    </row>
    <row r="8" customFormat="false" ht="19.5" hidden="false" customHeight="true" outlineLevel="0" collapsed="false">
      <c r="A8" s="26" t="s">
        <v>24</v>
      </c>
      <c r="B8" s="26" t="s">
        <v>97</v>
      </c>
      <c r="C8" s="26" t="s">
        <v>66</v>
      </c>
      <c r="D8" s="26" t="s">
        <v>98</v>
      </c>
      <c r="E8" s="16"/>
      <c r="F8" s="36" t="s">
        <v>99</v>
      </c>
      <c r="G8" s="29" t="s">
        <v>69</v>
      </c>
      <c r="H8" s="29" t="s">
        <v>70</v>
      </c>
      <c r="I8" s="29" t="s">
        <v>71</v>
      </c>
      <c r="J8" s="29" t="s">
        <v>72</v>
      </c>
      <c r="K8" s="29" t="s">
        <v>73</v>
      </c>
      <c r="L8" s="29" t="s">
        <v>74</v>
      </c>
      <c r="M8" s="29" t="s">
        <v>75</v>
      </c>
      <c r="N8" s="29" t="s">
        <v>76</v>
      </c>
      <c r="O8" s="29" t="s">
        <v>77</v>
      </c>
      <c r="P8" s="29" t="s">
        <v>76</v>
      </c>
      <c r="Q8" s="29" t="s">
        <v>76</v>
      </c>
      <c r="R8" s="29" t="s">
        <v>78</v>
      </c>
      <c r="S8" s="26" t="s">
        <v>79</v>
      </c>
      <c r="T8" s="26" t="s">
        <v>80</v>
      </c>
    </row>
    <row r="9" customFormat="false" ht="19.5" hidden="false" customHeight="true" outlineLevel="0" collapsed="false">
      <c r="A9" s="23" t="s">
        <v>25</v>
      </c>
      <c r="B9" s="23" t="s">
        <v>100</v>
      </c>
      <c r="C9" s="23" t="s">
        <v>101</v>
      </c>
      <c r="D9" s="23" t="s">
        <v>102</v>
      </c>
      <c r="E9" s="32"/>
      <c r="F9" s="33" t="s">
        <v>90</v>
      </c>
      <c r="G9" s="16" t="s">
        <v>69</v>
      </c>
      <c r="H9" s="16" t="s">
        <v>70</v>
      </c>
      <c r="I9" s="16" t="s">
        <v>71</v>
      </c>
      <c r="J9" s="16" t="s">
        <v>72</v>
      </c>
      <c r="K9" s="16" t="s">
        <v>73</v>
      </c>
      <c r="L9" s="16" t="s">
        <v>103</v>
      </c>
      <c r="M9" s="16" t="s">
        <v>104</v>
      </c>
      <c r="N9" s="16" t="s">
        <v>76</v>
      </c>
      <c r="O9" s="16" t="s">
        <v>77</v>
      </c>
      <c r="P9" s="16" t="s">
        <v>76</v>
      </c>
      <c r="Q9" s="16" t="s">
        <v>76</v>
      </c>
      <c r="R9" s="16" t="s">
        <v>91</v>
      </c>
      <c r="S9" s="23" t="s">
        <v>105</v>
      </c>
      <c r="T9" s="23" t="s">
        <v>106</v>
      </c>
    </row>
    <row r="10" customFormat="false" ht="19.5" hidden="false" customHeight="true" outlineLevel="0" collapsed="false">
      <c r="A10" s="26" t="s">
        <v>25</v>
      </c>
      <c r="B10" s="26" t="s">
        <v>107</v>
      </c>
      <c r="C10" s="26" t="s">
        <v>101</v>
      </c>
      <c r="D10" s="26" t="s">
        <v>108</v>
      </c>
      <c r="E10" s="32"/>
      <c r="F10" s="33" t="s">
        <v>90</v>
      </c>
      <c r="G10" s="29" t="s">
        <v>69</v>
      </c>
      <c r="H10" s="29" t="s">
        <v>70</v>
      </c>
      <c r="I10" s="29" t="s">
        <v>71</v>
      </c>
      <c r="J10" s="29" t="s">
        <v>72</v>
      </c>
      <c r="K10" s="29" t="s">
        <v>73</v>
      </c>
      <c r="L10" s="29" t="s">
        <v>103</v>
      </c>
      <c r="M10" s="29" t="s">
        <v>104</v>
      </c>
      <c r="N10" s="29" t="s">
        <v>76</v>
      </c>
      <c r="O10" s="29" t="s">
        <v>77</v>
      </c>
      <c r="P10" s="29" t="s">
        <v>76</v>
      </c>
      <c r="Q10" s="29" t="s">
        <v>76</v>
      </c>
      <c r="R10" s="29" t="s">
        <v>91</v>
      </c>
      <c r="S10" s="26" t="s">
        <v>105</v>
      </c>
      <c r="T10" s="26" t="s">
        <v>109</v>
      </c>
    </row>
    <row r="11" customFormat="false" ht="19.5" hidden="false" customHeight="true" outlineLevel="0" collapsed="false">
      <c r="A11" s="23" t="s">
        <v>25</v>
      </c>
      <c r="B11" s="23" t="s">
        <v>110</v>
      </c>
      <c r="C11" s="23" t="s">
        <v>101</v>
      </c>
      <c r="D11" s="23" t="s">
        <v>111</v>
      </c>
      <c r="E11" s="37"/>
      <c r="F11" s="38" t="s">
        <v>112</v>
      </c>
      <c r="G11" s="16" t="s">
        <v>69</v>
      </c>
      <c r="H11" s="16" t="s">
        <v>70</v>
      </c>
      <c r="I11" s="16" t="s">
        <v>71</v>
      </c>
      <c r="J11" s="16" t="s">
        <v>72</v>
      </c>
      <c r="K11" s="16" t="s">
        <v>73</v>
      </c>
      <c r="L11" s="16" t="s">
        <v>103</v>
      </c>
      <c r="M11" s="16" t="s">
        <v>104</v>
      </c>
      <c r="N11" s="16" t="s">
        <v>76</v>
      </c>
      <c r="O11" s="16" t="s">
        <v>77</v>
      </c>
      <c r="P11" s="16" t="s">
        <v>76</v>
      </c>
      <c r="Q11" s="16" t="s">
        <v>76</v>
      </c>
      <c r="R11" s="16" t="s">
        <v>78</v>
      </c>
      <c r="S11" s="23" t="s">
        <v>113</v>
      </c>
      <c r="T11" s="23" t="s">
        <v>114</v>
      </c>
    </row>
    <row r="12" customFormat="false" ht="19.5" hidden="false" customHeight="true" outlineLevel="0" collapsed="false">
      <c r="A12" s="26" t="s">
        <v>25</v>
      </c>
      <c r="B12" s="26" t="s">
        <v>115</v>
      </c>
      <c r="C12" s="26" t="s">
        <v>101</v>
      </c>
      <c r="D12" s="26" t="s">
        <v>116</v>
      </c>
      <c r="E12" s="32"/>
      <c r="F12" s="33" t="s">
        <v>90</v>
      </c>
      <c r="G12" s="29" t="s">
        <v>69</v>
      </c>
      <c r="H12" s="29" t="s">
        <v>70</v>
      </c>
      <c r="I12" s="29" t="s">
        <v>71</v>
      </c>
      <c r="J12" s="29" t="s">
        <v>72</v>
      </c>
      <c r="K12" s="29" t="s">
        <v>73</v>
      </c>
      <c r="L12" s="29" t="s">
        <v>103</v>
      </c>
      <c r="M12" s="29" t="s">
        <v>104</v>
      </c>
      <c r="N12" s="29" t="s">
        <v>76</v>
      </c>
      <c r="O12" s="29" t="s">
        <v>77</v>
      </c>
      <c r="P12" s="29" t="s">
        <v>76</v>
      </c>
      <c r="Q12" s="29" t="s">
        <v>76</v>
      </c>
      <c r="R12" s="29" t="s">
        <v>91</v>
      </c>
      <c r="S12" s="26" t="s">
        <v>105</v>
      </c>
      <c r="T12" s="26" t="s">
        <v>117</v>
      </c>
    </row>
    <row r="13" customFormat="false" ht="19.5" hidden="false" customHeight="true" outlineLevel="0" collapsed="false">
      <c r="A13" s="23" t="s">
        <v>25</v>
      </c>
      <c r="B13" s="23" t="s">
        <v>118</v>
      </c>
      <c r="C13" s="23" t="s">
        <v>101</v>
      </c>
      <c r="D13" s="23" t="s">
        <v>119</v>
      </c>
      <c r="E13" s="32"/>
      <c r="F13" s="33" t="s">
        <v>90</v>
      </c>
      <c r="G13" s="16" t="s">
        <v>69</v>
      </c>
      <c r="H13" s="16" t="s">
        <v>70</v>
      </c>
      <c r="I13" s="16" t="s">
        <v>71</v>
      </c>
      <c r="J13" s="16" t="s">
        <v>72</v>
      </c>
      <c r="K13" s="16" t="s">
        <v>73</v>
      </c>
      <c r="L13" s="16" t="s">
        <v>103</v>
      </c>
      <c r="M13" s="16" t="s">
        <v>104</v>
      </c>
      <c r="N13" s="16" t="s">
        <v>76</v>
      </c>
      <c r="O13" s="16" t="s">
        <v>77</v>
      </c>
      <c r="P13" s="16" t="s">
        <v>76</v>
      </c>
      <c r="Q13" s="16" t="s">
        <v>76</v>
      </c>
      <c r="R13" s="16" t="s">
        <v>91</v>
      </c>
      <c r="S13" s="23" t="s">
        <v>105</v>
      </c>
      <c r="T13" s="23" t="s">
        <v>120</v>
      </c>
    </row>
    <row r="14" customFormat="false" ht="19.5" hidden="false" customHeight="true" outlineLevel="0" collapsed="false">
      <c r="A14" s="26" t="s">
        <v>25</v>
      </c>
      <c r="B14" s="26" t="s">
        <v>121</v>
      </c>
      <c r="C14" s="26" t="s">
        <v>101</v>
      </c>
      <c r="D14" s="26" t="s">
        <v>122</v>
      </c>
      <c r="E14" s="32"/>
      <c r="F14" s="33" t="s">
        <v>90</v>
      </c>
      <c r="G14" s="29" t="s">
        <v>69</v>
      </c>
      <c r="H14" s="29" t="s">
        <v>70</v>
      </c>
      <c r="I14" s="29" t="s">
        <v>71</v>
      </c>
      <c r="J14" s="29" t="s">
        <v>72</v>
      </c>
      <c r="K14" s="29" t="s">
        <v>73</v>
      </c>
      <c r="L14" s="29" t="s">
        <v>103</v>
      </c>
      <c r="M14" s="29" t="s">
        <v>104</v>
      </c>
      <c r="N14" s="29" t="s">
        <v>76</v>
      </c>
      <c r="O14" s="29" t="s">
        <v>77</v>
      </c>
      <c r="P14" s="29" t="s">
        <v>76</v>
      </c>
      <c r="Q14" s="29" t="s">
        <v>76</v>
      </c>
      <c r="R14" s="29" t="s">
        <v>91</v>
      </c>
      <c r="S14" s="26" t="s">
        <v>105</v>
      </c>
      <c r="T14" s="26" t="s">
        <v>120</v>
      </c>
    </row>
    <row r="15" customFormat="false" ht="19.5" hidden="false" customHeight="true" outlineLevel="0" collapsed="false">
      <c r="A15" s="23" t="s">
        <v>26</v>
      </c>
      <c r="B15" s="23" t="s">
        <v>123</v>
      </c>
      <c r="C15" s="23" t="s">
        <v>124</v>
      </c>
      <c r="D15" s="23" t="s">
        <v>125</v>
      </c>
      <c r="E15" s="32"/>
      <c r="F15" s="33" t="s">
        <v>90</v>
      </c>
      <c r="G15" s="16" t="s">
        <v>69</v>
      </c>
      <c r="H15" s="16" t="s">
        <v>126</v>
      </c>
      <c r="I15" s="16" t="s">
        <v>71</v>
      </c>
      <c r="J15" s="16" t="s">
        <v>72</v>
      </c>
      <c r="K15" s="16" t="s">
        <v>127</v>
      </c>
      <c r="L15" s="16" t="s">
        <v>128</v>
      </c>
      <c r="M15" s="16" t="s">
        <v>129</v>
      </c>
      <c r="N15" s="16" t="s">
        <v>76</v>
      </c>
      <c r="O15" s="16" t="s">
        <v>76</v>
      </c>
      <c r="P15" s="16" t="s">
        <v>76</v>
      </c>
      <c r="Q15" s="16" t="s">
        <v>76</v>
      </c>
      <c r="R15" s="16" t="s">
        <v>91</v>
      </c>
      <c r="S15" s="23" t="s">
        <v>130</v>
      </c>
      <c r="T15" s="23" t="s">
        <v>131</v>
      </c>
    </row>
    <row r="16" customFormat="false" ht="19.5" hidden="false" customHeight="true" outlineLevel="0" collapsed="false">
      <c r="A16" s="26" t="s">
        <v>26</v>
      </c>
      <c r="B16" s="26" t="s">
        <v>132</v>
      </c>
      <c r="C16" s="26" t="s">
        <v>124</v>
      </c>
      <c r="D16" s="26" t="s">
        <v>133</v>
      </c>
      <c r="E16" s="39"/>
      <c r="F16" s="31" t="s">
        <v>134</v>
      </c>
      <c r="G16" s="29" t="s">
        <v>69</v>
      </c>
      <c r="H16" s="29" t="s">
        <v>126</v>
      </c>
      <c r="I16" s="29" t="s">
        <v>71</v>
      </c>
      <c r="J16" s="29" t="s">
        <v>72</v>
      </c>
      <c r="K16" s="29" t="s">
        <v>127</v>
      </c>
      <c r="L16" s="29" t="s">
        <v>128</v>
      </c>
      <c r="M16" s="29" t="s">
        <v>129</v>
      </c>
      <c r="N16" s="29" t="s">
        <v>76</v>
      </c>
      <c r="O16" s="29" t="s">
        <v>76</v>
      </c>
      <c r="P16" s="29" t="s">
        <v>76</v>
      </c>
      <c r="Q16" s="29" t="s">
        <v>76</v>
      </c>
      <c r="R16" s="29" t="s">
        <v>78</v>
      </c>
      <c r="S16" s="26" t="s">
        <v>135</v>
      </c>
      <c r="T16" s="26" t="s">
        <v>136</v>
      </c>
    </row>
    <row r="17" customFormat="false" ht="19.5" hidden="false" customHeight="true" outlineLevel="0" collapsed="false">
      <c r="A17" s="23" t="s">
        <v>26</v>
      </c>
      <c r="B17" s="23" t="s">
        <v>137</v>
      </c>
      <c r="C17" s="23" t="s">
        <v>124</v>
      </c>
      <c r="D17" s="23" t="s">
        <v>82</v>
      </c>
      <c r="E17" s="40"/>
      <c r="F17" s="41" t="s">
        <v>138</v>
      </c>
      <c r="G17" s="16" t="s">
        <v>69</v>
      </c>
      <c r="H17" s="16" t="s">
        <v>126</v>
      </c>
      <c r="I17" s="16" t="s">
        <v>71</v>
      </c>
      <c r="J17" s="16" t="s">
        <v>72</v>
      </c>
      <c r="K17" s="16" t="s">
        <v>127</v>
      </c>
      <c r="L17" s="16" t="s">
        <v>128</v>
      </c>
      <c r="M17" s="16" t="s">
        <v>129</v>
      </c>
      <c r="N17" s="16" t="s">
        <v>76</v>
      </c>
      <c r="O17" s="16" t="s">
        <v>76</v>
      </c>
      <c r="P17" s="16" t="s">
        <v>76</v>
      </c>
      <c r="Q17" s="16" t="s">
        <v>76</v>
      </c>
      <c r="R17" s="16" t="s">
        <v>78</v>
      </c>
      <c r="S17" s="23" t="s">
        <v>135</v>
      </c>
      <c r="T17" s="23" t="s">
        <v>136</v>
      </c>
    </row>
    <row r="18" customFormat="false" ht="19.5" hidden="false" customHeight="true" outlineLevel="0" collapsed="false">
      <c r="A18" s="26" t="s">
        <v>26</v>
      </c>
      <c r="B18" s="26" t="s">
        <v>139</v>
      </c>
      <c r="C18" s="26" t="s">
        <v>124</v>
      </c>
      <c r="D18" s="26" t="s">
        <v>140</v>
      </c>
      <c r="E18" s="32"/>
      <c r="F18" s="33" t="s">
        <v>90</v>
      </c>
      <c r="G18" s="29" t="s">
        <v>69</v>
      </c>
      <c r="H18" s="29" t="s">
        <v>126</v>
      </c>
      <c r="I18" s="29" t="s">
        <v>71</v>
      </c>
      <c r="J18" s="29" t="s">
        <v>72</v>
      </c>
      <c r="K18" s="29" t="s">
        <v>127</v>
      </c>
      <c r="L18" s="29" t="s">
        <v>128</v>
      </c>
      <c r="M18" s="29" t="s">
        <v>129</v>
      </c>
      <c r="N18" s="29" t="s">
        <v>76</v>
      </c>
      <c r="O18" s="29" t="s">
        <v>76</v>
      </c>
      <c r="P18" s="29" t="s">
        <v>76</v>
      </c>
      <c r="Q18" s="29" t="s">
        <v>76</v>
      </c>
      <c r="R18" s="29" t="s">
        <v>91</v>
      </c>
      <c r="S18" s="26" t="s">
        <v>130</v>
      </c>
      <c r="T18" s="26" t="s">
        <v>131</v>
      </c>
    </row>
    <row r="19" customFormat="false" ht="19.5" hidden="false" customHeight="true" outlineLevel="0" collapsed="false">
      <c r="A19" s="23" t="s">
        <v>26</v>
      </c>
      <c r="B19" s="23" t="s">
        <v>141</v>
      </c>
      <c r="C19" s="23" t="s">
        <v>124</v>
      </c>
      <c r="D19" s="23" t="s">
        <v>142</v>
      </c>
      <c r="E19" s="24"/>
      <c r="F19" s="25" t="s">
        <v>68</v>
      </c>
      <c r="G19" s="16" t="s">
        <v>69</v>
      </c>
      <c r="H19" s="16" t="s">
        <v>126</v>
      </c>
      <c r="I19" s="16" t="s">
        <v>71</v>
      </c>
      <c r="J19" s="16" t="s">
        <v>72</v>
      </c>
      <c r="K19" s="16" t="s">
        <v>127</v>
      </c>
      <c r="L19" s="16" t="s">
        <v>128</v>
      </c>
      <c r="M19" s="16" t="s">
        <v>129</v>
      </c>
      <c r="N19" s="16" t="s">
        <v>76</v>
      </c>
      <c r="O19" s="16" t="s">
        <v>76</v>
      </c>
      <c r="P19" s="16" t="s">
        <v>76</v>
      </c>
      <c r="Q19" s="16" t="s">
        <v>76</v>
      </c>
      <c r="R19" s="16" t="s">
        <v>78</v>
      </c>
      <c r="S19" s="23" t="s">
        <v>135</v>
      </c>
      <c r="T19" s="23" t="s">
        <v>136</v>
      </c>
    </row>
    <row r="20" customFormat="false" ht="19.5" hidden="false" customHeight="true" outlineLevel="0" collapsed="false">
      <c r="A20" s="26" t="s">
        <v>26</v>
      </c>
      <c r="B20" s="26" t="s">
        <v>143</v>
      </c>
      <c r="C20" s="26" t="s">
        <v>124</v>
      </c>
      <c r="D20" s="26" t="s">
        <v>89</v>
      </c>
      <c r="E20" s="32"/>
      <c r="F20" s="33" t="s">
        <v>90</v>
      </c>
      <c r="G20" s="29" t="s">
        <v>69</v>
      </c>
      <c r="H20" s="29" t="s">
        <v>126</v>
      </c>
      <c r="I20" s="29" t="s">
        <v>71</v>
      </c>
      <c r="J20" s="29" t="s">
        <v>72</v>
      </c>
      <c r="K20" s="29" t="s">
        <v>127</v>
      </c>
      <c r="L20" s="29" t="s">
        <v>128</v>
      </c>
      <c r="M20" s="29" t="s">
        <v>129</v>
      </c>
      <c r="N20" s="29" t="s">
        <v>76</v>
      </c>
      <c r="O20" s="29" t="s">
        <v>76</v>
      </c>
      <c r="P20" s="29" t="s">
        <v>76</v>
      </c>
      <c r="Q20" s="29" t="s">
        <v>76</v>
      </c>
      <c r="R20" s="29" t="s">
        <v>91</v>
      </c>
      <c r="S20" s="26" t="s">
        <v>130</v>
      </c>
      <c r="T20" s="26" t="s">
        <v>131</v>
      </c>
    </row>
    <row r="21" customFormat="false" ht="19.5" hidden="false" customHeight="true" outlineLevel="0" collapsed="false">
      <c r="A21" s="23" t="s">
        <v>26</v>
      </c>
      <c r="B21" s="23" t="s">
        <v>144</v>
      </c>
      <c r="C21" s="23" t="s">
        <v>124</v>
      </c>
      <c r="D21" s="23" t="s">
        <v>145</v>
      </c>
      <c r="E21" s="42"/>
      <c r="F21" s="43" t="s">
        <v>146</v>
      </c>
      <c r="G21" s="16" t="s">
        <v>69</v>
      </c>
      <c r="H21" s="16" t="s">
        <v>126</v>
      </c>
      <c r="I21" s="16" t="s">
        <v>71</v>
      </c>
      <c r="J21" s="16" t="s">
        <v>72</v>
      </c>
      <c r="K21" s="16" t="s">
        <v>127</v>
      </c>
      <c r="L21" s="16" t="s">
        <v>128</v>
      </c>
      <c r="M21" s="16" t="s">
        <v>129</v>
      </c>
      <c r="N21" s="16" t="s">
        <v>76</v>
      </c>
      <c r="O21" s="16" t="s">
        <v>76</v>
      </c>
      <c r="P21" s="16" t="s">
        <v>76</v>
      </c>
      <c r="Q21" s="16" t="s">
        <v>76</v>
      </c>
      <c r="R21" s="16" t="s">
        <v>78</v>
      </c>
      <c r="S21" s="23" t="s">
        <v>135</v>
      </c>
      <c r="T21" s="23" t="s">
        <v>136</v>
      </c>
    </row>
    <row r="22" customFormat="false" ht="19.5" hidden="false" customHeight="true" outlineLevel="0" collapsed="false">
      <c r="A22" s="26" t="s">
        <v>26</v>
      </c>
      <c r="B22" s="26" t="s">
        <v>147</v>
      </c>
      <c r="C22" s="26" t="s">
        <v>124</v>
      </c>
      <c r="D22" s="26" t="s">
        <v>95</v>
      </c>
      <c r="E22" s="34"/>
      <c r="F22" s="35" t="s">
        <v>148</v>
      </c>
      <c r="G22" s="29" t="s">
        <v>69</v>
      </c>
      <c r="H22" s="29" t="s">
        <v>126</v>
      </c>
      <c r="I22" s="29" t="s">
        <v>71</v>
      </c>
      <c r="J22" s="29" t="s">
        <v>72</v>
      </c>
      <c r="K22" s="29" t="s">
        <v>127</v>
      </c>
      <c r="L22" s="29" t="s">
        <v>128</v>
      </c>
      <c r="M22" s="29" t="s">
        <v>129</v>
      </c>
      <c r="N22" s="29" t="s">
        <v>76</v>
      </c>
      <c r="O22" s="29" t="s">
        <v>76</v>
      </c>
      <c r="P22" s="29" t="s">
        <v>76</v>
      </c>
      <c r="Q22" s="29" t="s">
        <v>76</v>
      </c>
      <c r="R22" s="29" t="s">
        <v>78</v>
      </c>
      <c r="S22" s="26" t="s">
        <v>135</v>
      </c>
      <c r="T22" s="26" t="s">
        <v>136</v>
      </c>
    </row>
    <row r="23" customFormat="false" ht="19.5" hidden="false" customHeight="true" outlineLevel="0" collapsed="false">
      <c r="A23" s="23" t="s">
        <v>26</v>
      </c>
      <c r="B23" s="23" t="s">
        <v>149</v>
      </c>
      <c r="C23" s="23" t="s">
        <v>124</v>
      </c>
      <c r="D23" s="23" t="s">
        <v>150</v>
      </c>
      <c r="E23" s="44"/>
      <c r="F23" s="45" t="s">
        <v>151</v>
      </c>
      <c r="G23" s="16" t="s">
        <v>69</v>
      </c>
      <c r="H23" s="16" t="s">
        <v>126</v>
      </c>
      <c r="I23" s="16" t="s">
        <v>71</v>
      </c>
      <c r="J23" s="16" t="s">
        <v>72</v>
      </c>
      <c r="K23" s="16" t="s">
        <v>127</v>
      </c>
      <c r="L23" s="16" t="s">
        <v>128</v>
      </c>
      <c r="M23" s="16" t="s">
        <v>129</v>
      </c>
      <c r="N23" s="16" t="s">
        <v>76</v>
      </c>
      <c r="O23" s="16" t="s">
        <v>76</v>
      </c>
      <c r="P23" s="16" t="s">
        <v>76</v>
      </c>
      <c r="Q23" s="16" t="s">
        <v>76</v>
      </c>
      <c r="R23" s="16" t="s">
        <v>78</v>
      </c>
      <c r="S23" s="23" t="s">
        <v>135</v>
      </c>
      <c r="T23" s="23" t="s">
        <v>136</v>
      </c>
    </row>
    <row r="24" customFormat="false" ht="19.5" hidden="false" customHeight="true" outlineLevel="0" collapsed="false">
      <c r="A24" s="26" t="s">
        <v>26</v>
      </c>
      <c r="B24" s="26" t="s">
        <v>152</v>
      </c>
      <c r="C24" s="26" t="s">
        <v>124</v>
      </c>
      <c r="D24" s="26" t="s">
        <v>153</v>
      </c>
      <c r="E24" s="46"/>
      <c r="F24" s="47" t="s">
        <v>154</v>
      </c>
      <c r="G24" s="29" t="s">
        <v>69</v>
      </c>
      <c r="H24" s="29" t="s">
        <v>126</v>
      </c>
      <c r="I24" s="29" t="s">
        <v>71</v>
      </c>
      <c r="J24" s="29" t="s">
        <v>72</v>
      </c>
      <c r="K24" s="29" t="s">
        <v>127</v>
      </c>
      <c r="L24" s="29" t="s">
        <v>128</v>
      </c>
      <c r="M24" s="29" t="s">
        <v>129</v>
      </c>
      <c r="N24" s="29" t="s">
        <v>76</v>
      </c>
      <c r="O24" s="29" t="s">
        <v>76</v>
      </c>
      <c r="P24" s="29" t="s">
        <v>76</v>
      </c>
      <c r="Q24" s="29" t="s">
        <v>76</v>
      </c>
      <c r="R24" s="29" t="s">
        <v>78</v>
      </c>
      <c r="S24" s="26" t="s">
        <v>135</v>
      </c>
      <c r="T24" s="26" t="s">
        <v>136</v>
      </c>
    </row>
    <row r="25" customFormat="false" ht="19.5" hidden="false" customHeight="true" outlineLevel="0" collapsed="false">
      <c r="A25" s="23" t="s">
        <v>26</v>
      </c>
      <c r="B25" s="23" t="s">
        <v>155</v>
      </c>
      <c r="C25" s="23" t="s">
        <v>124</v>
      </c>
      <c r="D25" s="23" t="s">
        <v>98</v>
      </c>
      <c r="E25" s="16"/>
      <c r="F25" s="36" t="s">
        <v>99</v>
      </c>
      <c r="G25" s="16" t="s">
        <v>69</v>
      </c>
      <c r="H25" s="16" t="s">
        <v>126</v>
      </c>
      <c r="I25" s="16" t="s">
        <v>71</v>
      </c>
      <c r="J25" s="16" t="s">
        <v>72</v>
      </c>
      <c r="K25" s="16" t="s">
        <v>127</v>
      </c>
      <c r="L25" s="16" t="s">
        <v>128</v>
      </c>
      <c r="M25" s="16" t="s">
        <v>129</v>
      </c>
      <c r="N25" s="16" t="s">
        <v>76</v>
      </c>
      <c r="O25" s="16" t="s">
        <v>76</v>
      </c>
      <c r="P25" s="16" t="s">
        <v>76</v>
      </c>
      <c r="Q25" s="16" t="s">
        <v>76</v>
      </c>
      <c r="R25" s="16" t="s">
        <v>78</v>
      </c>
      <c r="S25" s="23" t="s">
        <v>135</v>
      </c>
      <c r="T25" s="23" t="s">
        <v>136</v>
      </c>
    </row>
    <row r="26" customFormat="false" ht="19.5" hidden="false" customHeight="true" outlineLevel="0" collapsed="false">
      <c r="A26" s="26" t="s">
        <v>26</v>
      </c>
      <c r="B26" s="26" t="s">
        <v>156</v>
      </c>
      <c r="C26" s="26" t="s">
        <v>124</v>
      </c>
      <c r="D26" s="26" t="s">
        <v>157</v>
      </c>
      <c r="E26" s="32"/>
      <c r="F26" s="33" t="s">
        <v>90</v>
      </c>
      <c r="G26" s="29" t="s">
        <v>69</v>
      </c>
      <c r="H26" s="29" t="s">
        <v>126</v>
      </c>
      <c r="I26" s="29" t="s">
        <v>71</v>
      </c>
      <c r="J26" s="29" t="s">
        <v>72</v>
      </c>
      <c r="K26" s="29" t="s">
        <v>127</v>
      </c>
      <c r="L26" s="29" t="s">
        <v>128</v>
      </c>
      <c r="M26" s="29" t="s">
        <v>129</v>
      </c>
      <c r="N26" s="29" t="s">
        <v>76</v>
      </c>
      <c r="O26" s="29" t="s">
        <v>76</v>
      </c>
      <c r="P26" s="29" t="s">
        <v>76</v>
      </c>
      <c r="Q26" s="29" t="s">
        <v>76</v>
      </c>
      <c r="R26" s="29" t="s">
        <v>91</v>
      </c>
      <c r="S26" s="26" t="s">
        <v>130</v>
      </c>
      <c r="T26" s="26" t="s">
        <v>158</v>
      </c>
    </row>
    <row r="27" customFormat="false" ht="19.5" hidden="false" customHeight="true" outlineLevel="0" collapsed="false">
      <c r="A27" s="23" t="s">
        <v>27</v>
      </c>
      <c r="B27" s="23" t="s">
        <v>159</v>
      </c>
      <c r="C27" s="23" t="s">
        <v>160</v>
      </c>
      <c r="D27" s="23" t="s">
        <v>133</v>
      </c>
      <c r="E27" s="39"/>
      <c r="F27" s="31" t="s">
        <v>134</v>
      </c>
      <c r="G27" s="16" t="s">
        <v>69</v>
      </c>
      <c r="H27" s="16" t="s">
        <v>126</v>
      </c>
      <c r="I27" s="16" t="s">
        <v>71</v>
      </c>
      <c r="J27" s="16" t="s">
        <v>72</v>
      </c>
      <c r="K27" s="16" t="s">
        <v>127</v>
      </c>
      <c r="L27" s="16" t="s">
        <v>128</v>
      </c>
      <c r="M27" s="16" t="s">
        <v>129</v>
      </c>
      <c r="N27" s="16" t="s">
        <v>76</v>
      </c>
      <c r="O27" s="16" t="s">
        <v>76</v>
      </c>
      <c r="P27" s="16" t="s">
        <v>76</v>
      </c>
      <c r="Q27" s="16" t="s">
        <v>76</v>
      </c>
      <c r="R27" s="16" t="s">
        <v>78</v>
      </c>
      <c r="S27" s="23" t="s">
        <v>161</v>
      </c>
      <c r="T27" s="23" t="s">
        <v>162</v>
      </c>
    </row>
    <row r="28" customFormat="false" ht="19.5" hidden="false" customHeight="true" outlineLevel="0" collapsed="false">
      <c r="A28" s="26" t="s">
        <v>27</v>
      </c>
      <c r="B28" s="26" t="s">
        <v>163</v>
      </c>
      <c r="C28" s="26" t="s">
        <v>160</v>
      </c>
      <c r="D28" s="26" t="s">
        <v>82</v>
      </c>
      <c r="E28" s="48"/>
      <c r="F28" s="41" t="s">
        <v>164</v>
      </c>
      <c r="G28" s="29" t="s">
        <v>69</v>
      </c>
      <c r="H28" s="29" t="s">
        <v>126</v>
      </c>
      <c r="I28" s="29" t="s">
        <v>71</v>
      </c>
      <c r="J28" s="29" t="s">
        <v>72</v>
      </c>
      <c r="K28" s="29" t="s">
        <v>127</v>
      </c>
      <c r="L28" s="29" t="s">
        <v>128</v>
      </c>
      <c r="M28" s="29" t="s">
        <v>129</v>
      </c>
      <c r="N28" s="29" t="s">
        <v>76</v>
      </c>
      <c r="O28" s="29" t="s">
        <v>76</v>
      </c>
      <c r="P28" s="29" t="s">
        <v>76</v>
      </c>
      <c r="Q28" s="29" t="s">
        <v>76</v>
      </c>
      <c r="R28" s="29" t="s">
        <v>78</v>
      </c>
      <c r="S28" s="26" t="s">
        <v>161</v>
      </c>
      <c r="T28" s="26" t="s">
        <v>162</v>
      </c>
    </row>
    <row r="29" customFormat="false" ht="19.5" hidden="false" customHeight="true" outlineLevel="0" collapsed="false">
      <c r="A29" s="23" t="s">
        <v>27</v>
      </c>
      <c r="B29" s="23" t="s">
        <v>165</v>
      </c>
      <c r="C29" s="23" t="s">
        <v>160</v>
      </c>
      <c r="D29" s="23" t="s">
        <v>89</v>
      </c>
      <c r="E29" s="49"/>
      <c r="F29" s="50" t="s">
        <v>166</v>
      </c>
      <c r="G29" s="16" t="s">
        <v>69</v>
      </c>
      <c r="H29" s="16" t="s">
        <v>126</v>
      </c>
      <c r="I29" s="16" t="s">
        <v>71</v>
      </c>
      <c r="J29" s="16" t="s">
        <v>72</v>
      </c>
      <c r="K29" s="16" t="s">
        <v>127</v>
      </c>
      <c r="L29" s="16" t="s">
        <v>128</v>
      </c>
      <c r="M29" s="16" t="s">
        <v>129</v>
      </c>
      <c r="N29" s="16" t="s">
        <v>76</v>
      </c>
      <c r="O29" s="16" t="s">
        <v>76</v>
      </c>
      <c r="P29" s="16" t="s">
        <v>76</v>
      </c>
      <c r="Q29" s="16" t="s">
        <v>76</v>
      </c>
      <c r="R29" s="16" t="s">
        <v>78</v>
      </c>
      <c r="S29" s="23" t="s">
        <v>161</v>
      </c>
      <c r="T29" s="23" t="s">
        <v>162</v>
      </c>
    </row>
    <row r="30" customFormat="false" ht="19.5" hidden="false" customHeight="true" outlineLevel="0" collapsed="false">
      <c r="A30" s="26" t="s">
        <v>27</v>
      </c>
      <c r="B30" s="26" t="s">
        <v>167</v>
      </c>
      <c r="C30" s="26" t="s">
        <v>160</v>
      </c>
      <c r="D30" s="26" t="s">
        <v>168</v>
      </c>
      <c r="E30" s="51"/>
      <c r="F30" s="52" t="s">
        <v>169</v>
      </c>
      <c r="G30" s="29" t="s">
        <v>69</v>
      </c>
      <c r="H30" s="29" t="s">
        <v>126</v>
      </c>
      <c r="I30" s="29" t="s">
        <v>71</v>
      </c>
      <c r="J30" s="29" t="s">
        <v>72</v>
      </c>
      <c r="K30" s="29" t="s">
        <v>127</v>
      </c>
      <c r="L30" s="29" t="s">
        <v>128</v>
      </c>
      <c r="M30" s="29" t="s">
        <v>129</v>
      </c>
      <c r="N30" s="29" t="s">
        <v>76</v>
      </c>
      <c r="O30" s="29" t="s">
        <v>76</v>
      </c>
      <c r="P30" s="29" t="s">
        <v>76</v>
      </c>
      <c r="Q30" s="29" t="s">
        <v>76</v>
      </c>
      <c r="R30" s="29" t="s">
        <v>78</v>
      </c>
      <c r="S30" s="26" t="s">
        <v>161</v>
      </c>
      <c r="T30" s="26" t="s">
        <v>162</v>
      </c>
    </row>
    <row r="31" customFormat="false" ht="19.5" hidden="false" customHeight="true" outlineLevel="0" collapsed="false">
      <c r="A31" s="23" t="s">
        <v>27</v>
      </c>
      <c r="B31" s="23" t="s">
        <v>170</v>
      </c>
      <c r="C31" s="23" t="s">
        <v>160</v>
      </c>
      <c r="D31" s="23" t="s">
        <v>95</v>
      </c>
      <c r="E31" s="53"/>
      <c r="F31" s="54" t="s">
        <v>171</v>
      </c>
      <c r="G31" s="16" t="s">
        <v>69</v>
      </c>
      <c r="H31" s="16" t="s">
        <v>126</v>
      </c>
      <c r="I31" s="16" t="s">
        <v>71</v>
      </c>
      <c r="J31" s="16" t="s">
        <v>72</v>
      </c>
      <c r="K31" s="16" t="s">
        <v>127</v>
      </c>
      <c r="L31" s="16" t="s">
        <v>128</v>
      </c>
      <c r="M31" s="16" t="s">
        <v>129</v>
      </c>
      <c r="N31" s="16" t="s">
        <v>76</v>
      </c>
      <c r="O31" s="16" t="s">
        <v>76</v>
      </c>
      <c r="P31" s="16" t="s">
        <v>76</v>
      </c>
      <c r="Q31" s="16" t="s">
        <v>76</v>
      </c>
      <c r="R31" s="16" t="s">
        <v>78</v>
      </c>
      <c r="S31" s="23" t="s">
        <v>161</v>
      </c>
      <c r="T31" s="23" t="s">
        <v>162</v>
      </c>
    </row>
    <row r="32" customFormat="false" ht="19.5" hidden="false" customHeight="true" outlineLevel="0" collapsed="false">
      <c r="A32" s="26" t="s">
        <v>27</v>
      </c>
      <c r="B32" s="26" t="s">
        <v>172</v>
      </c>
      <c r="C32" s="26" t="s">
        <v>160</v>
      </c>
      <c r="D32" s="26" t="s">
        <v>173</v>
      </c>
      <c r="E32" s="55"/>
      <c r="F32" s="56" t="s">
        <v>174</v>
      </c>
      <c r="G32" s="29" t="s">
        <v>69</v>
      </c>
      <c r="H32" s="29" t="s">
        <v>126</v>
      </c>
      <c r="I32" s="29" t="s">
        <v>71</v>
      </c>
      <c r="J32" s="29" t="s">
        <v>72</v>
      </c>
      <c r="K32" s="29" t="s">
        <v>127</v>
      </c>
      <c r="L32" s="29" t="s">
        <v>128</v>
      </c>
      <c r="M32" s="29" t="s">
        <v>129</v>
      </c>
      <c r="N32" s="29" t="s">
        <v>76</v>
      </c>
      <c r="O32" s="29" t="s">
        <v>76</v>
      </c>
      <c r="P32" s="29" t="s">
        <v>76</v>
      </c>
      <c r="Q32" s="29" t="s">
        <v>76</v>
      </c>
      <c r="R32" s="29" t="s">
        <v>78</v>
      </c>
      <c r="S32" s="26" t="s">
        <v>161</v>
      </c>
      <c r="T32" s="26" t="s">
        <v>162</v>
      </c>
    </row>
    <row r="33" customFormat="false" ht="19.5" hidden="false" customHeight="true" outlineLevel="0" collapsed="false">
      <c r="A33" s="23" t="s">
        <v>27</v>
      </c>
      <c r="B33" s="23" t="s">
        <v>175</v>
      </c>
      <c r="C33" s="23" t="s">
        <v>160</v>
      </c>
      <c r="D33" s="23" t="s">
        <v>98</v>
      </c>
      <c r="E33" s="16"/>
      <c r="F33" s="36" t="s">
        <v>99</v>
      </c>
      <c r="G33" s="16" t="s">
        <v>69</v>
      </c>
      <c r="H33" s="16" t="s">
        <v>126</v>
      </c>
      <c r="I33" s="16" t="s">
        <v>71</v>
      </c>
      <c r="J33" s="16" t="s">
        <v>72</v>
      </c>
      <c r="K33" s="16" t="s">
        <v>127</v>
      </c>
      <c r="L33" s="16" t="s">
        <v>128</v>
      </c>
      <c r="M33" s="16" t="s">
        <v>129</v>
      </c>
      <c r="N33" s="16" t="s">
        <v>76</v>
      </c>
      <c r="O33" s="16" t="s">
        <v>76</v>
      </c>
      <c r="P33" s="16" t="s">
        <v>76</v>
      </c>
      <c r="Q33" s="16" t="s">
        <v>76</v>
      </c>
      <c r="R33" s="16" t="s">
        <v>78</v>
      </c>
      <c r="S33" s="23" t="s">
        <v>161</v>
      </c>
      <c r="T33" s="23" t="s">
        <v>162</v>
      </c>
    </row>
    <row r="34" customFormat="false" ht="19.5" hidden="false" customHeight="true" outlineLevel="0" collapsed="false">
      <c r="A34" s="26" t="s">
        <v>28</v>
      </c>
      <c r="B34" s="26" t="s">
        <v>176</v>
      </c>
      <c r="C34" s="26" t="s">
        <v>177</v>
      </c>
      <c r="D34" s="26" t="s">
        <v>125</v>
      </c>
      <c r="E34" s="57"/>
      <c r="F34" s="58" t="s">
        <v>178</v>
      </c>
      <c r="G34" s="29" t="s">
        <v>69</v>
      </c>
      <c r="H34" s="29" t="s">
        <v>70</v>
      </c>
      <c r="I34" s="29" t="s">
        <v>71</v>
      </c>
      <c r="J34" s="29" t="s">
        <v>72</v>
      </c>
      <c r="K34" s="29" t="s">
        <v>179</v>
      </c>
      <c r="L34" s="29" t="s">
        <v>180</v>
      </c>
      <c r="M34" s="29" t="s">
        <v>181</v>
      </c>
      <c r="N34" s="29" t="s">
        <v>76</v>
      </c>
      <c r="O34" s="29" t="s">
        <v>76</v>
      </c>
      <c r="P34" s="29" t="s">
        <v>76</v>
      </c>
      <c r="Q34" s="29" t="s">
        <v>76</v>
      </c>
      <c r="R34" s="29" t="s">
        <v>182</v>
      </c>
      <c r="S34" s="26" t="s">
        <v>183</v>
      </c>
      <c r="T34" s="26" t="s">
        <v>184</v>
      </c>
    </row>
    <row r="35" customFormat="false" ht="19.5" hidden="false" customHeight="true" outlineLevel="0" collapsed="false">
      <c r="A35" s="23" t="s">
        <v>28</v>
      </c>
      <c r="B35" s="23" t="s">
        <v>185</v>
      </c>
      <c r="C35" s="23" t="s">
        <v>177</v>
      </c>
      <c r="D35" s="23" t="s">
        <v>133</v>
      </c>
      <c r="E35" s="39"/>
      <c r="F35" s="31" t="s">
        <v>134</v>
      </c>
      <c r="G35" s="16" t="s">
        <v>69</v>
      </c>
      <c r="H35" s="16" t="s">
        <v>70</v>
      </c>
      <c r="I35" s="16" t="s">
        <v>71</v>
      </c>
      <c r="J35" s="16" t="s">
        <v>72</v>
      </c>
      <c r="K35" s="16" t="s">
        <v>179</v>
      </c>
      <c r="L35" s="16" t="s">
        <v>180</v>
      </c>
      <c r="M35" s="16" t="s">
        <v>181</v>
      </c>
      <c r="N35" s="16" t="s">
        <v>76</v>
      </c>
      <c r="O35" s="16" t="s">
        <v>76</v>
      </c>
      <c r="P35" s="16" t="s">
        <v>76</v>
      </c>
      <c r="Q35" s="16" t="s">
        <v>76</v>
      </c>
      <c r="R35" s="16" t="s">
        <v>182</v>
      </c>
      <c r="S35" s="23" t="s">
        <v>183</v>
      </c>
      <c r="T35" s="23" t="s">
        <v>184</v>
      </c>
    </row>
    <row r="36" customFormat="false" ht="19.5" hidden="false" customHeight="true" outlineLevel="0" collapsed="false">
      <c r="A36" s="26" t="s">
        <v>28</v>
      </c>
      <c r="B36" s="26" t="s">
        <v>186</v>
      </c>
      <c r="C36" s="26" t="s">
        <v>177</v>
      </c>
      <c r="D36" s="26" t="s">
        <v>140</v>
      </c>
      <c r="E36" s="59"/>
      <c r="F36" s="60" t="s">
        <v>187</v>
      </c>
      <c r="G36" s="29" t="s">
        <v>69</v>
      </c>
      <c r="H36" s="29" t="s">
        <v>70</v>
      </c>
      <c r="I36" s="29" t="s">
        <v>71</v>
      </c>
      <c r="J36" s="29" t="s">
        <v>72</v>
      </c>
      <c r="K36" s="29" t="s">
        <v>179</v>
      </c>
      <c r="L36" s="29" t="s">
        <v>180</v>
      </c>
      <c r="M36" s="29" t="s">
        <v>181</v>
      </c>
      <c r="N36" s="29" t="s">
        <v>76</v>
      </c>
      <c r="O36" s="29" t="s">
        <v>76</v>
      </c>
      <c r="P36" s="29" t="s">
        <v>76</v>
      </c>
      <c r="Q36" s="29" t="s">
        <v>76</v>
      </c>
      <c r="R36" s="29" t="s">
        <v>182</v>
      </c>
      <c r="S36" s="26" t="s">
        <v>183</v>
      </c>
      <c r="T36" s="26" t="s">
        <v>184</v>
      </c>
    </row>
    <row r="37" customFormat="false" ht="19.5" hidden="false" customHeight="true" outlineLevel="0" collapsed="false">
      <c r="A37" s="23" t="s">
        <v>28</v>
      </c>
      <c r="B37" s="23" t="s">
        <v>188</v>
      </c>
      <c r="C37" s="23" t="s">
        <v>177</v>
      </c>
      <c r="D37" s="23" t="s">
        <v>189</v>
      </c>
      <c r="E37" s="32"/>
      <c r="F37" s="33" t="s">
        <v>90</v>
      </c>
      <c r="G37" s="16" t="s">
        <v>69</v>
      </c>
      <c r="H37" s="16" t="s">
        <v>70</v>
      </c>
      <c r="I37" s="16" t="s">
        <v>71</v>
      </c>
      <c r="J37" s="16" t="s">
        <v>72</v>
      </c>
      <c r="K37" s="16" t="s">
        <v>179</v>
      </c>
      <c r="L37" s="16" t="s">
        <v>180</v>
      </c>
      <c r="M37" s="16" t="s">
        <v>181</v>
      </c>
      <c r="N37" s="16" t="s">
        <v>76</v>
      </c>
      <c r="O37" s="16" t="s">
        <v>76</v>
      </c>
      <c r="P37" s="16" t="s">
        <v>76</v>
      </c>
      <c r="Q37" s="16" t="s">
        <v>76</v>
      </c>
      <c r="R37" s="16" t="s">
        <v>91</v>
      </c>
      <c r="S37" s="23" t="s">
        <v>190</v>
      </c>
      <c r="T37" s="23" t="s">
        <v>191</v>
      </c>
    </row>
    <row r="38" customFormat="false" ht="19.5" hidden="false" customHeight="true" outlineLevel="0" collapsed="false">
      <c r="A38" s="26" t="s">
        <v>28</v>
      </c>
      <c r="B38" s="26" t="s">
        <v>192</v>
      </c>
      <c r="C38" s="26" t="s">
        <v>177</v>
      </c>
      <c r="D38" s="26" t="s">
        <v>193</v>
      </c>
      <c r="E38" s="61"/>
      <c r="F38" s="62" t="s">
        <v>194</v>
      </c>
      <c r="G38" s="29" t="s">
        <v>69</v>
      </c>
      <c r="H38" s="29" t="s">
        <v>70</v>
      </c>
      <c r="I38" s="29" t="s">
        <v>71</v>
      </c>
      <c r="J38" s="29" t="s">
        <v>72</v>
      </c>
      <c r="K38" s="29" t="s">
        <v>179</v>
      </c>
      <c r="L38" s="29" t="s">
        <v>180</v>
      </c>
      <c r="M38" s="29" t="s">
        <v>181</v>
      </c>
      <c r="N38" s="29" t="s">
        <v>76</v>
      </c>
      <c r="O38" s="29" t="s">
        <v>76</v>
      </c>
      <c r="P38" s="29" t="s">
        <v>76</v>
      </c>
      <c r="Q38" s="29" t="s">
        <v>76</v>
      </c>
      <c r="R38" s="29" t="s">
        <v>182</v>
      </c>
      <c r="S38" s="26" t="s">
        <v>183</v>
      </c>
      <c r="T38" s="26" t="s">
        <v>184</v>
      </c>
    </row>
    <row r="39" customFormat="false" ht="19.5" hidden="false" customHeight="true" outlineLevel="0" collapsed="false">
      <c r="A39" s="23" t="s">
        <v>28</v>
      </c>
      <c r="B39" s="23" t="s">
        <v>195</v>
      </c>
      <c r="C39" s="23" t="s">
        <v>177</v>
      </c>
      <c r="D39" s="23" t="s">
        <v>89</v>
      </c>
      <c r="E39" s="32"/>
      <c r="F39" s="63" t="s">
        <v>196</v>
      </c>
      <c r="G39" s="16" t="s">
        <v>69</v>
      </c>
      <c r="H39" s="16" t="s">
        <v>70</v>
      </c>
      <c r="I39" s="16" t="s">
        <v>71</v>
      </c>
      <c r="J39" s="16" t="s">
        <v>72</v>
      </c>
      <c r="K39" s="16" t="s">
        <v>179</v>
      </c>
      <c r="L39" s="16" t="s">
        <v>180</v>
      </c>
      <c r="M39" s="16" t="s">
        <v>181</v>
      </c>
      <c r="N39" s="16" t="s">
        <v>76</v>
      </c>
      <c r="O39" s="16" t="s">
        <v>76</v>
      </c>
      <c r="P39" s="16" t="s">
        <v>76</v>
      </c>
      <c r="Q39" s="16" t="s">
        <v>76</v>
      </c>
      <c r="R39" s="16" t="s">
        <v>182</v>
      </c>
      <c r="S39" s="23" t="s">
        <v>183</v>
      </c>
      <c r="T39" s="23" t="s">
        <v>184</v>
      </c>
    </row>
    <row r="40" customFormat="false" ht="19.5" hidden="false" customHeight="true" outlineLevel="0" collapsed="false">
      <c r="A40" s="26" t="s">
        <v>28</v>
      </c>
      <c r="B40" s="26" t="s">
        <v>197</v>
      </c>
      <c r="C40" s="26" t="s">
        <v>177</v>
      </c>
      <c r="D40" s="26" t="s">
        <v>198</v>
      </c>
      <c r="E40" s="64"/>
      <c r="F40" s="65" t="s">
        <v>199</v>
      </c>
      <c r="G40" s="29" t="s">
        <v>69</v>
      </c>
      <c r="H40" s="29" t="s">
        <v>70</v>
      </c>
      <c r="I40" s="29" t="s">
        <v>71</v>
      </c>
      <c r="J40" s="29" t="s">
        <v>72</v>
      </c>
      <c r="K40" s="29" t="s">
        <v>179</v>
      </c>
      <c r="L40" s="29" t="s">
        <v>180</v>
      </c>
      <c r="M40" s="29" t="s">
        <v>181</v>
      </c>
      <c r="N40" s="29" t="s">
        <v>76</v>
      </c>
      <c r="O40" s="29" t="s">
        <v>76</v>
      </c>
      <c r="P40" s="29" t="s">
        <v>76</v>
      </c>
      <c r="Q40" s="29" t="s">
        <v>76</v>
      </c>
      <c r="R40" s="29" t="s">
        <v>182</v>
      </c>
      <c r="S40" s="26" t="s">
        <v>183</v>
      </c>
      <c r="T40" s="26" t="s">
        <v>184</v>
      </c>
    </row>
    <row r="41" customFormat="false" ht="19.5" hidden="false" customHeight="true" outlineLevel="0" collapsed="false">
      <c r="A41" s="23" t="s">
        <v>28</v>
      </c>
      <c r="B41" s="23" t="s">
        <v>200</v>
      </c>
      <c r="C41" s="23" t="s">
        <v>177</v>
      </c>
      <c r="D41" s="23" t="s">
        <v>145</v>
      </c>
      <c r="E41" s="66"/>
      <c r="F41" s="67" t="s">
        <v>201</v>
      </c>
      <c r="G41" s="16" t="s">
        <v>69</v>
      </c>
      <c r="H41" s="16" t="s">
        <v>70</v>
      </c>
      <c r="I41" s="16" t="s">
        <v>71</v>
      </c>
      <c r="J41" s="16" t="s">
        <v>72</v>
      </c>
      <c r="K41" s="16" t="s">
        <v>179</v>
      </c>
      <c r="L41" s="16" t="s">
        <v>180</v>
      </c>
      <c r="M41" s="16" t="s">
        <v>181</v>
      </c>
      <c r="N41" s="16" t="s">
        <v>76</v>
      </c>
      <c r="O41" s="16" t="s">
        <v>76</v>
      </c>
      <c r="P41" s="16" t="s">
        <v>76</v>
      </c>
      <c r="Q41" s="16" t="s">
        <v>76</v>
      </c>
      <c r="R41" s="16" t="s">
        <v>182</v>
      </c>
      <c r="S41" s="23" t="s">
        <v>183</v>
      </c>
      <c r="T41" s="23" t="s">
        <v>184</v>
      </c>
    </row>
    <row r="42" customFormat="false" ht="19.5" hidden="false" customHeight="true" outlineLevel="0" collapsed="false">
      <c r="A42" s="26" t="s">
        <v>28</v>
      </c>
      <c r="B42" s="26" t="s">
        <v>202</v>
      </c>
      <c r="C42" s="26" t="s">
        <v>177</v>
      </c>
      <c r="D42" s="26" t="s">
        <v>168</v>
      </c>
      <c r="E42" s="68"/>
      <c r="F42" s="69" t="s">
        <v>203</v>
      </c>
      <c r="G42" s="29" t="s">
        <v>69</v>
      </c>
      <c r="H42" s="29" t="s">
        <v>70</v>
      </c>
      <c r="I42" s="29" t="s">
        <v>71</v>
      </c>
      <c r="J42" s="29" t="s">
        <v>72</v>
      </c>
      <c r="K42" s="29" t="s">
        <v>179</v>
      </c>
      <c r="L42" s="29" t="s">
        <v>180</v>
      </c>
      <c r="M42" s="29" t="s">
        <v>181</v>
      </c>
      <c r="N42" s="29" t="s">
        <v>76</v>
      </c>
      <c r="O42" s="29" t="s">
        <v>76</v>
      </c>
      <c r="P42" s="29" t="s">
        <v>76</v>
      </c>
      <c r="Q42" s="29" t="s">
        <v>76</v>
      </c>
      <c r="R42" s="29" t="s">
        <v>182</v>
      </c>
      <c r="S42" s="26" t="s">
        <v>183</v>
      </c>
      <c r="T42" s="26" t="s">
        <v>184</v>
      </c>
    </row>
    <row r="43" customFormat="false" ht="19.5" hidden="false" customHeight="true" outlineLevel="0" collapsed="false">
      <c r="A43" s="23" t="s">
        <v>28</v>
      </c>
      <c r="B43" s="23" t="s">
        <v>204</v>
      </c>
      <c r="C43" s="23" t="s">
        <v>177</v>
      </c>
      <c r="D43" s="23" t="s">
        <v>205</v>
      </c>
      <c r="E43" s="70"/>
      <c r="F43" s="71" t="s">
        <v>206</v>
      </c>
      <c r="G43" s="16" t="s">
        <v>69</v>
      </c>
      <c r="H43" s="16" t="s">
        <v>70</v>
      </c>
      <c r="I43" s="16" t="s">
        <v>71</v>
      </c>
      <c r="J43" s="16" t="s">
        <v>72</v>
      </c>
      <c r="K43" s="16" t="s">
        <v>179</v>
      </c>
      <c r="L43" s="16" t="s">
        <v>180</v>
      </c>
      <c r="M43" s="16" t="s">
        <v>181</v>
      </c>
      <c r="N43" s="16" t="s">
        <v>76</v>
      </c>
      <c r="O43" s="16" t="s">
        <v>76</v>
      </c>
      <c r="P43" s="16" t="s">
        <v>76</v>
      </c>
      <c r="Q43" s="16" t="s">
        <v>76</v>
      </c>
      <c r="R43" s="16" t="s">
        <v>182</v>
      </c>
      <c r="S43" s="23" t="s">
        <v>183</v>
      </c>
      <c r="T43" s="23" t="s">
        <v>184</v>
      </c>
    </row>
    <row r="44" customFormat="false" ht="19.5" hidden="false" customHeight="true" outlineLevel="0" collapsed="false">
      <c r="A44" s="26" t="s">
        <v>28</v>
      </c>
      <c r="B44" s="26" t="s">
        <v>207</v>
      </c>
      <c r="C44" s="26" t="s">
        <v>177</v>
      </c>
      <c r="D44" s="26" t="s">
        <v>95</v>
      </c>
      <c r="E44" s="34"/>
      <c r="F44" s="35" t="s">
        <v>148</v>
      </c>
      <c r="G44" s="29" t="s">
        <v>69</v>
      </c>
      <c r="H44" s="29" t="s">
        <v>70</v>
      </c>
      <c r="I44" s="29" t="s">
        <v>71</v>
      </c>
      <c r="J44" s="29" t="s">
        <v>72</v>
      </c>
      <c r="K44" s="29" t="s">
        <v>179</v>
      </c>
      <c r="L44" s="29" t="s">
        <v>180</v>
      </c>
      <c r="M44" s="29" t="s">
        <v>181</v>
      </c>
      <c r="N44" s="29" t="s">
        <v>76</v>
      </c>
      <c r="O44" s="29" t="s">
        <v>76</v>
      </c>
      <c r="P44" s="29" t="s">
        <v>76</v>
      </c>
      <c r="Q44" s="29" t="s">
        <v>76</v>
      </c>
      <c r="R44" s="29" t="s">
        <v>182</v>
      </c>
      <c r="S44" s="26" t="s">
        <v>183</v>
      </c>
      <c r="T44" s="26" t="s">
        <v>184</v>
      </c>
    </row>
    <row r="45" customFormat="false" ht="19.5" hidden="false" customHeight="true" outlineLevel="0" collapsed="false">
      <c r="A45" s="23" t="s">
        <v>28</v>
      </c>
      <c r="B45" s="23" t="s">
        <v>208</v>
      </c>
      <c r="C45" s="23" t="s">
        <v>177</v>
      </c>
      <c r="D45" s="23" t="s">
        <v>209</v>
      </c>
      <c r="E45" s="72"/>
      <c r="F45" s="73" t="s">
        <v>210</v>
      </c>
      <c r="G45" s="16" t="s">
        <v>69</v>
      </c>
      <c r="H45" s="16" t="s">
        <v>70</v>
      </c>
      <c r="I45" s="16" t="s">
        <v>71</v>
      </c>
      <c r="J45" s="16" t="s">
        <v>72</v>
      </c>
      <c r="K45" s="16" t="s">
        <v>179</v>
      </c>
      <c r="L45" s="16" t="s">
        <v>180</v>
      </c>
      <c r="M45" s="16" t="s">
        <v>181</v>
      </c>
      <c r="N45" s="16" t="s">
        <v>76</v>
      </c>
      <c r="O45" s="16" t="s">
        <v>76</v>
      </c>
      <c r="P45" s="16" t="s">
        <v>76</v>
      </c>
      <c r="Q45" s="16" t="s">
        <v>76</v>
      </c>
      <c r="R45" s="16" t="s">
        <v>182</v>
      </c>
      <c r="S45" s="23" t="s">
        <v>183</v>
      </c>
      <c r="T45" s="23" t="s">
        <v>184</v>
      </c>
    </row>
    <row r="46" customFormat="false" ht="19.5" hidden="false" customHeight="true" outlineLevel="0" collapsed="false">
      <c r="A46" s="26" t="s">
        <v>28</v>
      </c>
      <c r="B46" s="26" t="s">
        <v>211</v>
      </c>
      <c r="C46" s="26" t="s">
        <v>177</v>
      </c>
      <c r="D46" s="26" t="s">
        <v>212</v>
      </c>
      <c r="E46" s="74"/>
      <c r="F46" s="75" t="s">
        <v>213</v>
      </c>
      <c r="G46" s="29" t="s">
        <v>69</v>
      </c>
      <c r="H46" s="29" t="s">
        <v>70</v>
      </c>
      <c r="I46" s="29" t="s">
        <v>71</v>
      </c>
      <c r="J46" s="29" t="s">
        <v>72</v>
      </c>
      <c r="K46" s="29" t="s">
        <v>179</v>
      </c>
      <c r="L46" s="29" t="s">
        <v>180</v>
      </c>
      <c r="M46" s="29" t="s">
        <v>181</v>
      </c>
      <c r="N46" s="29" t="s">
        <v>76</v>
      </c>
      <c r="O46" s="29" t="s">
        <v>76</v>
      </c>
      <c r="P46" s="29" t="s">
        <v>76</v>
      </c>
      <c r="Q46" s="29" t="s">
        <v>76</v>
      </c>
      <c r="R46" s="29" t="s">
        <v>182</v>
      </c>
      <c r="S46" s="26" t="s">
        <v>183</v>
      </c>
      <c r="T46" s="26" t="s">
        <v>184</v>
      </c>
    </row>
    <row r="47" customFormat="false" ht="19.5" hidden="false" customHeight="true" outlineLevel="0" collapsed="false">
      <c r="A47" s="23" t="s">
        <v>28</v>
      </c>
      <c r="B47" s="23" t="s">
        <v>214</v>
      </c>
      <c r="C47" s="23" t="s">
        <v>177</v>
      </c>
      <c r="D47" s="23" t="s">
        <v>150</v>
      </c>
      <c r="E47" s="44"/>
      <c r="F47" s="76" t="s">
        <v>215</v>
      </c>
      <c r="G47" s="16" t="s">
        <v>69</v>
      </c>
      <c r="H47" s="16" t="s">
        <v>70</v>
      </c>
      <c r="I47" s="16" t="s">
        <v>71</v>
      </c>
      <c r="J47" s="16" t="s">
        <v>72</v>
      </c>
      <c r="K47" s="16" t="s">
        <v>179</v>
      </c>
      <c r="L47" s="16" t="s">
        <v>180</v>
      </c>
      <c r="M47" s="16" t="s">
        <v>181</v>
      </c>
      <c r="N47" s="16" t="s">
        <v>76</v>
      </c>
      <c r="O47" s="16" t="s">
        <v>76</v>
      </c>
      <c r="P47" s="16" t="s">
        <v>76</v>
      </c>
      <c r="Q47" s="16" t="s">
        <v>76</v>
      </c>
      <c r="R47" s="16" t="s">
        <v>182</v>
      </c>
      <c r="S47" s="23" t="s">
        <v>183</v>
      </c>
      <c r="T47" s="23" t="s">
        <v>184</v>
      </c>
    </row>
    <row r="48" customFormat="false" ht="19.5" hidden="false" customHeight="true" outlineLevel="0" collapsed="false">
      <c r="A48" s="26" t="s">
        <v>28</v>
      </c>
      <c r="B48" s="26" t="s">
        <v>216</v>
      </c>
      <c r="C48" s="26" t="s">
        <v>177</v>
      </c>
      <c r="D48" s="26" t="s">
        <v>217</v>
      </c>
      <c r="E48" s="77"/>
      <c r="F48" s="78" t="s">
        <v>218</v>
      </c>
      <c r="G48" s="29" t="s">
        <v>69</v>
      </c>
      <c r="H48" s="29" t="s">
        <v>70</v>
      </c>
      <c r="I48" s="29" t="s">
        <v>71</v>
      </c>
      <c r="J48" s="29" t="s">
        <v>72</v>
      </c>
      <c r="K48" s="29" t="s">
        <v>179</v>
      </c>
      <c r="L48" s="29" t="s">
        <v>180</v>
      </c>
      <c r="M48" s="29" t="s">
        <v>181</v>
      </c>
      <c r="N48" s="29" t="s">
        <v>76</v>
      </c>
      <c r="O48" s="29" t="s">
        <v>76</v>
      </c>
      <c r="P48" s="29" t="s">
        <v>76</v>
      </c>
      <c r="Q48" s="29" t="s">
        <v>76</v>
      </c>
      <c r="R48" s="29" t="s">
        <v>182</v>
      </c>
      <c r="S48" s="26" t="s">
        <v>183</v>
      </c>
      <c r="T48" s="26" t="s">
        <v>219</v>
      </c>
    </row>
    <row r="49" customFormat="false" ht="19.5" hidden="false" customHeight="true" outlineLevel="0" collapsed="false">
      <c r="A49" s="23" t="s">
        <v>28</v>
      </c>
      <c r="B49" s="23" t="s">
        <v>220</v>
      </c>
      <c r="C49" s="23" t="s">
        <v>177</v>
      </c>
      <c r="D49" s="23" t="s">
        <v>98</v>
      </c>
      <c r="E49" s="16"/>
      <c r="F49" s="36" t="s">
        <v>99</v>
      </c>
      <c r="G49" s="16" t="s">
        <v>69</v>
      </c>
      <c r="H49" s="16" t="s">
        <v>70</v>
      </c>
      <c r="I49" s="16" t="s">
        <v>71</v>
      </c>
      <c r="J49" s="16" t="s">
        <v>72</v>
      </c>
      <c r="K49" s="16" t="s">
        <v>179</v>
      </c>
      <c r="L49" s="16" t="s">
        <v>180</v>
      </c>
      <c r="M49" s="16" t="s">
        <v>181</v>
      </c>
      <c r="N49" s="16" t="s">
        <v>76</v>
      </c>
      <c r="O49" s="16" t="s">
        <v>76</v>
      </c>
      <c r="P49" s="16" t="s">
        <v>76</v>
      </c>
      <c r="Q49" s="16" t="s">
        <v>76</v>
      </c>
      <c r="R49" s="16" t="s">
        <v>182</v>
      </c>
      <c r="S49" s="23" t="s">
        <v>183</v>
      </c>
      <c r="T49" s="23" t="s">
        <v>184</v>
      </c>
    </row>
    <row r="50" customFormat="false" ht="19.5" hidden="false" customHeight="true" outlineLevel="0" collapsed="false">
      <c r="A50" s="26" t="s">
        <v>28</v>
      </c>
      <c r="B50" s="26" t="s">
        <v>221</v>
      </c>
      <c r="C50" s="26" t="s">
        <v>177</v>
      </c>
      <c r="D50" s="26" t="s">
        <v>222</v>
      </c>
      <c r="E50" s="79"/>
      <c r="F50" s="80" t="s">
        <v>223</v>
      </c>
      <c r="G50" s="29" t="s">
        <v>69</v>
      </c>
      <c r="H50" s="29" t="s">
        <v>70</v>
      </c>
      <c r="I50" s="29" t="s">
        <v>71</v>
      </c>
      <c r="J50" s="29" t="s">
        <v>72</v>
      </c>
      <c r="K50" s="29" t="s">
        <v>179</v>
      </c>
      <c r="L50" s="29" t="s">
        <v>180</v>
      </c>
      <c r="M50" s="29" t="s">
        <v>181</v>
      </c>
      <c r="N50" s="29" t="s">
        <v>76</v>
      </c>
      <c r="O50" s="29" t="s">
        <v>76</v>
      </c>
      <c r="P50" s="29" t="s">
        <v>76</v>
      </c>
      <c r="Q50" s="29" t="s">
        <v>76</v>
      </c>
      <c r="R50" s="29" t="s">
        <v>182</v>
      </c>
      <c r="S50" s="26" t="s">
        <v>183</v>
      </c>
      <c r="T50" s="26" t="s">
        <v>184</v>
      </c>
    </row>
    <row r="51" customFormat="false" ht="19.5" hidden="false" customHeight="true" outlineLevel="0" collapsed="false">
      <c r="A51" s="23" t="s">
        <v>28</v>
      </c>
      <c r="B51" s="23" t="s">
        <v>224</v>
      </c>
      <c r="C51" s="23" t="s">
        <v>177</v>
      </c>
      <c r="D51" s="23" t="s">
        <v>157</v>
      </c>
      <c r="E51" s="81"/>
      <c r="F51" s="82" t="s">
        <v>225</v>
      </c>
      <c r="G51" s="16" t="s">
        <v>69</v>
      </c>
      <c r="H51" s="16" t="s">
        <v>70</v>
      </c>
      <c r="I51" s="16" t="s">
        <v>71</v>
      </c>
      <c r="J51" s="16" t="s">
        <v>72</v>
      </c>
      <c r="K51" s="16" t="s">
        <v>179</v>
      </c>
      <c r="L51" s="16" t="s">
        <v>180</v>
      </c>
      <c r="M51" s="16" t="s">
        <v>181</v>
      </c>
      <c r="N51" s="16" t="s">
        <v>76</v>
      </c>
      <c r="O51" s="16" t="s">
        <v>76</v>
      </c>
      <c r="P51" s="16" t="s">
        <v>76</v>
      </c>
      <c r="Q51" s="16" t="s">
        <v>76</v>
      </c>
      <c r="R51" s="16" t="s">
        <v>182</v>
      </c>
      <c r="S51" s="23" t="s">
        <v>183</v>
      </c>
      <c r="T51" s="23" t="s">
        <v>184</v>
      </c>
    </row>
    <row r="52" customFormat="false" ht="19.5" hidden="false" customHeight="true" outlineLevel="0" collapsed="false">
      <c r="A52" s="26" t="s">
        <v>29</v>
      </c>
      <c r="B52" s="26" t="s">
        <v>226</v>
      </c>
      <c r="C52" s="26" t="s">
        <v>227</v>
      </c>
      <c r="D52" s="26" t="s">
        <v>125</v>
      </c>
      <c r="E52" s="32"/>
      <c r="F52" s="33" t="s">
        <v>90</v>
      </c>
      <c r="G52" s="29" t="s">
        <v>69</v>
      </c>
      <c r="H52" s="29" t="s">
        <v>70</v>
      </c>
      <c r="I52" s="29" t="s">
        <v>71</v>
      </c>
      <c r="J52" s="29" t="s">
        <v>72</v>
      </c>
      <c r="K52" s="29" t="s">
        <v>179</v>
      </c>
      <c r="L52" s="29" t="s">
        <v>180</v>
      </c>
      <c r="M52" s="29" t="s">
        <v>181</v>
      </c>
      <c r="N52" s="29" t="s">
        <v>76</v>
      </c>
      <c r="O52" s="29" t="s">
        <v>76</v>
      </c>
      <c r="P52" s="29" t="s">
        <v>76</v>
      </c>
      <c r="Q52" s="29" t="s">
        <v>76</v>
      </c>
      <c r="R52" s="29" t="s">
        <v>91</v>
      </c>
      <c r="S52" s="26" t="s">
        <v>228</v>
      </c>
      <c r="T52" s="26" t="s">
        <v>229</v>
      </c>
    </row>
    <row r="53" customFormat="false" ht="19.5" hidden="false" customHeight="true" outlineLevel="0" collapsed="false">
      <c r="A53" s="23" t="s">
        <v>29</v>
      </c>
      <c r="B53" s="23" t="s">
        <v>230</v>
      </c>
      <c r="C53" s="23" t="s">
        <v>227</v>
      </c>
      <c r="D53" s="23" t="s">
        <v>133</v>
      </c>
      <c r="E53" s="32"/>
      <c r="F53" s="33" t="s">
        <v>90</v>
      </c>
      <c r="G53" s="16" t="s">
        <v>69</v>
      </c>
      <c r="H53" s="16" t="s">
        <v>70</v>
      </c>
      <c r="I53" s="16" t="s">
        <v>71</v>
      </c>
      <c r="J53" s="16" t="s">
        <v>72</v>
      </c>
      <c r="K53" s="16" t="s">
        <v>179</v>
      </c>
      <c r="L53" s="16" t="s">
        <v>180</v>
      </c>
      <c r="M53" s="16" t="s">
        <v>181</v>
      </c>
      <c r="N53" s="16" t="s">
        <v>76</v>
      </c>
      <c r="O53" s="16" t="s">
        <v>76</v>
      </c>
      <c r="P53" s="16" t="s">
        <v>76</v>
      </c>
      <c r="Q53" s="16" t="s">
        <v>76</v>
      </c>
      <c r="R53" s="16" t="s">
        <v>91</v>
      </c>
      <c r="S53" s="23" t="s">
        <v>228</v>
      </c>
      <c r="T53" s="23" t="s">
        <v>229</v>
      </c>
    </row>
    <row r="54" customFormat="false" ht="19.5" hidden="false" customHeight="true" outlineLevel="0" collapsed="false">
      <c r="A54" s="26" t="s">
        <v>29</v>
      </c>
      <c r="B54" s="26" t="s">
        <v>231</v>
      </c>
      <c r="C54" s="26" t="s">
        <v>227</v>
      </c>
      <c r="D54" s="26" t="s">
        <v>140</v>
      </c>
      <c r="E54" s="32"/>
      <c r="F54" s="33" t="s">
        <v>90</v>
      </c>
      <c r="G54" s="29" t="s">
        <v>69</v>
      </c>
      <c r="H54" s="29" t="s">
        <v>70</v>
      </c>
      <c r="I54" s="29" t="s">
        <v>71</v>
      </c>
      <c r="J54" s="29" t="s">
        <v>72</v>
      </c>
      <c r="K54" s="29" t="s">
        <v>179</v>
      </c>
      <c r="L54" s="29" t="s">
        <v>180</v>
      </c>
      <c r="M54" s="29" t="s">
        <v>181</v>
      </c>
      <c r="N54" s="29" t="s">
        <v>76</v>
      </c>
      <c r="O54" s="29" t="s">
        <v>76</v>
      </c>
      <c r="P54" s="29" t="s">
        <v>76</v>
      </c>
      <c r="Q54" s="29" t="s">
        <v>76</v>
      </c>
      <c r="R54" s="29" t="s">
        <v>91</v>
      </c>
      <c r="S54" s="26" t="s">
        <v>228</v>
      </c>
      <c r="T54" s="26" t="s">
        <v>229</v>
      </c>
    </row>
    <row r="55" customFormat="false" ht="19.5" hidden="false" customHeight="true" outlineLevel="0" collapsed="false">
      <c r="A55" s="23" t="s">
        <v>29</v>
      </c>
      <c r="B55" s="23" t="s">
        <v>232</v>
      </c>
      <c r="C55" s="23" t="s">
        <v>227</v>
      </c>
      <c r="D55" s="23" t="s">
        <v>193</v>
      </c>
      <c r="E55" s="32"/>
      <c r="F55" s="33" t="s">
        <v>90</v>
      </c>
      <c r="G55" s="16" t="s">
        <v>69</v>
      </c>
      <c r="H55" s="16" t="s">
        <v>70</v>
      </c>
      <c r="I55" s="16" t="s">
        <v>71</v>
      </c>
      <c r="J55" s="16" t="s">
        <v>72</v>
      </c>
      <c r="K55" s="16" t="s">
        <v>179</v>
      </c>
      <c r="L55" s="16" t="s">
        <v>180</v>
      </c>
      <c r="M55" s="16" t="s">
        <v>181</v>
      </c>
      <c r="N55" s="16" t="s">
        <v>76</v>
      </c>
      <c r="O55" s="16" t="s">
        <v>76</v>
      </c>
      <c r="P55" s="16" t="s">
        <v>76</v>
      </c>
      <c r="Q55" s="16" t="s">
        <v>76</v>
      </c>
      <c r="R55" s="16" t="s">
        <v>91</v>
      </c>
      <c r="S55" s="23" t="s">
        <v>228</v>
      </c>
      <c r="T55" s="23" t="s">
        <v>229</v>
      </c>
    </row>
    <row r="56" customFormat="false" ht="19.5" hidden="false" customHeight="true" outlineLevel="0" collapsed="false">
      <c r="A56" s="26" t="s">
        <v>29</v>
      </c>
      <c r="B56" s="26" t="s">
        <v>233</v>
      </c>
      <c r="C56" s="26" t="s">
        <v>227</v>
      </c>
      <c r="D56" s="26" t="s">
        <v>89</v>
      </c>
      <c r="E56" s="32"/>
      <c r="F56" s="33" t="s">
        <v>90</v>
      </c>
      <c r="G56" s="29" t="s">
        <v>69</v>
      </c>
      <c r="H56" s="29" t="s">
        <v>70</v>
      </c>
      <c r="I56" s="29" t="s">
        <v>71</v>
      </c>
      <c r="J56" s="29" t="s">
        <v>72</v>
      </c>
      <c r="K56" s="29" t="s">
        <v>179</v>
      </c>
      <c r="L56" s="29" t="s">
        <v>180</v>
      </c>
      <c r="M56" s="29" t="s">
        <v>181</v>
      </c>
      <c r="N56" s="29" t="s">
        <v>76</v>
      </c>
      <c r="O56" s="29" t="s">
        <v>76</v>
      </c>
      <c r="P56" s="29" t="s">
        <v>76</v>
      </c>
      <c r="Q56" s="29" t="s">
        <v>76</v>
      </c>
      <c r="R56" s="29" t="s">
        <v>91</v>
      </c>
      <c r="S56" s="26" t="s">
        <v>228</v>
      </c>
      <c r="T56" s="26" t="s">
        <v>229</v>
      </c>
    </row>
    <row r="57" customFormat="false" ht="19.5" hidden="false" customHeight="true" outlineLevel="0" collapsed="false">
      <c r="A57" s="23" t="s">
        <v>29</v>
      </c>
      <c r="B57" s="23" t="s">
        <v>234</v>
      </c>
      <c r="C57" s="23" t="s">
        <v>227</v>
      </c>
      <c r="D57" s="23" t="s">
        <v>198</v>
      </c>
      <c r="E57" s="32"/>
      <c r="F57" s="33" t="s">
        <v>90</v>
      </c>
      <c r="G57" s="16" t="s">
        <v>69</v>
      </c>
      <c r="H57" s="16" t="s">
        <v>70</v>
      </c>
      <c r="I57" s="16" t="s">
        <v>71</v>
      </c>
      <c r="J57" s="16" t="s">
        <v>72</v>
      </c>
      <c r="K57" s="16" t="s">
        <v>179</v>
      </c>
      <c r="L57" s="16" t="s">
        <v>180</v>
      </c>
      <c r="M57" s="16" t="s">
        <v>181</v>
      </c>
      <c r="N57" s="16" t="s">
        <v>76</v>
      </c>
      <c r="O57" s="16" t="s">
        <v>76</v>
      </c>
      <c r="P57" s="16" t="s">
        <v>76</v>
      </c>
      <c r="Q57" s="16" t="s">
        <v>76</v>
      </c>
      <c r="R57" s="16" t="s">
        <v>91</v>
      </c>
      <c r="S57" s="23" t="s">
        <v>228</v>
      </c>
      <c r="T57" s="23" t="s">
        <v>229</v>
      </c>
    </row>
    <row r="58" customFormat="false" ht="19.5" hidden="false" customHeight="true" outlineLevel="0" collapsed="false">
      <c r="A58" s="26" t="s">
        <v>29</v>
      </c>
      <c r="B58" s="26" t="s">
        <v>235</v>
      </c>
      <c r="C58" s="26" t="s">
        <v>227</v>
      </c>
      <c r="D58" s="26" t="s">
        <v>145</v>
      </c>
      <c r="E58" s="32"/>
      <c r="F58" s="33" t="s">
        <v>90</v>
      </c>
      <c r="G58" s="29" t="s">
        <v>69</v>
      </c>
      <c r="H58" s="29" t="s">
        <v>70</v>
      </c>
      <c r="I58" s="29" t="s">
        <v>71</v>
      </c>
      <c r="J58" s="29" t="s">
        <v>72</v>
      </c>
      <c r="K58" s="29" t="s">
        <v>179</v>
      </c>
      <c r="L58" s="29" t="s">
        <v>180</v>
      </c>
      <c r="M58" s="29" t="s">
        <v>181</v>
      </c>
      <c r="N58" s="29" t="s">
        <v>76</v>
      </c>
      <c r="O58" s="29" t="s">
        <v>76</v>
      </c>
      <c r="P58" s="29" t="s">
        <v>76</v>
      </c>
      <c r="Q58" s="29" t="s">
        <v>76</v>
      </c>
      <c r="R58" s="29" t="s">
        <v>91</v>
      </c>
      <c r="S58" s="26" t="s">
        <v>228</v>
      </c>
      <c r="T58" s="26" t="s">
        <v>229</v>
      </c>
    </row>
    <row r="59" customFormat="false" ht="19.5" hidden="false" customHeight="true" outlineLevel="0" collapsed="false">
      <c r="A59" s="23" t="s">
        <v>29</v>
      </c>
      <c r="B59" s="23" t="s">
        <v>236</v>
      </c>
      <c r="C59" s="23" t="s">
        <v>227</v>
      </c>
      <c r="D59" s="23" t="s">
        <v>168</v>
      </c>
      <c r="E59" s="32"/>
      <c r="F59" s="33" t="s">
        <v>90</v>
      </c>
      <c r="G59" s="16" t="s">
        <v>69</v>
      </c>
      <c r="H59" s="16" t="s">
        <v>70</v>
      </c>
      <c r="I59" s="16" t="s">
        <v>71</v>
      </c>
      <c r="J59" s="16" t="s">
        <v>72</v>
      </c>
      <c r="K59" s="16" t="s">
        <v>179</v>
      </c>
      <c r="L59" s="16" t="s">
        <v>180</v>
      </c>
      <c r="M59" s="16" t="s">
        <v>181</v>
      </c>
      <c r="N59" s="16" t="s">
        <v>76</v>
      </c>
      <c r="O59" s="16" t="s">
        <v>76</v>
      </c>
      <c r="P59" s="16" t="s">
        <v>76</v>
      </c>
      <c r="Q59" s="16" t="s">
        <v>76</v>
      </c>
      <c r="R59" s="16" t="s">
        <v>91</v>
      </c>
      <c r="S59" s="23" t="s">
        <v>228</v>
      </c>
      <c r="T59" s="23" t="s">
        <v>229</v>
      </c>
    </row>
    <row r="60" customFormat="false" ht="19.5" hidden="false" customHeight="true" outlineLevel="0" collapsed="false">
      <c r="A60" s="26" t="s">
        <v>29</v>
      </c>
      <c r="B60" s="26" t="s">
        <v>237</v>
      </c>
      <c r="C60" s="26" t="s">
        <v>227</v>
      </c>
      <c r="D60" s="26" t="s">
        <v>205</v>
      </c>
      <c r="E60" s="32"/>
      <c r="F60" s="33" t="s">
        <v>90</v>
      </c>
      <c r="G60" s="29" t="s">
        <v>69</v>
      </c>
      <c r="H60" s="29" t="s">
        <v>70</v>
      </c>
      <c r="I60" s="29" t="s">
        <v>71</v>
      </c>
      <c r="J60" s="29" t="s">
        <v>72</v>
      </c>
      <c r="K60" s="29" t="s">
        <v>179</v>
      </c>
      <c r="L60" s="29" t="s">
        <v>180</v>
      </c>
      <c r="M60" s="29" t="s">
        <v>181</v>
      </c>
      <c r="N60" s="29" t="s">
        <v>76</v>
      </c>
      <c r="O60" s="29" t="s">
        <v>76</v>
      </c>
      <c r="P60" s="29" t="s">
        <v>76</v>
      </c>
      <c r="Q60" s="29" t="s">
        <v>76</v>
      </c>
      <c r="R60" s="29" t="s">
        <v>91</v>
      </c>
      <c r="S60" s="26" t="s">
        <v>228</v>
      </c>
      <c r="T60" s="26" t="s">
        <v>229</v>
      </c>
    </row>
    <row r="61" customFormat="false" ht="19.5" hidden="false" customHeight="true" outlineLevel="0" collapsed="false">
      <c r="A61" s="23" t="s">
        <v>29</v>
      </c>
      <c r="B61" s="23" t="s">
        <v>238</v>
      </c>
      <c r="C61" s="23" t="s">
        <v>227</v>
      </c>
      <c r="D61" s="23" t="s">
        <v>95</v>
      </c>
      <c r="E61" s="32"/>
      <c r="F61" s="33" t="s">
        <v>90</v>
      </c>
      <c r="G61" s="16" t="s">
        <v>69</v>
      </c>
      <c r="H61" s="16" t="s">
        <v>70</v>
      </c>
      <c r="I61" s="16" t="s">
        <v>71</v>
      </c>
      <c r="J61" s="16" t="s">
        <v>72</v>
      </c>
      <c r="K61" s="16" t="s">
        <v>179</v>
      </c>
      <c r="L61" s="16" t="s">
        <v>180</v>
      </c>
      <c r="M61" s="16" t="s">
        <v>181</v>
      </c>
      <c r="N61" s="16" t="s">
        <v>76</v>
      </c>
      <c r="O61" s="16" t="s">
        <v>76</v>
      </c>
      <c r="P61" s="16" t="s">
        <v>76</v>
      </c>
      <c r="Q61" s="16" t="s">
        <v>76</v>
      </c>
      <c r="R61" s="16" t="s">
        <v>91</v>
      </c>
      <c r="S61" s="23" t="s">
        <v>228</v>
      </c>
      <c r="T61" s="23" t="s">
        <v>229</v>
      </c>
    </row>
    <row r="62" customFormat="false" ht="19.5" hidden="false" customHeight="true" outlineLevel="0" collapsed="false">
      <c r="A62" s="26" t="s">
        <v>29</v>
      </c>
      <c r="B62" s="26" t="s">
        <v>239</v>
      </c>
      <c r="C62" s="26" t="s">
        <v>227</v>
      </c>
      <c r="D62" s="26" t="s">
        <v>209</v>
      </c>
      <c r="E62" s="32"/>
      <c r="F62" s="33" t="s">
        <v>90</v>
      </c>
      <c r="G62" s="29" t="s">
        <v>69</v>
      </c>
      <c r="H62" s="29" t="s">
        <v>70</v>
      </c>
      <c r="I62" s="29" t="s">
        <v>71</v>
      </c>
      <c r="J62" s="29" t="s">
        <v>72</v>
      </c>
      <c r="K62" s="29" t="s">
        <v>179</v>
      </c>
      <c r="L62" s="29" t="s">
        <v>180</v>
      </c>
      <c r="M62" s="29" t="s">
        <v>181</v>
      </c>
      <c r="N62" s="29" t="s">
        <v>76</v>
      </c>
      <c r="O62" s="29" t="s">
        <v>76</v>
      </c>
      <c r="P62" s="29" t="s">
        <v>76</v>
      </c>
      <c r="Q62" s="29" t="s">
        <v>76</v>
      </c>
      <c r="R62" s="29" t="s">
        <v>91</v>
      </c>
      <c r="S62" s="26" t="s">
        <v>228</v>
      </c>
      <c r="T62" s="26" t="s">
        <v>229</v>
      </c>
    </row>
    <row r="63" customFormat="false" ht="19.5" hidden="false" customHeight="true" outlineLevel="0" collapsed="false">
      <c r="A63" s="23" t="s">
        <v>29</v>
      </c>
      <c r="B63" s="23" t="s">
        <v>240</v>
      </c>
      <c r="C63" s="23" t="s">
        <v>227</v>
      </c>
      <c r="D63" s="23" t="s">
        <v>212</v>
      </c>
      <c r="E63" s="32"/>
      <c r="F63" s="33" t="s">
        <v>90</v>
      </c>
      <c r="G63" s="16" t="s">
        <v>69</v>
      </c>
      <c r="H63" s="16" t="s">
        <v>70</v>
      </c>
      <c r="I63" s="16" t="s">
        <v>71</v>
      </c>
      <c r="J63" s="16" t="s">
        <v>72</v>
      </c>
      <c r="K63" s="16" t="s">
        <v>179</v>
      </c>
      <c r="L63" s="16" t="s">
        <v>180</v>
      </c>
      <c r="M63" s="16" t="s">
        <v>181</v>
      </c>
      <c r="N63" s="16" t="s">
        <v>76</v>
      </c>
      <c r="O63" s="16" t="s">
        <v>76</v>
      </c>
      <c r="P63" s="16" t="s">
        <v>76</v>
      </c>
      <c r="Q63" s="16" t="s">
        <v>76</v>
      </c>
      <c r="R63" s="16" t="s">
        <v>91</v>
      </c>
      <c r="S63" s="23" t="s">
        <v>228</v>
      </c>
      <c r="T63" s="23" t="s">
        <v>229</v>
      </c>
    </row>
    <row r="64" customFormat="false" ht="19.5" hidden="false" customHeight="true" outlineLevel="0" collapsed="false">
      <c r="A64" s="26" t="s">
        <v>29</v>
      </c>
      <c r="B64" s="26" t="s">
        <v>241</v>
      </c>
      <c r="C64" s="26" t="s">
        <v>227</v>
      </c>
      <c r="D64" s="26" t="s">
        <v>150</v>
      </c>
      <c r="E64" s="32"/>
      <c r="F64" s="33" t="s">
        <v>90</v>
      </c>
      <c r="G64" s="29" t="s">
        <v>69</v>
      </c>
      <c r="H64" s="29" t="s">
        <v>70</v>
      </c>
      <c r="I64" s="29" t="s">
        <v>71</v>
      </c>
      <c r="J64" s="29" t="s">
        <v>72</v>
      </c>
      <c r="K64" s="29" t="s">
        <v>179</v>
      </c>
      <c r="L64" s="29" t="s">
        <v>180</v>
      </c>
      <c r="M64" s="29" t="s">
        <v>181</v>
      </c>
      <c r="N64" s="29" t="s">
        <v>76</v>
      </c>
      <c r="O64" s="29" t="s">
        <v>76</v>
      </c>
      <c r="P64" s="29" t="s">
        <v>76</v>
      </c>
      <c r="Q64" s="29" t="s">
        <v>76</v>
      </c>
      <c r="R64" s="29" t="s">
        <v>91</v>
      </c>
      <c r="S64" s="26" t="s">
        <v>228</v>
      </c>
      <c r="T64" s="26" t="s">
        <v>229</v>
      </c>
    </row>
    <row r="65" customFormat="false" ht="19.5" hidden="false" customHeight="true" outlineLevel="0" collapsed="false">
      <c r="A65" s="23" t="s">
        <v>29</v>
      </c>
      <c r="B65" s="23" t="s">
        <v>242</v>
      </c>
      <c r="C65" s="23" t="s">
        <v>227</v>
      </c>
      <c r="D65" s="23" t="s">
        <v>217</v>
      </c>
      <c r="E65" s="32"/>
      <c r="F65" s="33" t="s">
        <v>90</v>
      </c>
      <c r="G65" s="16" t="s">
        <v>69</v>
      </c>
      <c r="H65" s="16" t="s">
        <v>70</v>
      </c>
      <c r="I65" s="16" t="s">
        <v>71</v>
      </c>
      <c r="J65" s="16" t="s">
        <v>72</v>
      </c>
      <c r="K65" s="16" t="s">
        <v>179</v>
      </c>
      <c r="L65" s="16" t="s">
        <v>180</v>
      </c>
      <c r="M65" s="16" t="s">
        <v>181</v>
      </c>
      <c r="N65" s="16" t="s">
        <v>76</v>
      </c>
      <c r="O65" s="16" t="s">
        <v>76</v>
      </c>
      <c r="P65" s="16" t="s">
        <v>76</v>
      </c>
      <c r="Q65" s="16" t="s">
        <v>76</v>
      </c>
      <c r="R65" s="16" t="s">
        <v>91</v>
      </c>
      <c r="S65" s="23" t="s">
        <v>228</v>
      </c>
      <c r="T65" s="23" t="s">
        <v>229</v>
      </c>
    </row>
    <row r="66" customFormat="false" ht="19.5" hidden="false" customHeight="true" outlineLevel="0" collapsed="false">
      <c r="A66" s="26" t="s">
        <v>29</v>
      </c>
      <c r="B66" s="26" t="s">
        <v>243</v>
      </c>
      <c r="C66" s="26" t="s">
        <v>227</v>
      </c>
      <c r="D66" s="26" t="s">
        <v>98</v>
      </c>
      <c r="E66" s="32"/>
      <c r="F66" s="33" t="s">
        <v>90</v>
      </c>
      <c r="G66" s="29" t="s">
        <v>69</v>
      </c>
      <c r="H66" s="29" t="s">
        <v>70</v>
      </c>
      <c r="I66" s="29" t="s">
        <v>71</v>
      </c>
      <c r="J66" s="29" t="s">
        <v>72</v>
      </c>
      <c r="K66" s="29" t="s">
        <v>179</v>
      </c>
      <c r="L66" s="29" t="s">
        <v>180</v>
      </c>
      <c r="M66" s="29" t="s">
        <v>181</v>
      </c>
      <c r="N66" s="29" t="s">
        <v>76</v>
      </c>
      <c r="O66" s="29" t="s">
        <v>76</v>
      </c>
      <c r="P66" s="29" t="s">
        <v>76</v>
      </c>
      <c r="Q66" s="29" t="s">
        <v>76</v>
      </c>
      <c r="R66" s="29" t="s">
        <v>91</v>
      </c>
      <c r="S66" s="26" t="s">
        <v>228</v>
      </c>
      <c r="T66" s="26" t="s">
        <v>229</v>
      </c>
    </row>
    <row r="67" customFormat="false" ht="19.5" hidden="false" customHeight="true" outlineLevel="0" collapsed="false">
      <c r="A67" s="23" t="s">
        <v>29</v>
      </c>
      <c r="B67" s="23" t="s">
        <v>244</v>
      </c>
      <c r="C67" s="23" t="s">
        <v>227</v>
      </c>
      <c r="D67" s="23" t="s">
        <v>222</v>
      </c>
      <c r="E67" s="32"/>
      <c r="F67" s="33" t="s">
        <v>90</v>
      </c>
      <c r="G67" s="16" t="s">
        <v>69</v>
      </c>
      <c r="H67" s="16" t="s">
        <v>70</v>
      </c>
      <c r="I67" s="16" t="s">
        <v>71</v>
      </c>
      <c r="J67" s="16" t="s">
        <v>72</v>
      </c>
      <c r="K67" s="16" t="s">
        <v>179</v>
      </c>
      <c r="L67" s="16" t="s">
        <v>180</v>
      </c>
      <c r="M67" s="16" t="s">
        <v>181</v>
      </c>
      <c r="N67" s="16" t="s">
        <v>76</v>
      </c>
      <c r="O67" s="16" t="s">
        <v>76</v>
      </c>
      <c r="P67" s="16" t="s">
        <v>76</v>
      </c>
      <c r="Q67" s="16" t="s">
        <v>76</v>
      </c>
      <c r="R67" s="16" t="s">
        <v>91</v>
      </c>
      <c r="S67" s="23" t="s">
        <v>228</v>
      </c>
      <c r="T67" s="23" t="s">
        <v>229</v>
      </c>
    </row>
    <row r="68" customFormat="false" ht="19.5" hidden="false" customHeight="true" outlineLevel="0" collapsed="false">
      <c r="A68" s="26" t="s">
        <v>29</v>
      </c>
      <c r="B68" s="26" t="s">
        <v>245</v>
      </c>
      <c r="C68" s="26" t="s">
        <v>227</v>
      </c>
      <c r="D68" s="26" t="s">
        <v>157</v>
      </c>
      <c r="E68" s="32"/>
      <c r="F68" s="33" t="s">
        <v>90</v>
      </c>
      <c r="G68" s="29" t="s">
        <v>69</v>
      </c>
      <c r="H68" s="29" t="s">
        <v>70</v>
      </c>
      <c r="I68" s="29" t="s">
        <v>71</v>
      </c>
      <c r="J68" s="29" t="s">
        <v>72</v>
      </c>
      <c r="K68" s="29" t="s">
        <v>179</v>
      </c>
      <c r="L68" s="29" t="s">
        <v>180</v>
      </c>
      <c r="M68" s="29" t="s">
        <v>181</v>
      </c>
      <c r="N68" s="29" t="s">
        <v>76</v>
      </c>
      <c r="O68" s="29" t="s">
        <v>76</v>
      </c>
      <c r="P68" s="29" t="s">
        <v>76</v>
      </c>
      <c r="Q68" s="29" t="s">
        <v>76</v>
      </c>
      <c r="R68" s="29" t="s">
        <v>91</v>
      </c>
      <c r="S68" s="26" t="s">
        <v>228</v>
      </c>
      <c r="T68" s="26" t="s">
        <v>229</v>
      </c>
    </row>
    <row r="69" customFormat="false" ht="19.5" hidden="false" customHeight="true" outlineLevel="0" collapsed="false">
      <c r="A69" s="23" t="s">
        <v>30</v>
      </c>
      <c r="B69" s="23" t="s">
        <v>246</v>
      </c>
      <c r="C69" s="23" t="s">
        <v>247</v>
      </c>
      <c r="D69" s="23" t="s">
        <v>248</v>
      </c>
      <c r="E69" s="32"/>
      <c r="F69" s="33" t="s">
        <v>90</v>
      </c>
      <c r="G69" s="16" t="s">
        <v>69</v>
      </c>
      <c r="H69" s="16" t="s">
        <v>126</v>
      </c>
      <c r="I69" s="16" t="s">
        <v>71</v>
      </c>
      <c r="J69" s="16" t="s">
        <v>72</v>
      </c>
      <c r="K69" s="16" t="s">
        <v>249</v>
      </c>
      <c r="L69" s="16" t="s">
        <v>250</v>
      </c>
      <c r="M69" s="16" t="s">
        <v>251</v>
      </c>
      <c r="N69" s="16" t="s">
        <v>76</v>
      </c>
      <c r="O69" s="16" t="s">
        <v>76</v>
      </c>
      <c r="P69" s="16" t="s">
        <v>76</v>
      </c>
      <c r="Q69" s="16" t="s">
        <v>76</v>
      </c>
      <c r="R69" s="16" t="s">
        <v>91</v>
      </c>
      <c r="S69" s="23" t="s">
        <v>252</v>
      </c>
      <c r="T69" s="23" t="s">
        <v>131</v>
      </c>
    </row>
    <row r="70" customFormat="false" ht="19.5" hidden="false" customHeight="true" outlineLevel="0" collapsed="false">
      <c r="A70" s="26" t="s">
        <v>30</v>
      </c>
      <c r="B70" s="26" t="s">
        <v>253</v>
      </c>
      <c r="C70" s="26" t="s">
        <v>247</v>
      </c>
      <c r="D70" s="26" t="s">
        <v>125</v>
      </c>
      <c r="E70" s="83"/>
      <c r="F70" s="58" t="s">
        <v>254</v>
      </c>
      <c r="G70" s="29" t="s">
        <v>69</v>
      </c>
      <c r="H70" s="29" t="s">
        <v>126</v>
      </c>
      <c r="I70" s="29" t="s">
        <v>71</v>
      </c>
      <c r="J70" s="29" t="s">
        <v>72</v>
      </c>
      <c r="K70" s="29" t="s">
        <v>249</v>
      </c>
      <c r="L70" s="29" t="s">
        <v>250</v>
      </c>
      <c r="M70" s="29" t="s">
        <v>251</v>
      </c>
      <c r="N70" s="29" t="s">
        <v>76</v>
      </c>
      <c r="O70" s="29" t="s">
        <v>76</v>
      </c>
      <c r="P70" s="29" t="s">
        <v>76</v>
      </c>
      <c r="Q70" s="29" t="s">
        <v>76</v>
      </c>
      <c r="R70" s="29" t="s">
        <v>78</v>
      </c>
      <c r="S70" s="26" t="s">
        <v>255</v>
      </c>
      <c r="T70" s="26" t="s">
        <v>136</v>
      </c>
    </row>
    <row r="71" customFormat="false" ht="19.5" hidden="false" customHeight="true" outlineLevel="0" collapsed="false">
      <c r="A71" s="23" t="s">
        <v>30</v>
      </c>
      <c r="B71" s="23" t="s">
        <v>256</v>
      </c>
      <c r="C71" s="23" t="s">
        <v>247</v>
      </c>
      <c r="D71" s="23" t="s">
        <v>133</v>
      </c>
      <c r="E71" s="32"/>
      <c r="F71" s="33" t="s">
        <v>90</v>
      </c>
      <c r="G71" s="16" t="s">
        <v>69</v>
      </c>
      <c r="H71" s="16" t="s">
        <v>126</v>
      </c>
      <c r="I71" s="16" t="s">
        <v>71</v>
      </c>
      <c r="J71" s="16" t="s">
        <v>72</v>
      </c>
      <c r="K71" s="16" t="s">
        <v>249</v>
      </c>
      <c r="L71" s="16" t="s">
        <v>250</v>
      </c>
      <c r="M71" s="16" t="s">
        <v>251</v>
      </c>
      <c r="N71" s="16" t="s">
        <v>76</v>
      </c>
      <c r="O71" s="16" t="s">
        <v>76</v>
      </c>
      <c r="P71" s="16" t="s">
        <v>76</v>
      </c>
      <c r="Q71" s="16" t="s">
        <v>76</v>
      </c>
      <c r="R71" s="16" t="s">
        <v>91</v>
      </c>
      <c r="S71" s="23" t="s">
        <v>252</v>
      </c>
      <c r="T71" s="23" t="s">
        <v>131</v>
      </c>
    </row>
    <row r="72" customFormat="false" ht="19.5" hidden="false" customHeight="true" outlineLevel="0" collapsed="false">
      <c r="A72" s="26" t="s">
        <v>30</v>
      </c>
      <c r="B72" s="26" t="s">
        <v>257</v>
      </c>
      <c r="C72" s="26" t="s">
        <v>247</v>
      </c>
      <c r="D72" s="26" t="s">
        <v>258</v>
      </c>
      <c r="E72" s="32"/>
      <c r="F72" s="33" t="s">
        <v>90</v>
      </c>
      <c r="G72" s="29" t="s">
        <v>69</v>
      </c>
      <c r="H72" s="29" t="s">
        <v>126</v>
      </c>
      <c r="I72" s="29" t="s">
        <v>71</v>
      </c>
      <c r="J72" s="29" t="s">
        <v>72</v>
      </c>
      <c r="K72" s="29" t="s">
        <v>249</v>
      </c>
      <c r="L72" s="29" t="s">
        <v>250</v>
      </c>
      <c r="M72" s="29" t="s">
        <v>251</v>
      </c>
      <c r="N72" s="29" t="s">
        <v>76</v>
      </c>
      <c r="O72" s="29" t="s">
        <v>76</v>
      </c>
      <c r="P72" s="29" t="s">
        <v>76</v>
      </c>
      <c r="Q72" s="29" t="s">
        <v>76</v>
      </c>
      <c r="R72" s="29" t="s">
        <v>91</v>
      </c>
      <c r="S72" s="26" t="s">
        <v>252</v>
      </c>
      <c r="T72" s="26" t="s">
        <v>131</v>
      </c>
    </row>
    <row r="73" customFormat="false" ht="19.5" hidden="false" customHeight="true" outlineLevel="0" collapsed="false">
      <c r="A73" s="23" t="s">
        <v>30</v>
      </c>
      <c r="B73" s="23" t="s">
        <v>259</v>
      </c>
      <c r="C73" s="23" t="s">
        <v>247</v>
      </c>
      <c r="D73" s="23" t="s">
        <v>260</v>
      </c>
      <c r="E73" s="84"/>
      <c r="F73" s="38" t="s">
        <v>261</v>
      </c>
      <c r="G73" s="16" t="s">
        <v>69</v>
      </c>
      <c r="H73" s="16" t="s">
        <v>126</v>
      </c>
      <c r="I73" s="16" t="s">
        <v>71</v>
      </c>
      <c r="J73" s="16" t="s">
        <v>72</v>
      </c>
      <c r="K73" s="16" t="s">
        <v>249</v>
      </c>
      <c r="L73" s="16" t="s">
        <v>250</v>
      </c>
      <c r="M73" s="16" t="s">
        <v>251</v>
      </c>
      <c r="N73" s="16" t="s">
        <v>76</v>
      </c>
      <c r="O73" s="16" t="s">
        <v>76</v>
      </c>
      <c r="P73" s="16" t="s">
        <v>76</v>
      </c>
      <c r="Q73" s="16" t="s">
        <v>76</v>
      </c>
      <c r="R73" s="16" t="s">
        <v>78</v>
      </c>
      <c r="S73" s="23" t="s">
        <v>255</v>
      </c>
      <c r="T73" s="23" t="s">
        <v>262</v>
      </c>
    </row>
    <row r="74" customFormat="false" ht="19.5" hidden="false" customHeight="true" outlineLevel="0" collapsed="false">
      <c r="A74" s="26" t="s">
        <v>30</v>
      </c>
      <c r="B74" s="26" t="s">
        <v>263</v>
      </c>
      <c r="C74" s="26" t="s">
        <v>247</v>
      </c>
      <c r="D74" s="26" t="s">
        <v>264</v>
      </c>
      <c r="E74" s="32"/>
      <c r="F74" s="33" t="s">
        <v>90</v>
      </c>
      <c r="G74" s="29" t="s">
        <v>69</v>
      </c>
      <c r="H74" s="29" t="s">
        <v>126</v>
      </c>
      <c r="I74" s="29" t="s">
        <v>71</v>
      </c>
      <c r="J74" s="29" t="s">
        <v>72</v>
      </c>
      <c r="K74" s="29" t="s">
        <v>249</v>
      </c>
      <c r="L74" s="29" t="s">
        <v>250</v>
      </c>
      <c r="M74" s="29" t="s">
        <v>251</v>
      </c>
      <c r="N74" s="29" t="s">
        <v>76</v>
      </c>
      <c r="O74" s="29" t="s">
        <v>76</v>
      </c>
      <c r="P74" s="29" t="s">
        <v>76</v>
      </c>
      <c r="Q74" s="29" t="s">
        <v>76</v>
      </c>
      <c r="R74" s="29" t="s">
        <v>91</v>
      </c>
      <c r="S74" s="26" t="s">
        <v>252</v>
      </c>
      <c r="T74" s="26" t="s">
        <v>131</v>
      </c>
    </row>
    <row r="75" customFormat="false" ht="19.5" hidden="false" customHeight="true" outlineLevel="0" collapsed="false">
      <c r="A75" s="23" t="s">
        <v>30</v>
      </c>
      <c r="B75" s="23" t="s">
        <v>265</v>
      </c>
      <c r="C75" s="23" t="s">
        <v>247</v>
      </c>
      <c r="D75" s="23" t="s">
        <v>142</v>
      </c>
      <c r="E75" s="32"/>
      <c r="F75" s="33" t="s">
        <v>90</v>
      </c>
      <c r="G75" s="16" t="s">
        <v>69</v>
      </c>
      <c r="H75" s="16" t="s">
        <v>126</v>
      </c>
      <c r="I75" s="16" t="s">
        <v>71</v>
      </c>
      <c r="J75" s="16" t="s">
        <v>72</v>
      </c>
      <c r="K75" s="16" t="s">
        <v>249</v>
      </c>
      <c r="L75" s="16" t="s">
        <v>250</v>
      </c>
      <c r="M75" s="16" t="s">
        <v>251</v>
      </c>
      <c r="N75" s="16" t="s">
        <v>76</v>
      </c>
      <c r="O75" s="16" t="s">
        <v>76</v>
      </c>
      <c r="P75" s="16" t="s">
        <v>76</v>
      </c>
      <c r="Q75" s="16" t="s">
        <v>76</v>
      </c>
      <c r="R75" s="16" t="s">
        <v>91</v>
      </c>
      <c r="S75" s="23" t="s">
        <v>252</v>
      </c>
      <c r="T75" s="23" t="s">
        <v>131</v>
      </c>
    </row>
    <row r="76" customFormat="false" ht="19.5" hidden="false" customHeight="true" outlineLevel="0" collapsed="false">
      <c r="A76" s="26" t="s">
        <v>30</v>
      </c>
      <c r="B76" s="26" t="s">
        <v>266</v>
      </c>
      <c r="C76" s="26" t="s">
        <v>247</v>
      </c>
      <c r="D76" s="26" t="s">
        <v>89</v>
      </c>
      <c r="E76" s="32"/>
      <c r="F76" s="33" t="s">
        <v>90</v>
      </c>
      <c r="G76" s="29" t="s">
        <v>69</v>
      </c>
      <c r="H76" s="29" t="s">
        <v>126</v>
      </c>
      <c r="I76" s="29" t="s">
        <v>71</v>
      </c>
      <c r="J76" s="29" t="s">
        <v>72</v>
      </c>
      <c r="K76" s="29" t="s">
        <v>249</v>
      </c>
      <c r="L76" s="29" t="s">
        <v>250</v>
      </c>
      <c r="M76" s="29" t="s">
        <v>251</v>
      </c>
      <c r="N76" s="29" t="s">
        <v>76</v>
      </c>
      <c r="O76" s="29" t="s">
        <v>76</v>
      </c>
      <c r="P76" s="29" t="s">
        <v>76</v>
      </c>
      <c r="Q76" s="29" t="s">
        <v>76</v>
      </c>
      <c r="R76" s="29" t="s">
        <v>91</v>
      </c>
      <c r="S76" s="26" t="s">
        <v>252</v>
      </c>
      <c r="T76" s="26" t="s">
        <v>131</v>
      </c>
    </row>
    <row r="77" customFormat="false" ht="19.5" hidden="false" customHeight="true" outlineLevel="0" collapsed="false">
      <c r="A77" s="23" t="s">
        <v>30</v>
      </c>
      <c r="B77" s="23" t="s">
        <v>267</v>
      </c>
      <c r="C77" s="23" t="s">
        <v>247</v>
      </c>
      <c r="D77" s="23" t="s">
        <v>268</v>
      </c>
      <c r="E77" s="85"/>
      <c r="F77" s="86" t="s">
        <v>269</v>
      </c>
      <c r="G77" s="16" t="s">
        <v>69</v>
      </c>
      <c r="H77" s="16" t="s">
        <v>126</v>
      </c>
      <c r="I77" s="16" t="s">
        <v>71</v>
      </c>
      <c r="J77" s="16" t="s">
        <v>72</v>
      </c>
      <c r="K77" s="16" t="s">
        <v>270</v>
      </c>
      <c r="L77" s="16" t="s">
        <v>250</v>
      </c>
      <c r="M77" s="16" t="s">
        <v>251</v>
      </c>
      <c r="N77" s="16" t="s">
        <v>76</v>
      </c>
      <c r="O77" s="16" t="s">
        <v>76</v>
      </c>
      <c r="P77" s="16" t="s">
        <v>76</v>
      </c>
      <c r="Q77" s="16" t="s">
        <v>76</v>
      </c>
      <c r="R77" s="16" t="s">
        <v>78</v>
      </c>
      <c r="S77" s="23" t="s">
        <v>255</v>
      </c>
      <c r="T77" s="23" t="s">
        <v>136</v>
      </c>
    </row>
    <row r="78" customFormat="false" ht="19.5" hidden="false" customHeight="true" outlineLevel="0" collapsed="false">
      <c r="A78" s="26" t="s">
        <v>30</v>
      </c>
      <c r="B78" s="26" t="s">
        <v>271</v>
      </c>
      <c r="C78" s="26" t="s">
        <v>247</v>
      </c>
      <c r="D78" s="26" t="s">
        <v>272</v>
      </c>
      <c r="E78" s="32"/>
      <c r="F78" s="33" t="s">
        <v>90</v>
      </c>
      <c r="G78" s="29" t="s">
        <v>69</v>
      </c>
      <c r="H78" s="29" t="s">
        <v>126</v>
      </c>
      <c r="I78" s="29" t="s">
        <v>71</v>
      </c>
      <c r="J78" s="29" t="s">
        <v>72</v>
      </c>
      <c r="K78" s="29" t="s">
        <v>249</v>
      </c>
      <c r="L78" s="29" t="s">
        <v>250</v>
      </c>
      <c r="M78" s="29" t="s">
        <v>251</v>
      </c>
      <c r="N78" s="29" t="s">
        <v>76</v>
      </c>
      <c r="O78" s="29" t="s">
        <v>76</v>
      </c>
      <c r="P78" s="29" t="s">
        <v>76</v>
      </c>
      <c r="Q78" s="29" t="s">
        <v>76</v>
      </c>
      <c r="R78" s="29" t="s">
        <v>91</v>
      </c>
      <c r="S78" s="26" t="s">
        <v>252</v>
      </c>
      <c r="T78" s="26" t="s">
        <v>131</v>
      </c>
    </row>
    <row r="79" customFormat="false" ht="19.5" hidden="false" customHeight="true" outlineLevel="0" collapsed="false">
      <c r="A79" s="23" t="s">
        <v>30</v>
      </c>
      <c r="B79" s="23" t="s">
        <v>273</v>
      </c>
      <c r="C79" s="23" t="s">
        <v>247</v>
      </c>
      <c r="D79" s="23" t="s">
        <v>145</v>
      </c>
      <c r="E79" s="32"/>
      <c r="F79" s="33" t="s">
        <v>90</v>
      </c>
      <c r="G79" s="16" t="s">
        <v>69</v>
      </c>
      <c r="H79" s="16" t="s">
        <v>126</v>
      </c>
      <c r="I79" s="16" t="s">
        <v>71</v>
      </c>
      <c r="J79" s="16" t="s">
        <v>72</v>
      </c>
      <c r="K79" s="16" t="s">
        <v>249</v>
      </c>
      <c r="L79" s="16" t="s">
        <v>250</v>
      </c>
      <c r="M79" s="16" t="s">
        <v>251</v>
      </c>
      <c r="N79" s="16" t="s">
        <v>76</v>
      </c>
      <c r="O79" s="16" t="s">
        <v>76</v>
      </c>
      <c r="P79" s="16" t="s">
        <v>76</v>
      </c>
      <c r="Q79" s="16" t="s">
        <v>76</v>
      </c>
      <c r="R79" s="16" t="s">
        <v>91</v>
      </c>
      <c r="S79" s="23" t="s">
        <v>252</v>
      </c>
      <c r="T79" s="23" t="s">
        <v>131</v>
      </c>
    </row>
    <row r="80" customFormat="false" ht="19.5" hidden="false" customHeight="true" outlineLevel="0" collapsed="false">
      <c r="A80" s="26" t="s">
        <v>30</v>
      </c>
      <c r="B80" s="26" t="s">
        <v>274</v>
      </c>
      <c r="C80" s="26" t="s">
        <v>247</v>
      </c>
      <c r="D80" s="26" t="s">
        <v>168</v>
      </c>
      <c r="E80" s="32"/>
      <c r="F80" s="33" t="s">
        <v>90</v>
      </c>
      <c r="G80" s="29" t="s">
        <v>69</v>
      </c>
      <c r="H80" s="29" t="s">
        <v>126</v>
      </c>
      <c r="I80" s="29" t="s">
        <v>71</v>
      </c>
      <c r="J80" s="29" t="s">
        <v>72</v>
      </c>
      <c r="K80" s="29" t="s">
        <v>249</v>
      </c>
      <c r="L80" s="29" t="s">
        <v>250</v>
      </c>
      <c r="M80" s="29" t="s">
        <v>251</v>
      </c>
      <c r="N80" s="29" t="s">
        <v>76</v>
      </c>
      <c r="O80" s="29" t="s">
        <v>76</v>
      </c>
      <c r="P80" s="29" t="s">
        <v>76</v>
      </c>
      <c r="Q80" s="29" t="s">
        <v>76</v>
      </c>
      <c r="R80" s="29" t="s">
        <v>91</v>
      </c>
      <c r="S80" s="26" t="s">
        <v>252</v>
      </c>
      <c r="T80" s="26" t="s">
        <v>131</v>
      </c>
    </row>
    <row r="81" customFormat="false" ht="19.5" hidden="false" customHeight="true" outlineLevel="0" collapsed="false">
      <c r="A81" s="23" t="s">
        <v>30</v>
      </c>
      <c r="B81" s="23" t="s">
        <v>275</v>
      </c>
      <c r="C81" s="23" t="s">
        <v>247</v>
      </c>
      <c r="D81" s="23" t="s">
        <v>205</v>
      </c>
      <c r="E81" s="32"/>
      <c r="F81" s="33" t="s">
        <v>90</v>
      </c>
      <c r="G81" s="16" t="s">
        <v>69</v>
      </c>
      <c r="H81" s="16" t="s">
        <v>126</v>
      </c>
      <c r="I81" s="16" t="s">
        <v>71</v>
      </c>
      <c r="J81" s="16" t="s">
        <v>72</v>
      </c>
      <c r="K81" s="16" t="s">
        <v>249</v>
      </c>
      <c r="L81" s="16" t="s">
        <v>250</v>
      </c>
      <c r="M81" s="16" t="s">
        <v>251</v>
      </c>
      <c r="N81" s="16" t="s">
        <v>76</v>
      </c>
      <c r="O81" s="16" t="s">
        <v>76</v>
      </c>
      <c r="P81" s="16" t="s">
        <v>76</v>
      </c>
      <c r="Q81" s="16" t="s">
        <v>76</v>
      </c>
      <c r="R81" s="16" t="s">
        <v>91</v>
      </c>
      <c r="S81" s="23" t="s">
        <v>252</v>
      </c>
      <c r="T81" s="23" t="s">
        <v>131</v>
      </c>
    </row>
    <row r="82" customFormat="false" ht="19.5" hidden="false" customHeight="true" outlineLevel="0" collapsed="false">
      <c r="A82" s="26" t="s">
        <v>30</v>
      </c>
      <c r="B82" s="26" t="s">
        <v>276</v>
      </c>
      <c r="C82" s="26" t="s">
        <v>247</v>
      </c>
      <c r="D82" s="26" t="s">
        <v>95</v>
      </c>
      <c r="E82" s="32"/>
      <c r="F82" s="33" t="s">
        <v>90</v>
      </c>
      <c r="G82" s="29" t="s">
        <v>69</v>
      </c>
      <c r="H82" s="29" t="s">
        <v>126</v>
      </c>
      <c r="I82" s="29" t="s">
        <v>71</v>
      </c>
      <c r="J82" s="29" t="s">
        <v>72</v>
      </c>
      <c r="K82" s="29" t="s">
        <v>249</v>
      </c>
      <c r="L82" s="29" t="s">
        <v>250</v>
      </c>
      <c r="M82" s="29" t="s">
        <v>251</v>
      </c>
      <c r="N82" s="29" t="s">
        <v>76</v>
      </c>
      <c r="O82" s="29" t="s">
        <v>76</v>
      </c>
      <c r="P82" s="29" t="s">
        <v>76</v>
      </c>
      <c r="Q82" s="29" t="s">
        <v>76</v>
      </c>
      <c r="R82" s="29" t="s">
        <v>91</v>
      </c>
      <c r="S82" s="26" t="s">
        <v>252</v>
      </c>
      <c r="T82" s="26" t="s">
        <v>131</v>
      </c>
    </row>
    <row r="83" customFormat="false" ht="19.5" hidden="false" customHeight="true" outlineLevel="0" collapsed="false">
      <c r="A83" s="23" t="s">
        <v>30</v>
      </c>
      <c r="B83" s="23" t="s">
        <v>277</v>
      </c>
      <c r="C83" s="23" t="s">
        <v>247</v>
      </c>
      <c r="D83" s="23" t="s">
        <v>278</v>
      </c>
      <c r="E83" s="87"/>
      <c r="F83" s="82" t="s">
        <v>279</v>
      </c>
      <c r="G83" s="16" t="s">
        <v>69</v>
      </c>
      <c r="H83" s="16" t="s">
        <v>126</v>
      </c>
      <c r="I83" s="16" t="s">
        <v>71</v>
      </c>
      <c r="J83" s="16" t="s">
        <v>72</v>
      </c>
      <c r="K83" s="16" t="s">
        <v>249</v>
      </c>
      <c r="L83" s="16" t="s">
        <v>250</v>
      </c>
      <c r="M83" s="16" t="s">
        <v>251</v>
      </c>
      <c r="N83" s="16" t="s">
        <v>76</v>
      </c>
      <c r="O83" s="16" t="s">
        <v>76</v>
      </c>
      <c r="P83" s="16" t="s">
        <v>76</v>
      </c>
      <c r="Q83" s="16" t="s">
        <v>76</v>
      </c>
      <c r="R83" s="16" t="s">
        <v>78</v>
      </c>
      <c r="S83" s="23" t="s">
        <v>255</v>
      </c>
      <c r="T83" s="23" t="s">
        <v>280</v>
      </c>
    </row>
    <row r="84" customFormat="false" ht="19.5" hidden="false" customHeight="true" outlineLevel="0" collapsed="false">
      <c r="A84" s="26" t="s">
        <v>30</v>
      </c>
      <c r="B84" s="26" t="s">
        <v>281</v>
      </c>
      <c r="C84" s="26" t="s">
        <v>247</v>
      </c>
      <c r="D84" s="26" t="s">
        <v>217</v>
      </c>
      <c r="E84" s="88"/>
      <c r="F84" s="89" t="s">
        <v>282</v>
      </c>
      <c r="G84" s="29" t="s">
        <v>69</v>
      </c>
      <c r="H84" s="29" t="s">
        <v>126</v>
      </c>
      <c r="I84" s="29" t="s">
        <v>71</v>
      </c>
      <c r="J84" s="29" t="s">
        <v>72</v>
      </c>
      <c r="K84" s="29" t="s">
        <v>249</v>
      </c>
      <c r="L84" s="29" t="s">
        <v>250</v>
      </c>
      <c r="M84" s="29" t="s">
        <v>251</v>
      </c>
      <c r="N84" s="29" t="s">
        <v>76</v>
      </c>
      <c r="O84" s="29" t="s">
        <v>76</v>
      </c>
      <c r="P84" s="29" t="s">
        <v>76</v>
      </c>
      <c r="Q84" s="29" t="s">
        <v>76</v>
      </c>
      <c r="R84" s="29" t="s">
        <v>78</v>
      </c>
      <c r="S84" s="26" t="s">
        <v>283</v>
      </c>
      <c r="T84" s="26" t="s">
        <v>136</v>
      </c>
    </row>
    <row r="85" customFormat="false" ht="19.5" hidden="false" customHeight="true" outlineLevel="0" collapsed="false">
      <c r="A85" s="23" t="s">
        <v>30</v>
      </c>
      <c r="B85" s="23" t="s">
        <v>284</v>
      </c>
      <c r="C85" s="23" t="s">
        <v>247</v>
      </c>
      <c r="D85" s="23" t="s">
        <v>285</v>
      </c>
      <c r="E85" s="32"/>
      <c r="F85" s="33" t="s">
        <v>90</v>
      </c>
      <c r="G85" s="16" t="s">
        <v>69</v>
      </c>
      <c r="H85" s="16" t="s">
        <v>126</v>
      </c>
      <c r="I85" s="16" t="s">
        <v>71</v>
      </c>
      <c r="J85" s="16" t="s">
        <v>72</v>
      </c>
      <c r="K85" s="16" t="s">
        <v>249</v>
      </c>
      <c r="L85" s="16" t="s">
        <v>250</v>
      </c>
      <c r="M85" s="16" t="s">
        <v>251</v>
      </c>
      <c r="N85" s="16" t="s">
        <v>76</v>
      </c>
      <c r="O85" s="16" t="s">
        <v>76</v>
      </c>
      <c r="P85" s="16" t="s">
        <v>76</v>
      </c>
      <c r="Q85" s="16" t="s">
        <v>76</v>
      </c>
      <c r="R85" s="16" t="s">
        <v>91</v>
      </c>
      <c r="S85" s="23" t="s">
        <v>252</v>
      </c>
      <c r="T85" s="23" t="s">
        <v>131</v>
      </c>
    </row>
    <row r="86" customFormat="false" ht="19.5" hidden="false" customHeight="true" outlineLevel="0" collapsed="false">
      <c r="A86" s="26" t="s">
        <v>30</v>
      </c>
      <c r="B86" s="26" t="s">
        <v>286</v>
      </c>
      <c r="C86" s="26" t="s">
        <v>247</v>
      </c>
      <c r="D86" s="26" t="s">
        <v>98</v>
      </c>
      <c r="E86" s="32"/>
      <c r="F86" s="33" t="s">
        <v>90</v>
      </c>
      <c r="G86" s="29" t="s">
        <v>69</v>
      </c>
      <c r="H86" s="29" t="s">
        <v>126</v>
      </c>
      <c r="I86" s="29" t="s">
        <v>71</v>
      </c>
      <c r="J86" s="29" t="s">
        <v>72</v>
      </c>
      <c r="K86" s="29" t="s">
        <v>249</v>
      </c>
      <c r="L86" s="29" t="s">
        <v>250</v>
      </c>
      <c r="M86" s="29" t="s">
        <v>251</v>
      </c>
      <c r="N86" s="29" t="s">
        <v>76</v>
      </c>
      <c r="O86" s="29" t="s">
        <v>76</v>
      </c>
      <c r="P86" s="29" t="s">
        <v>76</v>
      </c>
      <c r="Q86" s="29" t="s">
        <v>76</v>
      </c>
      <c r="R86" s="29" t="s">
        <v>91</v>
      </c>
      <c r="S86" s="26" t="s">
        <v>252</v>
      </c>
      <c r="T86" s="26" t="s">
        <v>131</v>
      </c>
    </row>
    <row r="87" customFormat="false" ht="19.5" hidden="false" customHeight="true" outlineLevel="0" collapsed="false">
      <c r="A87" s="23" t="s">
        <v>30</v>
      </c>
      <c r="B87" s="23" t="s">
        <v>287</v>
      </c>
      <c r="C87" s="23" t="s">
        <v>247</v>
      </c>
      <c r="D87" s="23" t="s">
        <v>157</v>
      </c>
      <c r="E87" s="90"/>
      <c r="F87" s="91" t="s">
        <v>288</v>
      </c>
      <c r="G87" s="16" t="s">
        <v>69</v>
      </c>
      <c r="H87" s="16" t="s">
        <v>126</v>
      </c>
      <c r="I87" s="16" t="s">
        <v>71</v>
      </c>
      <c r="J87" s="16" t="s">
        <v>72</v>
      </c>
      <c r="K87" s="16" t="s">
        <v>249</v>
      </c>
      <c r="L87" s="16" t="s">
        <v>250</v>
      </c>
      <c r="M87" s="16" t="s">
        <v>251</v>
      </c>
      <c r="N87" s="16" t="s">
        <v>76</v>
      </c>
      <c r="O87" s="16" t="s">
        <v>76</v>
      </c>
      <c r="P87" s="16" t="s">
        <v>76</v>
      </c>
      <c r="Q87" s="16" t="s">
        <v>76</v>
      </c>
      <c r="R87" s="16" t="s">
        <v>78</v>
      </c>
      <c r="S87" s="23" t="s">
        <v>255</v>
      </c>
      <c r="T87" s="23" t="s">
        <v>289</v>
      </c>
    </row>
    <row r="88" customFormat="false" ht="19.5" hidden="false" customHeight="true" outlineLevel="0" collapsed="false">
      <c r="A88" s="26" t="s">
        <v>31</v>
      </c>
      <c r="B88" s="26" t="s">
        <v>290</v>
      </c>
      <c r="C88" s="26" t="s">
        <v>291</v>
      </c>
      <c r="D88" s="26" t="s">
        <v>292</v>
      </c>
      <c r="E88" s="32"/>
      <c r="F88" s="33" t="s">
        <v>90</v>
      </c>
      <c r="G88" s="29" t="s">
        <v>69</v>
      </c>
      <c r="H88" s="29" t="s">
        <v>70</v>
      </c>
      <c r="I88" s="29" t="s">
        <v>71</v>
      </c>
      <c r="J88" s="29" t="s">
        <v>72</v>
      </c>
      <c r="K88" s="29" t="s">
        <v>179</v>
      </c>
      <c r="L88" s="29" t="s">
        <v>250</v>
      </c>
      <c r="M88" s="29" t="s">
        <v>293</v>
      </c>
      <c r="N88" s="29" t="s">
        <v>76</v>
      </c>
      <c r="O88" s="29" t="s">
        <v>76</v>
      </c>
      <c r="P88" s="29" t="s">
        <v>76</v>
      </c>
      <c r="Q88" s="29" t="s">
        <v>76</v>
      </c>
      <c r="R88" s="29" t="s">
        <v>91</v>
      </c>
      <c r="S88" s="26" t="s">
        <v>294</v>
      </c>
      <c r="T88" s="26" t="s">
        <v>295</v>
      </c>
    </row>
    <row r="89" customFormat="false" ht="19.5" hidden="false" customHeight="true" outlineLevel="0" collapsed="false">
      <c r="A89" s="23" t="s">
        <v>31</v>
      </c>
      <c r="B89" s="23" t="s">
        <v>296</v>
      </c>
      <c r="C89" s="23" t="s">
        <v>291</v>
      </c>
      <c r="D89" s="23" t="s">
        <v>297</v>
      </c>
      <c r="E89" s="32"/>
      <c r="F89" s="33" t="s">
        <v>90</v>
      </c>
      <c r="G89" s="16" t="s">
        <v>69</v>
      </c>
      <c r="H89" s="16" t="s">
        <v>70</v>
      </c>
      <c r="I89" s="16" t="s">
        <v>71</v>
      </c>
      <c r="J89" s="16" t="s">
        <v>72</v>
      </c>
      <c r="K89" s="16" t="s">
        <v>179</v>
      </c>
      <c r="L89" s="16" t="s">
        <v>250</v>
      </c>
      <c r="M89" s="16" t="s">
        <v>293</v>
      </c>
      <c r="N89" s="16" t="s">
        <v>76</v>
      </c>
      <c r="O89" s="16" t="s">
        <v>76</v>
      </c>
      <c r="P89" s="16" t="s">
        <v>76</v>
      </c>
      <c r="Q89" s="16" t="s">
        <v>76</v>
      </c>
      <c r="R89" s="16" t="s">
        <v>91</v>
      </c>
      <c r="S89" s="23" t="s">
        <v>298</v>
      </c>
      <c r="T89" s="23" t="s">
        <v>295</v>
      </c>
    </row>
    <row r="90" customFormat="false" ht="19.5" hidden="false" customHeight="true" outlineLevel="0" collapsed="false">
      <c r="A90" s="26" t="s">
        <v>31</v>
      </c>
      <c r="B90" s="26" t="s">
        <v>299</v>
      </c>
      <c r="C90" s="26" t="s">
        <v>291</v>
      </c>
      <c r="D90" s="26" t="s">
        <v>300</v>
      </c>
      <c r="E90" s="32"/>
      <c r="F90" s="33" t="s">
        <v>90</v>
      </c>
      <c r="G90" s="29" t="s">
        <v>69</v>
      </c>
      <c r="H90" s="29" t="s">
        <v>70</v>
      </c>
      <c r="I90" s="29" t="s">
        <v>71</v>
      </c>
      <c r="J90" s="29" t="s">
        <v>72</v>
      </c>
      <c r="K90" s="29" t="s">
        <v>179</v>
      </c>
      <c r="L90" s="29" t="s">
        <v>250</v>
      </c>
      <c r="M90" s="29" t="s">
        <v>293</v>
      </c>
      <c r="N90" s="29" t="s">
        <v>76</v>
      </c>
      <c r="O90" s="29" t="s">
        <v>76</v>
      </c>
      <c r="P90" s="29" t="s">
        <v>76</v>
      </c>
      <c r="Q90" s="29" t="s">
        <v>76</v>
      </c>
      <c r="R90" s="29" t="s">
        <v>91</v>
      </c>
      <c r="S90" s="26" t="s">
        <v>298</v>
      </c>
      <c r="T90" s="26" t="s">
        <v>295</v>
      </c>
    </row>
    <row r="91" customFormat="false" ht="19.5" hidden="false" customHeight="true" outlineLevel="0" collapsed="false">
      <c r="A91" s="23" t="s">
        <v>31</v>
      </c>
      <c r="B91" s="23" t="s">
        <v>301</v>
      </c>
      <c r="C91" s="23" t="s">
        <v>291</v>
      </c>
      <c r="D91" s="23" t="s">
        <v>302</v>
      </c>
      <c r="E91" s="32"/>
      <c r="F91" s="33" t="s">
        <v>90</v>
      </c>
      <c r="G91" s="16" t="s">
        <v>69</v>
      </c>
      <c r="H91" s="16" t="s">
        <v>70</v>
      </c>
      <c r="I91" s="16" t="s">
        <v>71</v>
      </c>
      <c r="J91" s="16" t="s">
        <v>72</v>
      </c>
      <c r="K91" s="16" t="s">
        <v>179</v>
      </c>
      <c r="L91" s="16" t="s">
        <v>250</v>
      </c>
      <c r="M91" s="16" t="s">
        <v>293</v>
      </c>
      <c r="N91" s="16" t="s">
        <v>76</v>
      </c>
      <c r="O91" s="16" t="s">
        <v>76</v>
      </c>
      <c r="P91" s="16" t="s">
        <v>76</v>
      </c>
      <c r="Q91" s="16" t="s">
        <v>76</v>
      </c>
      <c r="R91" s="16" t="s">
        <v>91</v>
      </c>
      <c r="S91" s="23" t="s">
        <v>298</v>
      </c>
      <c r="T91" s="23" t="s">
        <v>295</v>
      </c>
    </row>
    <row r="92" customFormat="false" ht="19.5" hidden="false" customHeight="true" outlineLevel="0" collapsed="false">
      <c r="A92" s="26" t="s">
        <v>32</v>
      </c>
      <c r="B92" s="26" t="s">
        <v>303</v>
      </c>
      <c r="C92" s="26" t="s">
        <v>304</v>
      </c>
      <c r="D92" s="26" t="s">
        <v>133</v>
      </c>
      <c r="E92" s="30"/>
      <c r="F92" s="31" t="s">
        <v>305</v>
      </c>
      <c r="G92" s="29" t="s">
        <v>69</v>
      </c>
      <c r="H92" s="29" t="s">
        <v>70</v>
      </c>
      <c r="I92" s="29" t="s">
        <v>71</v>
      </c>
      <c r="J92" s="29" t="s">
        <v>72</v>
      </c>
      <c r="K92" s="29" t="s">
        <v>179</v>
      </c>
      <c r="L92" s="29" t="s">
        <v>250</v>
      </c>
      <c r="M92" s="29" t="s">
        <v>293</v>
      </c>
      <c r="N92" s="29" t="s">
        <v>76</v>
      </c>
      <c r="O92" s="29" t="s">
        <v>76</v>
      </c>
      <c r="P92" s="29" t="s">
        <v>76</v>
      </c>
      <c r="Q92" s="29" t="s">
        <v>76</v>
      </c>
      <c r="R92" s="29" t="s">
        <v>78</v>
      </c>
      <c r="S92" s="26" t="s">
        <v>306</v>
      </c>
      <c r="T92" s="26" t="s">
        <v>307</v>
      </c>
    </row>
    <row r="93" customFormat="false" ht="19.5" hidden="false" customHeight="true" outlineLevel="0" collapsed="false">
      <c r="A93" s="23" t="s">
        <v>32</v>
      </c>
      <c r="B93" s="23" t="s">
        <v>308</v>
      </c>
      <c r="C93" s="23" t="s">
        <v>304</v>
      </c>
      <c r="D93" s="23" t="s">
        <v>309</v>
      </c>
      <c r="E93" s="92"/>
      <c r="F93" s="93" t="s">
        <v>310</v>
      </c>
      <c r="G93" s="16" t="s">
        <v>69</v>
      </c>
      <c r="H93" s="16" t="s">
        <v>70</v>
      </c>
      <c r="I93" s="16" t="s">
        <v>71</v>
      </c>
      <c r="J93" s="16" t="s">
        <v>72</v>
      </c>
      <c r="K93" s="16" t="s">
        <v>179</v>
      </c>
      <c r="L93" s="16" t="s">
        <v>250</v>
      </c>
      <c r="M93" s="16" t="s">
        <v>293</v>
      </c>
      <c r="N93" s="16" t="s">
        <v>76</v>
      </c>
      <c r="O93" s="16" t="s">
        <v>76</v>
      </c>
      <c r="P93" s="16" t="s">
        <v>76</v>
      </c>
      <c r="Q93" s="16" t="s">
        <v>76</v>
      </c>
      <c r="R93" s="16" t="s">
        <v>78</v>
      </c>
      <c r="S93" s="23" t="s">
        <v>311</v>
      </c>
      <c r="T93" s="23" t="s">
        <v>312</v>
      </c>
    </row>
    <row r="94" customFormat="false" ht="19.5" hidden="false" customHeight="true" outlineLevel="0" collapsed="false">
      <c r="A94" s="26" t="s">
        <v>32</v>
      </c>
      <c r="B94" s="26" t="s">
        <v>313</v>
      </c>
      <c r="C94" s="26" t="s">
        <v>304</v>
      </c>
      <c r="D94" s="26" t="s">
        <v>205</v>
      </c>
      <c r="E94" s="30"/>
      <c r="F94" s="94" t="s">
        <v>314</v>
      </c>
      <c r="G94" s="29" t="s">
        <v>69</v>
      </c>
      <c r="H94" s="29" t="s">
        <v>70</v>
      </c>
      <c r="I94" s="29" t="s">
        <v>71</v>
      </c>
      <c r="J94" s="29" t="s">
        <v>72</v>
      </c>
      <c r="K94" s="29" t="s">
        <v>179</v>
      </c>
      <c r="L94" s="29" t="s">
        <v>250</v>
      </c>
      <c r="M94" s="29" t="s">
        <v>293</v>
      </c>
      <c r="N94" s="29" t="s">
        <v>76</v>
      </c>
      <c r="O94" s="29" t="s">
        <v>76</v>
      </c>
      <c r="P94" s="29" t="s">
        <v>76</v>
      </c>
      <c r="Q94" s="29" t="s">
        <v>76</v>
      </c>
      <c r="R94" s="29" t="s">
        <v>78</v>
      </c>
      <c r="S94" s="26" t="s">
        <v>315</v>
      </c>
      <c r="T94" s="26" t="s">
        <v>307</v>
      </c>
    </row>
    <row r="95" customFormat="false" ht="19.5" hidden="false" customHeight="true" outlineLevel="0" collapsed="false">
      <c r="A95" s="23" t="s">
        <v>33</v>
      </c>
      <c r="B95" s="23" t="s">
        <v>316</v>
      </c>
      <c r="C95" s="23" t="s">
        <v>317</v>
      </c>
      <c r="D95" s="23" t="s">
        <v>82</v>
      </c>
      <c r="E95" s="95"/>
      <c r="F95" s="96" t="s">
        <v>318</v>
      </c>
      <c r="G95" s="16" t="s">
        <v>69</v>
      </c>
      <c r="H95" s="16" t="s">
        <v>70</v>
      </c>
      <c r="I95" s="16" t="s">
        <v>71</v>
      </c>
      <c r="J95" s="16" t="s">
        <v>72</v>
      </c>
      <c r="K95" s="16" t="s">
        <v>179</v>
      </c>
      <c r="L95" s="16" t="s">
        <v>250</v>
      </c>
      <c r="M95" s="16" t="s">
        <v>293</v>
      </c>
      <c r="N95" s="16" t="s">
        <v>76</v>
      </c>
      <c r="O95" s="16" t="s">
        <v>76</v>
      </c>
      <c r="P95" s="16" t="s">
        <v>76</v>
      </c>
      <c r="Q95" s="16" t="s">
        <v>76</v>
      </c>
      <c r="R95" s="16" t="s">
        <v>78</v>
      </c>
      <c r="S95" s="23" t="s">
        <v>319</v>
      </c>
      <c r="T95" s="23" t="s">
        <v>320</v>
      </c>
    </row>
    <row r="96" customFormat="false" ht="19.5" hidden="false" customHeight="true" outlineLevel="0" collapsed="false">
      <c r="A96" s="26" t="s">
        <v>33</v>
      </c>
      <c r="B96" s="26" t="s">
        <v>321</v>
      </c>
      <c r="C96" s="26" t="s">
        <v>317</v>
      </c>
      <c r="D96" s="26" t="s">
        <v>142</v>
      </c>
      <c r="E96" s="97"/>
      <c r="F96" s="98" t="s">
        <v>322</v>
      </c>
      <c r="G96" s="29" t="s">
        <v>69</v>
      </c>
      <c r="H96" s="29" t="s">
        <v>70</v>
      </c>
      <c r="I96" s="29" t="s">
        <v>71</v>
      </c>
      <c r="J96" s="29" t="s">
        <v>72</v>
      </c>
      <c r="K96" s="29" t="s">
        <v>179</v>
      </c>
      <c r="L96" s="29" t="s">
        <v>250</v>
      </c>
      <c r="M96" s="29" t="s">
        <v>293</v>
      </c>
      <c r="N96" s="29" t="s">
        <v>76</v>
      </c>
      <c r="O96" s="29" t="s">
        <v>76</v>
      </c>
      <c r="P96" s="29" t="s">
        <v>76</v>
      </c>
      <c r="Q96" s="29" t="s">
        <v>76</v>
      </c>
      <c r="R96" s="29" t="s">
        <v>78</v>
      </c>
      <c r="S96" s="26" t="s">
        <v>323</v>
      </c>
      <c r="T96" s="26" t="s">
        <v>324</v>
      </c>
    </row>
    <row r="97" customFormat="false" ht="19.5" hidden="false" customHeight="true" outlineLevel="0" collapsed="false">
      <c r="A97" s="23" t="s">
        <v>33</v>
      </c>
      <c r="B97" s="23" t="s">
        <v>325</v>
      </c>
      <c r="C97" s="23" t="s">
        <v>317</v>
      </c>
      <c r="D97" s="23" t="s">
        <v>145</v>
      </c>
      <c r="E97" s="32"/>
      <c r="F97" s="33" t="s">
        <v>90</v>
      </c>
      <c r="G97" s="16" t="s">
        <v>69</v>
      </c>
      <c r="H97" s="16" t="s">
        <v>70</v>
      </c>
      <c r="I97" s="16" t="s">
        <v>71</v>
      </c>
      <c r="J97" s="16" t="s">
        <v>72</v>
      </c>
      <c r="K97" s="16" t="s">
        <v>179</v>
      </c>
      <c r="L97" s="16" t="s">
        <v>250</v>
      </c>
      <c r="M97" s="16" t="s">
        <v>293</v>
      </c>
      <c r="N97" s="16" t="s">
        <v>76</v>
      </c>
      <c r="O97" s="16" t="s">
        <v>76</v>
      </c>
      <c r="P97" s="16" t="s">
        <v>76</v>
      </c>
      <c r="Q97" s="16" t="s">
        <v>76</v>
      </c>
      <c r="R97" s="16" t="s">
        <v>91</v>
      </c>
      <c r="S97" s="23" t="s">
        <v>326</v>
      </c>
      <c r="T97" s="23" t="s">
        <v>131</v>
      </c>
    </row>
    <row r="98" customFormat="false" ht="19.5" hidden="false" customHeight="true" outlineLevel="0" collapsed="false">
      <c r="A98" s="26" t="s">
        <v>33</v>
      </c>
      <c r="B98" s="26" t="s">
        <v>327</v>
      </c>
      <c r="C98" s="26" t="s">
        <v>317</v>
      </c>
      <c r="D98" s="26" t="s">
        <v>168</v>
      </c>
      <c r="E98" s="32"/>
      <c r="F98" s="33" t="s">
        <v>90</v>
      </c>
      <c r="G98" s="29" t="s">
        <v>69</v>
      </c>
      <c r="H98" s="29" t="s">
        <v>70</v>
      </c>
      <c r="I98" s="29" t="s">
        <v>71</v>
      </c>
      <c r="J98" s="29" t="s">
        <v>72</v>
      </c>
      <c r="K98" s="29" t="s">
        <v>179</v>
      </c>
      <c r="L98" s="29" t="s">
        <v>250</v>
      </c>
      <c r="M98" s="29" t="s">
        <v>293</v>
      </c>
      <c r="N98" s="29" t="s">
        <v>76</v>
      </c>
      <c r="O98" s="29" t="s">
        <v>76</v>
      </c>
      <c r="P98" s="29" t="s">
        <v>76</v>
      </c>
      <c r="Q98" s="29" t="s">
        <v>76</v>
      </c>
      <c r="R98" s="29" t="s">
        <v>91</v>
      </c>
      <c r="S98" s="26" t="s">
        <v>328</v>
      </c>
      <c r="T98" s="26" t="s">
        <v>329</v>
      </c>
    </row>
    <row r="99" customFormat="false" ht="19.5" hidden="false" customHeight="true" outlineLevel="0" collapsed="false">
      <c r="A99" s="23" t="s">
        <v>33</v>
      </c>
      <c r="B99" s="23" t="s">
        <v>330</v>
      </c>
      <c r="C99" s="23" t="s">
        <v>317</v>
      </c>
      <c r="D99" s="23" t="s">
        <v>157</v>
      </c>
      <c r="E99" s="32"/>
      <c r="F99" s="33" t="s">
        <v>90</v>
      </c>
      <c r="G99" s="16" t="s">
        <v>69</v>
      </c>
      <c r="H99" s="16" t="s">
        <v>70</v>
      </c>
      <c r="I99" s="16" t="s">
        <v>71</v>
      </c>
      <c r="J99" s="16" t="s">
        <v>72</v>
      </c>
      <c r="K99" s="16" t="s">
        <v>179</v>
      </c>
      <c r="L99" s="16" t="s">
        <v>250</v>
      </c>
      <c r="M99" s="16" t="s">
        <v>293</v>
      </c>
      <c r="N99" s="16" t="s">
        <v>76</v>
      </c>
      <c r="O99" s="16" t="s">
        <v>76</v>
      </c>
      <c r="P99" s="16" t="s">
        <v>76</v>
      </c>
      <c r="Q99" s="16" t="s">
        <v>76</v>
      </c>
      <c r="R99" s="16" t="s">
        <v>91</v>
      </c>
      <c r="S99" s="23" t="s">
        <v>326</v>
      </c>
      <c r="T99" s="23" t="s">
        <v>131</v>
      </c>
    </row>
    <row r="100" customFormat="false" ht="19.5" hidden="false" customHeight="true" outlineLevel="0" collapsed="false">
      <c r="A100" s="26" t="s">
        <v>34</v>
      </c>
      <c r="B100" s="26" t="s">
        <v>331</v>
      </c>
      <c r="C100" s="26" t="s">
        <v>332</v>
      </c>
      <c r="D100" s="26" t="s">
        <v>333</v>
      </c>
      <c r="E100" s="99"/>
      <c r="F100" s="78" t="s">
        <v>334</v>
      </c>
      <c r="G100" s="29" t="s">
        <v>69</v>
      </c>
      <c r="H100" s="29" t="s">
        <v>70</v>
      </c>
      <c r="I100" s="29" t="s">
        <v>71</v>
      </c>
      <c r="J100" s="29" t="s">
        <v>72</v>
      </c>
      <c r="K100" s="29" t="s">
        <v>179</v>
      </c>
      <c r="L100" s="29" t="s">
        <v>250</v>
      </c>
      <c r="M100" s="29" t="s">
        <v>293</v>
      </c>
      <c r="N100" s="29" t="s">
        <v>76</v>
      </c>
      <c r="O100" s="29" t="s">
        <v>76</v>
      </c>
      <c r="P100" s="29" t="s">
        <v>76</v>
      </c>
      <c r="Q100" s="29" t="s">
        <v>76</v>
      </c>
      <c r="R100" s="29" t="s">
        <v>78</v>
      </c>
      <c r="S100" s="26" t="s">
        <v>335</v>
      </c>
      <c r="T100" s="26" t="s">
        <v>336</v>
      </c>
    </row>
    <row r="101" customFormat="false" ht="19.5" hidden="false" customHeight="true" outlineLevel="0" collapsed="false">
      <c r="A101" s="23" t="s">
        <v>34</v>
      </c>
      <c r="B101" s="23" t="s">
        <v>337</v>
      </c>
      <c r="C101" s="23" t="s">
        <v>332</v>
      </c>
      <c r="D101" s="23" t="s">
        <v>338</v>
      </c>
      <c r="E101" s="100"/>
      <c r="F101" s="101" t="s">
        <v>339</v>
      </c>
      <c r="G101" s="16" t="s">
        <v>69</v>
      </c>
      <c r="H101" s="16" t="s">
        <v>70</v>
      </c>
      <c r="I101" s="16" t="s">
        <v>71</v>
      </c>
      <c r="J101" s="16" t="s">
        <v>72</v>
      </c>
      <c r="K101" s="16" t="s">
        <v>249</v>
      </c>
      <c r="L101" s="16" t="s">
        <v>250</v>
      </c>
      <c r="M101" s="16" t="s">
        <v>293</v>
      </c>
      <c r="N101" s="16" t="s">
        <v>76</v>
      </c>
      <c r="O101" s="16" t="s">
        <v>76</v>
      </c>
      <c r="P101" s="16" t="s">
        <v>76</v>
      </c>
      <c r="Q101" s="16" t="s">
        <v>76</v>
      </c>
      <c r="R101" s="16" t="s">
        <v>78</v>
      </c>
      <c r="S101" s="23" t="s">
        <v>335</v>
      </c>
      <c r="T101" s="23" t="s">
        <v>340</v>
      </c>
    </row>
    <row r="102" customFormat="false" ht="19.5" hidden="false" customHeight="true" outlineLevel="0" collapsed="false">
      <c r="A102" s="26" t="s">
        <v>34</v>
      </c>
      <c r="B102" s="26" t="s">
        <v>341</v>
      </c>
      <c r="C102" s="26" t="s">
        <v>332</v>
      </c>
      <c r="D102" s="26" t="s">
        <v>342</v>
      </c>
      <c r="E102" s="55"/>
      <c r="F102" s="102" t="s">
        <v>343</v>
      </c>
      <c r="G102" s="29" t="s">
        <v>69</v>
      </c>
      <c r="H102" s="29" t="s">
        <v>70</v>
      </c>
      <c r="I102" s="29" t="s">
        <v>71</v>
      </c>
      <c r="J102" s="29" t="s">
        <v>72</v>
      </c>
      <c r="K102" s="29" t="s">
        <v>179</v>
      </c>
      <c r="L102" s="29" t="s">
        <v>250</v>
      </c>
      <c r="M102" s="29" t="s">
        <v>293</v>
      </c>
      <c r="N102" s="29" t="s">
        <v>76</v>
      </c>
      <c r="O102" s="29" t="s">
        <v>76</v>
      </c>
      <c r="P102" s="29" t="s">
        <v>76</v>
      </c>
      <c r="Q102" s="29" t="s">
        <v>76</v>
      </c>
      <c r="R102" s="29" t="s">
        <v>78</v>
      </c>
      <c r="S102" s="26" t="s">
        <v>335</v>
      </c>
      <c r="T102" s="26" t="s">
        <v>344</v>
      </c>
    </row>
    <row r="103" customFormat="false" ht="19.5" hidden="false" customHeight="true" outlineLevel="0" collapsed="false">
      <c r="A103" s="23" t="s">
        <v>35</v>
      </c>
      <c r="B103" s="23" t="s">
        <v>345</v>
      </c>
      <c r="C103" s="23" t="s">
        <v>346</v>
      </c>
      <c r="D103" s="23" t="s">
        <v>125</v>
      </c>
      <c r="E103" s="103"/>
      <c r="F103" s="104" t="s">
        <v>347</v>
      </c>
      <c r="G103" s="16" t="s">
        <v>69</v>
      </c>
      <c r="H103" s="16" t="s">
        <v>126</v>
      </c>
      <c r="I103" s="16" t="s">
        <v>71</v>
      </c>
      <c r="J103" s="16" t="s">
        <v>72</v>
      </c>
      <c r="K103" s="16" t="s">
        <v>249</v>
      </c>
      <c r="L103" s="16" t="s">
        <v>250</v>
      </c>
      <c r="M103" s="16" t="s">
        <v>251</v>
      </c>
      <c r="N103" s="16" t="s">
        <v>76</v>
      </c>
      <c r="O103" s="16" t="s">
        <v>76</v>
      </c>
      <c r="P103" s="16" t="s">
        <v>76</v>
      </c>
      <c r="Q103" s="16" t="s">
        <v>76</v>
      </c>
      <c r="R103" s="16" t="s">
        <v>78</v>
      </c>
      <c r="S103" s="23" t="s">
        <v>348</v>
      </c>
      <c r="T103" s="23" t="s">
        <v>307</v>
      </c>
    </row>
    <row r="104" customFormat="false" ht="19.5" hidden="false" customHeight="true" outlineLevel="0" collapsed="false">
      <c r="A104" s="26" t="s">
        <v>35</v>
      </c>
      <c r="B104" s="26" t="s">
        <v>349</v>
      </c>
      <c r="C104" s="26" t="s">
        <v>346</v>
      </c>
      <c r="D104" s="26" t="s">
        <v>133</v>
      </c>
      <c r="E104" s="30"/>
      <c r="F104" s="31" t="s">
        <v>350</v>
      </c>
      <c r="G104" s="29" t="s">
        <v>69</v>
      </c>
      <c r="H104" s="29" t="s">
        <v>126</v>
      </c>
      <c r="I104" s="29" t="s">
        <v>71</v>
      </c>
      <c r="J104" s="29" t="s">
        <v>72</v>
      </c>
      <c r="K104" s="29" t="s">
        <v>249</v>
      </c>
      <c r="L104" s="29" t="s">
        <v>250</v>
      </c>
      <c r="M104" s="29" t="s">
        <v>251</v>
      </c>
      <c r="N104" s="29" t="s">
        <v>76</v>
      </c>
      <c r="O104" s="29" t="s">
        <v>76</v>
      </c>
      <c r="P104" s="29" t="s">
        <v>76</v>
      </c>
      <c r="Q104" s="29" t="s">
        <v>76</v>
      </c>
      <c r="R104" s="29" t="s">
        <v>78</v>
      </c>
      <c r="S104" s="26" t="s">
        <v>348</v>
      </c>
      <c r="T104" s="26" t="s">
        <v>307</v>
      </c>
    </row>
    <row r="105" customFormat="false" ht="19.5" hidden="false" customHeight="true" outlineLevel="0" collapsed="false">
      <c r="A105" s="23" t="s">
        <v>35</v>
      </c>
      <c r="B105" s="23" t="s">
        <v>351</v>
      </c>
      <c r="C105" s="23" t="s">
        <v>346</v>
      </c>
      <c r="D105" s="23" t="s">
        <v>352</v>
      </c>
      <c r="E105" s="105"/>
      <c r="F105" s="106" t="s">
        <v>353</v>
      </c>
      <c r="G105" s="16" t="s">
        <v>69</v>
      </c>
      <c r="H105" s="16" t="s">
        <v>126</v>
      </c>
      <c r="I105" s="16" t="s">
        <v>71</v>
      </c>
      <c r="J105" s="16" t="s">
        <v>72</v>
      </c>
      <c r="K105" s="16" t="s">
        <v>249</v>
      </c>
      <c r="L105" s="16" t="s">
        <v>250</v>
      </c>
      <c r="M105" s="16" t="s">
        <v>251</v>
      </c>
      <c r="N105" s="16" t="s">
        <v>76</v>
      </c>
      <c r="O105" s="16" t="s">
        <v>76</v>
      </c>
      <c r="P105" s="16" t="s">
        <v>76</v>
      </c>
      <c r="Q105" s="16" t="s">
        <v>76</v>
      </c>
      <c r="R105" s="16" t="s">
        <v>78</v>
      </c>
      <c r="S105" s="23" t="s">
        <v>348</v>
      </c>
      <c r="T105" s="23" t="s">
        <v>307</v>
      </c>
    </row>
    <row r="106" customFormat="false" ht="19.5" hidden="false" customHeight="true" outlineLevel="0" collapsed="false">
      <c r="A106" s="26" t="s">
        <v>35</v>
      </c>
      <c r="B106" s="26" t="s">
        <v>354</v>
      </c>
      <c r="C106" s="26" t="s">
        <v>346</v>
      </c>
      <c r="D106" s="26" t="s">
        <v>355</v>
      </c>
      <c r="E106" s="107"/>
      <c r="F106" s="108" t="s">
        <v>356</v>
      </c>
      <c r="G106" s="29" t="s">
        <v>69</v>
      </c>
      <c r="H106" s="29" t="s">
        <v>126</v>
      </c>
      <c r="I106" s="29" t="s">
        <v>71</v>
      </c>
      <c r="J106" s="29" t="s">
        <v>72</v>
      </c>
      <c r="K106" s="29" t="s">
        <v>249</v>
      </c>
      <c r="L106" s="29" t="s">
        <v>250</v>
      </c>
      <c r="M106" s="29" t="s">
        <v>251</v>
      </c>
      <c r="N106" s="29" t="s">
        <v>76</v>
      </c>
      <c r="O106" s="29" t="s">
        <v>76</v>
      </c>
      <c r="P106" s="29" t="s">
        <v>76</v>
      </c>
      <c r="Q106" s="29" t="s">
        <v>76</v>
      </c>
      <c r="R106" s="29" t="s">
        <v>78</v>
      </c>
      <c r="S106" s="26" t="s">
        <v>348</v>
      </c>
      <c r="T106" s="26" t="s">
        <v>307</v>
      </c>
    </row>
    <row r="107" customFormat="false" ht="19.5" hidden="false" customHeight="true" outlineLevel="0" collapsed="false">
      <c r="A107" s="23" t="s">
        <v>35</v>
      </c>
      <c r="B107" s="23" t="s">
        <v>357</v>
      </c>
      <c r="C107" s="23" t="s">
        <v>346</v>
      </c>
      <c r="D107" s="23" t="s">
        <v>358</v>
      </c>
      <c r="E107" s="109"/>
      <c r="F107" s="110" t="s">
        <v>359</v>
      </c>
      <c r="G107" s="16" t="s">
        <v>69</v>
      </c>
      <c r="H107" s="16" t="s">
        <v>126</v>
      </c>
      <c r="I107" s="16" t="s">
        <v>71</v>
      </c>
      <c r="J107" s="16" t="s">
        <v>72</v>
      </c>
      <c r="K107" s="16" t="s">
        <v>249</v>
      </c>
      <c r="L107" s="16" t="s">
        <v>250</v>
      </c>
      <c r="M107" s="16" t="s">
        <v>251</v>
      </c>
      <c r="N107" s="16" t="s">
        <v>76</v>
      </c>
      <c r="O107" s="16" t="s">
        <v>76</v>
      </c>
      <c r="P107" s="16" t="s">
        <v>76</v>
      </c>
      <c r="Q107" s="16" t="s">
        <v>76</v>
      </c>
      <c r="R107" s="16" t="s">
        <v>78</v>
      </c>
      <c r="S107" s="23" t="s">
        <v>348</v>
      </c>
      <c r="T107" s="23" t="s">
        <v>307</v>
      </c>
    </row>
    <row r="108" customFormat="false" ht="19.5" hidden="false" customHeight="true" outlineLevel="0" collapsed="false">
      <c r="A108" s="26" t="s">
        <v>35</v>
      </c>
      <c r="B108" s="26" t="s">
        <v>360</v>
      </c>
      <c r="C108" s="26" t="s">
        <v>346</v>
      </c>
      <c r="D108" s="26" t="s">
        <v>361</v>
      </c>
      <c r="E108" s="111"/>
      <c r="F108" s="112" t="s">
        <v>362</v>
      </c>
      <c r="G108" s="29" t="s">
        <v>69</v>
      </c>
      <c r="H108" s="29" t="s">
        <v>126</v>
      </c>
      <c r="I108" s="29" t="s">
        <v>71</v>
      </c>
      <c r="J108" s="29" t="s">
        <v>72</v>
      </c>
      <c r="K108" s="29" t="s">
        <v>249</v>
      </c>
      <c r="L108" s="29" t="s">
        <v>250</v>
      </c>
      <c r="M108" s="29" t="s">
        <v>251</v>
      </c>
      <c r="N108" s="29" t="s">
        <v>76</v>
      </c>
      <c r="O108" s="29" t="s">
        <v>76</v>
      </c>
      <c r="P108" s="29" t="s">
        <v>76</v>
      </c>
      <c r="Q108" s="29" t="s">
        <v>76</v>
      </c>
      <c r="R108" s="29" t="s">
        <v>78</v>
      </c>
      <c r="S108" s="26" t="s">
        <v>363</v>
      </c>
      <c r="T108" s="26" t="s">
        <v>307</v>
      </c>
    </row>
    <row r="109" customFormat="false" ht="19.5" hidden="false" customHeight="true" outlineLevel="0" collapsed="false">
      <c r="A109" s="23" t="s">
        <v>35</v>
      </c>
      <c r="B109" s="23" t="s">
        <v>364</v>
      </c>
      <c r="C109" s="23" t="s">
        <v>346</v>
      </c>
      <c r="D109" s="23" t="s">
        <v>168</v>
      </c>
      <c r="E109" s="113"/>
      <c r="F109" s="114" t="s">
        <v>365</v>
      </c>
      <c r="G109" s="16" t="s">
        <v>69</v>
      </c>
      <c r="H109" s="16" t="s">
        <v>126</v>
      </c>
      <c r="I109" s="16" t="s">
        <v>71</v>
      </c>
      <c r="J109" s="16" t="s">
        <v>72</v>
      </c>
      <c r="K109" s="16" t="s">
        <v>249</v>
      </c>
      <c r="L109" s="16" t="s">
        <v>250</v>
      </c>
      <c r="M109" s="16" t="s">
        <v>251</v>
      </c>
      <c r="N109" s="16" t="s">
        <v>76</v>
      </c>
      <c r="O109" s="16" t="s">
        <v>76</v>
      </c>
      <c r="P109" s="16" t="s">
        <v>76</v>
      </c>
      <c r="Q109" s="16" t="s">
        <v>76</v>
      </c>
      <c r="R109" s="16" t="s">
        <v>78</v>
      </c>
      <c r="S109" s="23" t="s">
        <v>366</v>
      </c>
      <c r="T109" s="23" t="s">
        <v>367</v>
      </c>
    </row>
    <row r="110" customFormat="false" ht="19.5" hidden="false" customHeight="true" outlineLevel="0" collapsed="false">
      <c r="A110" s="26" t="s">
        <v>35</v>
      </c>
      <c r="B110" s="26" t="s">
        <v>368</v>
      </c>
      <c r="C110" s="26" t="s">
        <v>346</v>
      </c>
      <c r="D110" s="26" t="s">
        <v>369</v>
      </c>
      <c r="E110" s="32"/>
      <c r="F110" s="33" t="s">
        <v>370</v>
      </c>
      <c r="G110" s="29" t="s">
        <v>69</v>
      </c>
      <c r="H110" s="29" t="s">
        <v>126</v>
      </c>
      <c r="I110" s="29" t="s">
        <v>71</v>
      </c>
      <c r="J110" s="29" t="s">
        <v>72</v>
      </c>
      <c r="K110" s="29" t="s">
        <v>249</v>
      </c>
      <c r="L110" s="29" t="s">
        <v>250</v>
      </c>
      <c r="M110" s="29" t="s">
        <v>251</v>
      </c>
      <c r="N110" s="29" t="s">
        <v>76</v>
      </c>
      <c r="O110" s="29" t="s">
        <v>76</v>
      </c>
      <c r="P110" s="29" t="s">
        <v>76</v>
      </c>
      <c r="Q110" s="29" t="s">
        <v>76</v>
      </c>
      <c r="R110" s="29" t="s">
        <v>78</v>
      </c>
      <c r="S110" s="26" t="s">
        <v>348</v>
      </c>
      <c r="T110" s="26" t="s">
        <v>307</v>
      </c>
    </row>
    <row r="111" customFormat="false" ht="19.5" hidden="false" customHeight="true" outlineLevel="0" collapsed="false">
      <c r="A111" s="23" t="s">
        <v>35</v>
      </c>
      <c r="B111" s="23" t="s">
        <v>371</v>
      </c>
      <c r="C111" s="23" t="s">
        <v>346</v>
      </c>
      <c r="D111" s="23" t="s">
        <v>372</v>
      </c>
      <c r="E111" s="115"/>
      <c r="F111" s="116" t="s">
        <v>373</v>
      </c>
      <c r="G111" s="16" t="s">
        <v>69</v>
      </c>
      <c r="H111" s="16" t="s">
        <v>126</v>
      </c>
      <c r="I111" s="16" t="s">
        <v>71</v>
      </c>
      <c r="J111" s="16" t="s">
        <v>72</v>
      </c>
      <c r="K111" s="16" t="s">
        <v>249</v>
      </c>
      <c r="L111" s="16" t="s">
        <v>250</v>
      </c>
      <c r="M111" s="16" t="s">
        <v>251</v>
      </c>
      <c r="N111" s="16" t="s">
        <v>76</v>
      </c>
      <c r="O111" s="16" t="s">
        <v>76</v>
      </c>
      <c r="P111" s="16" t="s">
        <v>76</v>
      </c>
      <c r="Q111" s="16" t="s">
        <v>76</v>
      </c>
      <c r="R111" s="16" t="s">
        <v>78</v>
      </c>
      <c r="S111" s="23" t="s">
        <v>348</v>
      </c>
      <c r="T111" s="23" t="s">
        <v>307</v>
      </c>
    </row>
    <row r="112" customFormat="false" ht="19.5" hidden="false" customHeight="true" outlineLevel="0" collapsed="false">
      <c r="A112" s="26" t="s">
        <v>36</v>
      </c>
      <c r="B112" s="26" t="s">
        <v>374</v>
      </c>
      <c r="C112" s="26" t="s">
        <v>375</v>
      </c>
      <c r="D112" s="26" t="s">
        <v>376</v>
      </c>
      <c r="E112" s="32"/>
      <c r="F112" s="33" t="s">
        <v>90</v>
      </c>
      <c r="G112" s="29" t="s">
        <v>69</v>
      </c>
      <c r="H112" s="29" t="s">
        <v>70</v>
      </c>
      <c r="I112" s="29" t="s">
        <v>71</v>
      </c>
      <c r="J112" s="29" t="s">
        <v>72</v>
      </c>
      <c r="K112" s="29" t="s">
        <v>179</v>
      </c>
      <c r="L112" s="29" t="s">
        <v>250</v>
      </c>
      <c r="M112" s="29" t="s">
        <v>293</v>
      </c>
      <c r="N112" s="29" t="s">
        <v>76</v>
      </c>
      <c r="O112" s="29" t="s">
        <v>76</v>
      </c>
      <c r="P112" s="29" t="s">
        <v>76</v>
      </c>
      <c r="Q112" s="29" t="s">
        <v>76</v>
      </c>
      <c r="R112" s="29" t="s">
        <v>91</v>
      </c>
      <c r="S112" s="26" t="s">
        <v>377</v>
      </c>
      <c r="T112" s="26" t="s">
        <v>131</v>
      </c>
    </row>
    <row r="113" customFormat="false" ht="19.5" hidden="false" customHeight="true" outlineLevel="0" collapsed="false">
      <c r="A113" s="23" t="s">
        <v>36</v>
      </c>
      <c r="B113" s="23" t="s">
        <v>378</v>
      </c>
      <c r="C113" s="23" t="s">
        <v>375</v>
      </c>
      <c r="D113" s="23" t="s">
        <v>379</v>
      </c>
      <c r="E113" s="32"/>
      <c r="F113" s="33" t="s">
        <v>90</v>
      </c>
      <c r="G113" s="16" t="s">
        <v>69</v>
      </c>
      <c r="H113" s="16" t="s">
        <v>70</v>
      </c>
      <c r="I113" s="16" t="s">
        <v>71</v>
      </c>
      <c r="J113" s="16" t="s">
        <v>72</v>
      </c>
      <c r="K113" s="16" t="s">
        <v>179</v>
      </c>
      <c r="L113" s="16" t="s">
        <v>250</v>
      </c>
      <c r="M113" s="16" t="s">
        <v>293</v>
      </c>
      <c r="N113" s="16" t="s">
        <v>76</v>
      </c>
      <c r="O113" s="16" t="s">
        <v>76</v>
      </c>
      <c r="P113" s="16" t="s">
        <v>76</v>
      </c>
      <c r="Q113" s="16" t="s">
        <v>76</v>
      </c>
      <c r="R113" s="16" t="s">
        <v>91</v>
      </c>
      <c r="S113" s="23" t="s">
        <v>377</v>
      </c>
      <c r="T113" s="23" t="s">
        <v>131</v>
      </c>
    </row>
    <row r="114" customFormat="false" ht="19.5" hidden="false" customHeight="true" outlineLevel="0" collapsed="false">
      <c r="A114" s="26" t="s">
        <v>36</v>
      </c>
      <c r="B114" s="26" t="s">
        <v>380</v>
      </c>
      <c r="C114" s="26" t="s">
        <v>375</v>
      </c>
      <c r="D114" s="26" t="s">
        <v>381</v>
      </c>
      <c r="E114" s="32"/>
      <c r="F114" s="33" t="s">
        <v>90</v>
      </c>
      <c r="G114" s="29" t="s">
        <v>69</v>
      </c>
      <c r="H114" s="29" t="s">
        <v>70</v>
      </c>
      <c r="I114" s="29" t="s">
        <v>71</v>
      </c>
      <c r="J114" s="29" t="s">
        <v>72</v>
      </c>
      <c r="K114" s="29" t="s">
        <v>179</v>
      </c>
      <c r="L114" s="29" t="s">
        <v>250</v>
      </c>
      <c r="M114" s="29" t="s">
        <v>293</v>
      </c>
      <c r="N114" s="29" t="s">
        <v>76</v>
      </c>
      <c r="O114" s="29" t="s">
        <v>76</v>
      </c>
      <c r="P114" s="29" t="s">
        <v>76</v>
      </c>
      <c r="Q114" s="29" t="s">
        <v>76</v>
      </c>
      <c r="R114" s="29" t="s">
        <v>91</v>
      </c>
      <c r="S114" s="26" t="s">
        <v>382</v>
      </c>
      <c r="T114" s="26" t="s">
        <v>131</v>
      </c>
    </row>
    <row r="115" customFormat="false" ht="19.5" hidden="false" customHeight="true" outlineLevel="0" collapsed="false">
      <c r="A115" s="23" t="s">
        <v>36</v>
      </c>
      <c r="B115" s="23" t="s">
        <v>383</v>
      </c>
      <c r="C115" s="23" t="s">
        <v>375</v>
      </c>
      <c r="D115" s="23" t="s">
        <v>384</v>
      </c>
      <c r="E115" s="32"/>
      <c r="F115" s="33" t="s">
        <v>90</v>
      </c>
      <c r="G115" s="16" t="s">
        <v>69</v>
      </c>
      <c r="H115" s="16" t="s">
        <v>70</v>
      </c>
      <c r="I115" s="16" t="s">
        <v>71</v>
      </c>
      <c r="J115" s="16" t="s">
        <v>72</v>
      </c>
      <c r="K115" s="16" t="s">
        <v>179</v>
      </c>
      <c r="L115" s="16" t="s">
        <v>250</v>
      </c>
      <c r="M115" s="16" t="s">
        <v>293</v>
      </c>
      <c r="N115" s="16" t="s">
        <v>76</v>
      </c>
      <c r="O115" s="16" t="s">
        <v>76</v>
      </c>
      <c r="P115" s="16" t="s">
        <v>76</v>
      </c>
      <c r="Q115" s="16" t="s">
        <v>76</v>
      </c>
      <c r="R115" s="16" t="s">
        <v>91</v>
      </c>
      <c r="S115" s="23" t="s">
        <v>377</v>
      </c>
      <c r="T115" s="23" t="s">
        <v>131</v>
      </c>
    </row>
    <row r="116" customFormat="false" ht="19.5" hidden="false" customHeight="true" outlineLevel="0" collapsed="false">
      <c r="A116" s="26" t="s">
        <v>37</v>
      </c>
      <c r="B116" s="26" t="s">
        <v>385</v>
      </c>
      <c r="C116" s="26" t="s">
        <v>386</v>
      </c>
      <c r="D116" s="26" t="s">
        <v>125</v>
      </c>
      <c r="E116" s="57"/>
      <c r="F116" s="58" t="s">
        <v>178</v>
      </c>
      <c r="G116" s="29" t="s">
        <v>69</v>
      </c>
      <c r="H116" s="29" t="s">
        <v>70</v>
      </c>
      <c r="I116" s="29" t="s">
        <v>71</v>
      </c>
      <c r="J116" s="29" t="s">
        <v>72</v>
      </c>
      <c r="K116" s="29" t="s">
        <v>179</v>
      </c>
      <c r="L116" s="29" t="s">
        <v>180</v>
      </c>
      <c r="M116" s="29" t="s">
        <v>181</v>
      </c>
      <c r="N116" s="29" t="s">
        <v>76</v>
      </c>
      <c r="O116" s="29" t="s">
        <v>76</v>
      </c>
      <c r="P116" s="29" t="s">
        <v>76</v>
      </c>
      <c r="Q116" s="29" t="s">
        <v>76</v>
      </c>
      <c r="R116" s="29" t="s">
        <v>182</v>
      </c>
      <c r="S116" s="26" t="s">
        <v>387</v>
      </c>
      <c r="T116" s="26" t="s">
        <v>184</v>
      </c>
    </row>
    <row r="117" customFormat="false" ht="19.5" hidden="false" customHeight="true" outlineLevel="0" collapsed="false">
      <c r="A117" s="23" t="s">
        <v>37</v>
      </c>
      <c r="B117" s="23" t="s">
        <v>388</v>
      </c>
      <c r="C117" s="23" t="s">
        <v>386</v>
      </c>
      <c r="D117" s="23" t="s">
        <v>133</v>
      </c>
      <c r="E117" s="39"/>
      <c r="F117" s="31" t="s">
        <v>134</v>
      </c>
      <c r="G117" s="16" t="s">
        <v>69</v>
      </c>
      <c r="H117" s="16" t="s">
        <v>70</v>
      </c>
      <c r="I117" s="16" t="s">
        <v>71</v>
      </c>
      <c r="J117" s="16" t="s">
        <v>72</v>
      </c>
      <c r="K117" s="16" t="s">
        <v>179</v>
      </c>
      <c r="L117" s="16" t="s">
        <v>180</v>
      </c>
      <c r="M117" s="16" t="s">
        <v>181</v>
      </c>
      <c r="N117" s="16" t="s">
        <v>76</v>
      </c>
      <c r="O117" s="16" t="s">
        <v>76</v>
      </c>
      <c r="P117" s="16" t="s">
        <v>76</v>
      </c>
      <c r="Q117" s="16" t="s">
        <v>76</v>
      </c>
      <c r="R117" s="16" t="s">
        <v>182</v>
      </c>
      <c r="S117" s="23" t="s">
        <v>387</v>
      </c>
      <c r="T117" s="23" t="s">
        <v>184</v>
      </c>
    </row>
    <row r="118" customFormat="false" ht="19.5" hidden="false" customHeight="true" outlineLevel="0" collapsed="false">
      <c r="A118" s="26" t="s">
        <v>37</v>
      </c>
      <c r="B118" s="26" t="s">
        <v>389</v>
      </c>
      <c r="C118" s="26" t="s">
        <v>386</v>
      </c>
      <c r="D118" s="26" t="s">
        <v>140</v>
      </c>
      <c r="E118" s="59"/>
      <c r="F118" s="60" t="s">
        <v>187</v>
      </c>
      <c r="G118" s="29" t="s">
        <v>69</v>
      </c>
      <c r="H118" s="29" t="s">
        <v>70</v>
      </c>
      <c r="I118" s="29" t="s">
        <v>71</v>
      </c>
      <c r="J118" s="29" t="s">
        <v>72</v>
      </c>
      <c r="K118" s="29" t="s">
        <v>179</v>
      </c>
      <c r="L118" s="29" t="s">
        <v>180</v>
      </c>
      <c r="M118" s="29" t="s">
        <v>181</v>
      </c>
      <c r="N118" s="29" t="s">
        <v>76</v>
      </c>
      <c r="O118" s="29" t="s">
        <v>76</v>
      </c>
      <c r="P118" s="29" t="s">
        <v>76</v>
      </c>
      <c r="Q118" s="29" t="s">
        <v>76</v>
      </c>
      <c r="R118" s="29" t="s">
        <v>182</v>
      </c>
      <c r="S118" s="26" t="s">
        <v>387</v>
      </c>
      <c r="T118" s="26" t="s">
        <v>184</v>
      </c>
    </row>
    <row r="119" customFormat="false" ht="19.5" hidden="false" customHeight="true" outlineLevel="0" collapsed="false">
      <c r="A119" s="23" t="s">
        <v>37</v>
      </c>
      <c r="B119" s="23" t="s">
        <v>390</v>
      </c>
      <c r="C119" s="23" t="s">
        <v>386</v>
      </c>
      <c r="D119" s="23" t="s">
        <v>193</v>
      </c>
      <c r="E119" s="61"/>
      <c r="F119" s="62" t="s">
        <v>194</v>
      </c>
      <c r="G119" s="16" t="s">
        <v>69</v>
      </c>
      <c r="H119" s="16" t="s">
        <v>70</v>
      </c>
      <c r="I119" s="16" t="s">
        <v>71</v>
      </c>
      <c r="J119" s="16" t="s">
        <v>72</v>
      </c>
      <c r="K119" s="16" t="s">
        <v>179</v>
      </c>
      <c r="L119" s="16" t="s">
        <v>180</v>
      </c>
      <c r="M119" s="16" t="s">
        <v>181</v>
      </c>
      <c r="N119" s="16" t="s">
        <v>76</v>
      </c>
      <c r="O119" s="16" t="s">
        <v>76</v>
      </c>
      <c r="P119" s="16" t="s">
        <v>76</v>
      </c>
      <c r="Q119" s="16" t="s">
        <v>76</v>
      </c>
      <c r="R119" s="16" t="s">
        <v>182</v>
      </c>
      <c r="S119" s="23" t="s">
        <v>387</v>
      </c>
      <c r="T119" s="23" t="s">
        <v>184</v>
      </c>
    </row>
    <row r="120" customFormat="false" ht="19.5" hidden="false" customHeight="true" outlineLevel="0" collapsed="false">
      <c r="A120" s="26" t="s">
        <v>37</v>
      </c>
      <c r="B120" s="26" t="s">
        <v>391</v>
      </c>
      <c r="C120" s="26" t="s">
        <v>386</v>
      </c>
      <c r="D120" s="26" t="s">
        <v>89</v>
      </c>
      <c r="E120" s="32"/>
      <c r="F120" s="63" t="s">
        <v>196</v>
      </c>
      <c r="G120" s="29" t="s">
        <v>69</v>
      </c>
      <c r="H120" s="29" t="s">
        <v>70</v>
      </c>
      <c r="I120" s="29" t="s">
        <v>71</v>
      </c>
      <c r="J120" s="29" t="s">
        <v>72</v>
      </c>
      <c r="K120" s="29" t="s">
        <v>179</v>
      </c>
      <c r="L120" s="29" t="s">
        <v>180</v>
      </c>
      <c r="M120" s="29" t="s">
        <v>181</v>
      </c>
      <c r="N120" s="29" t="s">
        <v>76</v>
      </c>
      <c r="O120" s="29" t="s">
        <v>76</v>
      </c>
      <c r="P120" s="29" t="s">
        <v>76</v>
      </c>
      <c r="Q120" s="29" t="s">
        <v>76</v>
      </c>
      <c r="R120" s="29" t="s">
        <v>182</v>
      </c>
      <c r="S120" s="26" t="s">
        <v>387</v>
      </c>
      <c r="T120" s="26" t="s">
        <v>184</v>
      </c>
    </row>
    <row r="121" customFormat="false" ht="19.5" hidden="false" customHeight="true" outlineLevel="0" collapsed="false">
      <c r="A121" s="23" t="s">
        <v>37</v>
      </c>
      <c r="B121" s="23" t="s">
        <v>392</v>
      </c>
      <c r="C121" s="23" t="s">
        <v>386</v>
      </c>
      <c r="D121" s="23" t="s">
        <v>198</v>
      </c>
      <c r="E121" s="64"/>
      <c r="F121" s="65" t="s">
        <v>199</v>
      </c>
      <c r="G121" s="16" t="s">
        <v>69</v>
      </c>
      <c r="H121" s="16" t="s">
        <v>70</v>
      </c>
      <c r="I121" s="16" t="s">
        <v>71</v>
      </c>
      <c r="J121" s="16" t="s">
        <v>72</v>
      </c>
      <c r="K121" s="16" t="s">
        <v>179</v>
      </c>
      <c r="L121" s="16" t="s">
        <v>180</v>
      </c>
      <c r="M121" s="16" t="s">
        <v>181</v>
      </c>
      <c r="N121" s="16" t="s">
        <v>76</v>
      </c>
      <c r="O121" s="16" t="s">
        <v>76</v>
      </c>
      <c r="P121" s="16" t="s">
        <v>76</v>
      </c>
      <c r="Q121" s="16" t="s">
        <v>76</v>
      </c>
      <c r="R121" s="16" t="s">
        <v>182</v>
      </c>
      <c r="S121" s="23" t="s">
        <v>387</v>
      </c>
      <c r="T121" s="23" t="s">
        <v>184</v>
      </c>
    </row>
    <row r="122" customFormat="false" ht="19.5" hidden="false" customHeight="true" outlineLevel="0" collapsed="false">
      <c r="A122" s="26" t="s">
        <v>37</v>
      </c>
      <c r="B122" s="26" t="s">
        <v>393</v>
      </c>
      <c r="C122" s="26" t="s">
        <v>386</v>
      </c>
      <c r="D122" s="26" t="s">
        <v>145</v>
      </c>
      <c r="E122" s="66"/>
      <c r="F122" s="67" t="s">
        <v>201</v>
      </c>
      <c r="G122" s="29" t="s">
        <v>69</v>
      </c>
      <c r="H122" s="29" t="s">
        <v>70</v>
      </c>
      <c r="I122" s="29" t="s">
        <v>71</v>
      </c>
      <c r="J122" s="29" t="s">
        <v>72</v>
      </c>
      <c r="K122" s="29" t="s">
        <v>179</v>
      </c>
      <c r="L122" s="29" t="s">
        <v>180</v>
      </c>
      <c r="M122" s="29" t="s">
        <v>181</v>
      </c>
      <c r="N122" s="29" t="s">
        <v>76</v>
      </c>
      <c r="O122" s="29" t="s">
        <v>76</v>
      </c>
      <c r="P122" s="29" t="s">
        <v>76</v>
      </c>
      <c r="Q122" s="29" t="s">
        <v>76</v>
      </c>
      <c r="R122" s="29" t="s">
        <v>182</v>
      </c>
      <c r="S122" s="26" t="s">
        <v>387</v>
      </c>
      <c r="T122" s="26" t="s">
        <v>184</v>
      </c>
    </row>
    <row r="123" customFormat="false" ht="19.5" hidden="false" customHeight="true" outlineLevel="0" collapsed="false">
      <c r="A123" s="23" t="s">
        <v>37</v>
      </c>
      <c r="B123" s="23" t="s">
        <v>394</v>
      </c>
      <c r="C123" s="23" t="s">
        <v>386</v>
      </c>
      <c r="D123" s="23" t="s">
        <v>168</v>
      </c>
      <c r="E123" s="68"/>
      <c r="F123" s="69" t="s">
        <v>203</v>
      </c>
      <c r="G123" s="16" t="s">
        <v>69</v>
      </c>
      <c r="H123" s="16" t="s">
        <v>70</v>
      </c>
      <c r="I123" s="16" t="s">
        <v>71</v>
      </c>
      <c r="J123" s="16" t="s">
        <v>72</v>
      </c>
      <c r="K123" s="16" t="s">
        <v>179</v>
      </c>
      <c r="L123" s="16" t="s">
        <v>180</v>
      </c>
      <c r="M123" s="16" t="s">
        <v>181</v>
      </c>
      <c r="N123" s="16" t="s">
        <v>76</v>
      </c>
      <c r="O123" s="16" t="s">
        <v>76</v>
      </c>
      <c r="P123" s="16" t="s">
        <v>76</v>
      </c>
      <c r="Q123" s="16" t="s">
        <v>76</v>
      </c>
      <c r="R123" s="16" t="s">
        <v>182</v>
      </c>
      <c r="S123" s="23" t="s">
        <v>387</v>
      </c>
      <c r="T123" s="23" t="s">
        <v>184</v>
      </c>
    </row>
    <row r="124" customFormat="false" ht="19.5" hidden="false" customHeight="true" outlineLevel="0" collapsed="false">
      <c r="A124" s="26" t="s">
        <v>37</v>
      </c>
      <c r="B124" s="26" t="s">
        <v>395</v>
      </c>
      <c r="C124" s="26" t="s">
        <v>386</v>
      </c>
      <c r="D124" s="26" t="s">
        <v>205</v>
      </c>
      <c r="E124" s="70"/>
      <c r="F124" s="71" t="s">
        <v>206</v>
      </c>
      <c r="G124" s="29" t="s">
        <v>69</v>
      </c>
      <c r="H124" s="29" t="s">
        <v>70</v>
      </c>
      <c r="I124" s="29" t="s">
        <v>71</v>
      </c>
      <c r="J124" s="29" t="s">
        <v>72</v>
      </c>
      <c r="K124" s="29" t="s">
        <v>179</v>
      </c>
      <c r="L124" s="29" t="s">
        <v>180</v>
      </c>
      <c r="M124" s="29" t="s">
        <v>181</v>
      </c>
      <c r="N124" s="29" t="s">
        <v>76</v>
      </c>
      <c r="O124" s="29" t="s">
        <v>76</v>
      </c>
      <c r="P124" s="29" t="s">
        <v>76</v>
      </c>
      <c r="Q124" s="29" t="s">
        <v>76</v>
      </c>
      <c r="R124" s="29" t="s">
        <v>182</v>
      </c>
      <c r="S124" s="26" t="s">
        <v>387</v>
      </c>
      <c r="T124" s="26" t="s">
        <v>184</v>
      </c>
    </row>
    <row r="125" customFormat="false" ht="19.5" hidden="false" customHeight="true" outlineLevel="0" collapsed="false">
      <c r="A125" s="23" t="s">
        <v>37</v>
      </c>
      <c r="B125" s="23" t="s">
        <v>396</v>
      </c>
      <c r="C125" s="23" t="s">
        <v>386</v>
      </c>
      <c r="D125" s="23" t="s">
        <v>95</v>
      </c>
      <c r="E125" s="34"/>
      <c r="F125" s="35" t="s">
        <v>148</v>
      </c>
      <c r="G125" s="16" t="s">
        <v>69</v>
      </c>
      <c r="H125" s="16" t="s">
        <v>70</v>
      </c>
      <c r="I125" s="16" t="s">
        <v>71</v>
      </c>
      <c r="J125" s="16" t="s">
        <v>72</v>
      </c>
      <c r="K125" s="16" t="s">
        <v>179</v>
      </c>
      <c r="L125" s="16" t="s">
        <v>180</v>
      </c>
      <c r="M125" s="16" t="s">
        <v>181</v>
      </c>
      <c r="N125" s="16" t="s">
        <v>76</v>
      </c>
      <c r="O125" s="16" t="s">
        <v>76</v>
      </c>
      <c r="P125" s="16" t="s">
        <v>76</v>
      </c>
      <c r="Q125" s="16" t="s">
        <v>76</v>
      </c>
      <c r="R125" s="16" t="s">
        <v>182</v>
      </c>
      <c r="S125" s="23" t="s">
        <v>387</v>
      </c>
      <c r="T125" s="23" t="s">
        <v>184</v>
      </c>
    </row>
    <row r="126" customFormat="false" ht="19.5" hidden="false" customHeight="true" outlineLevel="0" collapsed="false">
      <c r="A126" s="26" t="s">
        <v>37</v>
      </c>
      <c r="B126" s="26" t="s">
        <v>397</v>
      </c>
      <c r="C126" s="26" t="s">
        <v>386</v>
      </c>
      <c r="D126" s="26" t="s">
        <v>209</v>
      </c>
      <c r="E126" s="72"/>
      <c r="F126" s="73" t="s">
        <v>210</v>
      </c>
      <c r="G126" s="29" t="s">
        <v>69</v>
      </c>
      <c r="H126" s="29" t="s">
        <v>70</v>
      </c>
      <c r="I126" s="29" t="s">
        <v>71</v>
      </c>
      <c r="J126" s="29" t="s">
        <v>72</v>
      </c>
      <c r="K126" s="29" t="s">
        <v>179</v>
      </c>
      <c r="L126" s="29" t="s">
        <v>180</v>
      </c>
      <c r="M126" s="29" t="s">
        <v>181</v>
      </c>
      <c r="N126" s="29" t="s">
        <v>76</v>
      </c>
      <c r="O126" s="29" t="s">
        <v>76</v>
      </c>
      <c r="P126" s="29" t="s">
        <v>76</v>
      </c>
      <c r="Q126" s="29" t="s">
        <v>76</v>
      </c>
      <c r="R126" s="29" t="s">
        <v>182</v>
      </c>
      <c r="S126" s="26" t="s">
        <v>387</v>
      </c>
      <c r="T126" s="26" t="s">
        <v>184</v>
      </c>
    </row>
    <row r="127" customFormat="false" ht="19.5" hidden="false" customHeight="true" outlineLevel="0" collapsed="false">
      <c r="A127" s="23" t="s">
        <v>37</v>
      </c>
      <c r="B127" s="23" t="s">
        <v>398</v>
      </c>
      <c r="C127" s="23" t="s">
        <v>386</v>
      </c>
      <c r="D127" s="23" t="s">
        <v>212</v>
      </c>
      <c r="E127" s="74"/>
      <c r="F127" s="75" t="s">
        <v>213</v>
      </c>
      <c r="G127" s="16" t="s">
        <v>69</v>
      </c>
      <c r="H127" s="16" t="s">
        <v>70</v>
      </c>
      <c r="I127" s="16" t="s">
        <v>71</v>
      </c>
      <c r="J127" s="16" t="s">
        <v>72</v>
      </c>
      <c r="K127" s="16" t="s">
        <v>179</v>
      </c>
      <c r="L127" s="16" t="s">
        <v>180</v>
      </c>
      <c r="M127" s="16" t="s">
        <v>181</v>
      </c>
      <c r="N127" s="16" t="s">
        <v>76</v>
      </c>
      <c r="O127" s="16" t="s">
        <v>76</v>
      </c>
      <c r="P127" s="16" t="s">
        <v>76</v>
      </c>
      <c r="Q127" s="16" t="s">
        <v>76</v>
      </c>
      <c r="R127" s="16" t="s">
        <v>182</v>
      </c>
      <c r="S127" s="23" t="s">
        <v>387</v>
      </c>
      <c r="T127" s="23" t="s">
        <v>184</v>
      </c>
    </row>
    <row r="128" customFormat="false" ht="19.5" hidden="false" customHeight="true" outlineLevel="0" collapsed="false">
      <c r="A128" s="26" t="s">
        <v>37</v>
      </c>
      <c r="B128" s="26" t="s">
        <v>399</v>
      </c>
      <c r="C128" s="26" t="s">
        <v>386</v>
      </c>
      <c r="D128" s="26" t="s">
        <v>150</v>
      </c>
      <c r="E128" s="44"/>
      <c r="F128" s="76" t="s">
        <v>215</v>
      </c>
      <c r="G128" s="29" t="s">
        <v>69</v>
      </c>
      <c r="H128" s="29" t="s">
        <v>70</v>
      </c>
      <c r="I128" s="29" t="s">
        <v>71</v>
      </c>
      <c r="J128" s="29" t="s">
        <v>72</v>
      </c>
      <c r="K128" s="29" t="s">
        <v>179</v>
      </c>
      <c r="L128" s="29" t="s">
        <v>180</v>
      </c>
      <c r="M128" s="29" t="s">
        <v>181</v>
      </c>
      <c r="N128" s="29" t="s">
        <v>76</v>
      </c>
      <c r="O128" s="29" t="s">
        <v>76</v>
      </c>
      <c r="P128" s="29" t="s">
        <v>76</v>
      </c>
      <c r="Q128" s="29" t="s">
        <v>76</v>
      </c>
      <c r="R128" s="29" t="s">
        <v>182</v>
      </c>
      <c r="S128" s="26" t="s">
        <v>387</v>
      </c>
      <c r="T128" s="26" t="s">
        <v>184</v>
      </c>
    </row>
    <row r="129" customFormat="false" ht="19.5" hidden="false" customHeight="true" outlineLevel="0" collapsed="false">
      <c r="A129" s="23" t="s">
        <v>37</v>
      </c>
      <c r="B129" s="23" t="s">
        <v>400</v>
      </c>
      <c r="C129" s="23" t="s">
        <v>386</v>
      </c>
      <c r="D129" s="23" t="s">
        <v>217</v>
      </c>
      <c r="E129" s="77"/>
      <c r="F129" s="78" t="s">
        <v>218</v>
      </c>
      <c r="G129" s="16" t="s">
        <v>69</v>
      </c>
      <c r="H129" s="16" t="s">
        <v>70</v>
      </c>
      <c r="I129" s="16" t="s">
        <v>71</v>
      </c>
      <c r="J129" s="16" t="s">
        <v>72</v>
      </c>
      <c r="K129" s="16" t="s">
        <v>179</v>
      </c>
      <c r="L129" s="16" t="s">
        <v>180</v>
      </c>
      <c r="M129" s="16" t="s">
        <v>181</v>
      </c>
      <c r="N129" s="16" t="s">
        <v>76</v>
      </c>
      <c r="O129" s="16" t="s">
        <v>76</v>
      </c>
      <c r="P129" s="16" t="s">
        <v>76</v>
      </c>
      <c r="Q129" s="16" t="s">
        <v>76</v>
      </c>
      <c r="R129" s="16" t="s">
        <v>182</v>
      </c>
      <c r="S129" s="23" t="s">
        <v>387</v>
      </c>
      <c r="T129" s="23" t="s">
        <v>219</v>
      </c>
    </row>
    <row r="130" customFormat="false" ht="19.5" hidden="false" customHeight="true" outlineLevel="0" collapsed="false">
      <c r="A130" s="26" t="s">
        <v>37</v>
      </c>
      <c r="B130" s="26" t="s">
        <v>401</v>
      </c>
      <c r="C130" s="26" t="s">
        <v>386</v>
      </c>
      <c r="D130" s="26" t="s">
        <v>98</v>
      </c>
      <c r="E130" s="16"/>
      <c r="F130" s="36" t="s">
        <v>99</v>
      </c>
      <c r="G130" s="29" t="s">
        <v>69</v>
      </c>
      <c r="H130" s="29" t="s">
        <v>70</v>
      </c>
      <c r="I130" s="29" t="s">
        <v>71</v>
      </c>
      <c r="J130" s="29" t="s">
        <v>72</v>
      </c>
      <c r="K130" s="29" t="s">
        <v>179</v>
      </c>
      <c r="L130" s="29" t="s">
        <v>180</v>
      </c>
      <c r="M130" s="29" t="s">
        <v>181</v>
      </c>
      <c r="N130" s="29" t="s">
        <v>76</v>
      </c>
      <c r="O130" s="29" t="s">
        <v>76</v>
      </c>
      <c r="P130" s="29" t="s">
        <v>76</v>
      </c>
      <c r="Q130" s="29" t="s">
        <v>76</v>
      </c>
      <c r="R130" s="29" t="s">
        <v>182</v>
      </c>
      <c r="S130" s="26" t="s">
        <v>387</v>
      </c>
      <c r="T130" s="26" t="s">
        <v>184</v>
      </c>
    </row>
    <row r="131" customFormat="false" ht="19.5" hidden="false" customHeight="true" outlineLevel="0" collapsed="false">
      <c r="A131" s="23" t="s">
        <v>37</v>
      </c>
      <c r="B131" s="23" t="s">
        <v>402</v>
      </c>
      <c r="C131" s="23" t="s">
        <v>386</v>
      </c>
      <c r="D131" s="23" t="s">
        <v>222</v>
      </c>
      <c r="E131" s="79"/>
      <c r="F131" s="80" t="s">
        <v>223</v>
      </c>
      <c r="G131" s="16" t="s">
        <v>69</v>
      </c>
      <c r="H131" s="16" t="s">
        <v>70</v>
      </c>
      <c r="I131" s="16" t="s">
        <v>71</v>
      </c>
      <c r="J131" s="16" t="s">
        <v>72</v>
      </c>
      <c r="K131" s="16" t="s">
        <v>179</v>
      </c>
      <c r="L131" s="16" t="s">
        <v>180</v>
      </c>
      <c r="M131" s="16" t="s">
        <v>181</v>
      </c>
      <c r="N131" s="16" t="s">
        <v>76</v>
      </c>
      <c r="O131" s="16" t="s">
        <v>76</v>
      </c>
      <c r="P131" s="16" t="s">
        <v>76</v>
      </c>
      <c r="Q131" s="16" t="s">
        <v>76</v>
      </c>
      <c r="R131" s="16" t="s">
        <v>182</v>
      </c>
      <c r="S131" s="23" t="s">
        <v>387</v>
      </c>
      <c r="T131" s="23" t="s">
        <v>184</v>
      </c>
    </row>
    <row r="132" customFormat="false" ht="19.5" hidden="false" customHeight="true" outlineLevel="0" collapsed="false">
      <c r="A132" s="26" t="s">
        <v>37</v>
      </c>
      <c r="B132" s="26" t="s">
        <v>403</v>
      </c>
      <c r="C132" s="26" t="s">
        <v>386</v>
      </c>
      <c r="D132" s="26" t="s">
        <v>157</v>
      </c>
      <c r="E132" s="81"/>
      <c r="F132" s="82" t="s">
        <v>225</v>
      </c>
      <c r="G132" s="29" t="s">
        <v>69</v>
      </c>
      <c r="H132" s="29" t="s">
        <v>70</v>
      </c>
      <c r="I132" s="29" t="s">
        <v>71</v>
      </c>
      <c r="J132" s="29" t="s">
        <v>72</v>
      </c>
      <c r="K132" s="29" t="s">
        <v>179</v>
      </c>
      <c r="L132" s="29" t="s">
        <v>180</v>
      </c>
      <c r="M132" s="29" t="s">
        <v>181</v>
      </c>
      <c r="N132" s="29" t="s">
        <v>76</v>
      </c>
      <c r="O132" s="29" t="s">
        <v>76</v>
      </c>
      <c r="P132" s="29" t="s">
        <v>76</v>
      </c>
      <c r="Q132" s="29" t="s">
        <v>76</v>
      </c>
      <c r="R132" s="29" t="s">
        <v>182</v>
      </c>
      <c r="S132" s="26" t="s">
        <v>387</v>
      </c>
      <c r="T132" s="26" t="s">
        <v>184</v>
      </c>
    </row>
    <row r="133" customFormat="false" ht="19.5" hidden="false" customHeight="true" outlineLevel="0" collapsed="false">
      <c r="A133" s="23" t="s">
        <v>38</v>
      </c>
      <c r="B133" s="23" t="s">
        <v>404</v>
      </c>
      <c r="C133" s="23" t="s">
        <v>405</v>
      </c>
      <c r="D133" s="23" t="s">
        <v>125</v>
      </c>
      <c r="E133" s="32"/>
      <c r="F133" s="33" t="s">
        <v>90</v>
      </c>
      <c r="G133" s="16" t="s">
        <v>69</v>
      </c>
      <c r="H133" s="16" t="s">
        <v>126</v>
      </c>
      <c r="I133" s="16" t="s">
        <v>71</v>
      </c>
      <c r="J133" s="16" t="s">
        <v>72</v>
      </c>
      <c r="K133" s="16" t="s">
        <v>249</v>
      </c>
      <c r="L133" s="16" t="s">
        <v>250</v>
      </c>
      <c r="M133" s="16" t="s">
        <v>251</v>
      </c>
      <c r="N133" s="16" t="s">
        <v>76</v>
      </c>
      <c r="O133" s="16" t="s">
        <v>76</v>
      </c>
      <c r="P133" s="16" t="s">
        <v>76</v>
      </c>
      <c r="Q133" s="16" t="s">
        <v>76</v>
      </c>
      <c r="R133" s="16" t="s">
        <v>91</v>
      </c>
      <c r="S133" s="23" t="s">
        <v>406</v>
      </c>
      <c r="T133" s="23" t="s">
        <v>131</v>
      </c>
    </row>
    <row r="134" customFormat="false" ht="19.5" hidden="false" customHeight="true" outlineLevel="0" collapsed="false">
      <c r="A134" s="26" t="s">
        <v>38</v>
      </c>
      <c r="B134" s="26" t="s">
        <v>407</v>
      </c>
      <c r="C134" s="26" t="s">
        <v>405</v>
      </c>
      <c r="D134" s="26" t="s">
        <v>133</v>
      </c>
      <c r="E134" s="32"/>
      <c r="F134" s="33" t="s">
        <v>90</v>
      </c>
      <c r="G134" s="29" t="s">
        <v>69</v>
      </c>
      <c r="H134" s="29" t="s">
        <v>126</v>
      </c>
      <c r="I134" s="29" t="s">
        <v>71</v>
      </c>
      <c r="J134" s="29" t="s">
        <v>72</v>
      </c>
      <c r="K134" s="29" t="s">
        <v>249</v>
      </c>
      <c r="L134" s="29" t="s">
        <v>250</v>
      </c>
      <c r="M134" s="29" t="s">
        <v>251</v>
      </c>
      <c r="N134" s="29" t="s">
        <v>76</v>
      </c>
      <c r="O134" s="29" t="s">
        <v>76</v>
      </c>
      <c r="P134" s="29" t="s">
        <v>76</v>
      </c>
      <c r="Q134" s="29" t="s">
        <v>76</v>
      </c>
      <c r="R134" s="29" t="s">
        <v>91</v>
      </c>
      <c r="S134" s="26" t="s">
        <v>406</v>
      </c>
      <c r="T134" s="26" t="s">
        <v>131</v>
      </c>
    </row>
    <row r="135" customFormat="false" ht="19.5" hidden="false" customHeight="true" outlineLevel="0" collapsed="false">
      <c r="A135" s="23" t="s">
        <v>38</v>
      </c>
      <c r="B135" s="23" t="s">
        <v>408</v>
      </c>
      <c r="C135" s="23" t="s">
        <v>405</v>
      </c>
      <c r="D135" s="23" t="s">
        <v>82</v>
      </c>
      <c r="E135" s="32"/>
      <c r="F135" s="33" t="s">
        <v>90</v>
      </c>
      <c r="G135" s="16" t="s">
        <v>69</v>
      </c>
      <c r="H135" s="16" t="s">
        <v>126</v>
      </c>
      <c r="I135" s="16" t="s">
        <v>71</v>
      </c>
      <c r="J135" s="16" t="s">
        <v>72</v>
      </c>
      <c r="K135" s="16" t="s">
        <v>249</v>
      </c>
      <c r="L135" s="16" t="s">
        <v>250</v>
      </c>
      <c r="M135" s="16" t="s">
        <v>251</v>
      </c>
      <c r="N135" s="16" t="s">
        <v>76</v>
      </c>
      <c r="O135" s="16" t="s">
        <v>76</v>
      </c>
      <c r="P135" s="16" t="s">
        <v>76</v>
      </c>
      <c r="Q135" s="16" t="s">
        <v>76</v>
      </c>
      <c r="R135" s="16" t="s">
        <v>91</v>
      </c>
      <c r="S135" s="23" t="s">
        <v>406</v>
      </c>
      <c r="T135" s="23" t="s">
        <v>131</v>
      </c>
    </row>
    <row r="136" customFormat="false" ht="19.5" hidden="false" customHeight="true" outlineLevel="0" collapsed="false">
      <c r="A136" s="26" t="s">
        <v>38</v>
      </c>
      <c r="B136" s="26" t="s">
        <v>409</v>
      </c>
      <c r="C136" s="26" t="s">
        <v>405</v>
      </c>
      <c r="D136" s="26" t="s">
        <v>410</v>
      </c>
      <c r="E136" s="117"/>
      <c r="F136" s="118" t="s">
        <v>411</v>
      </c>
      <c r="G136" s="29" t="s">
        <v>69</v>
      </c>
      <c r="H136" s="29" t="s">
        <v>126</v>
      </c>
      <c r="I136" s="29" t="s">
        <v>71</v>
      </c>
      <c r="J136" s="29" t="s">
        <v>72</v>
      </c>
      <c r="K136" s="29" t="s">
        <v>249</v>
      </c>
      <c r="L136" s="29" t="s">
        <v>250</v>
      </c>
      <c r="M136" s="29" t="s">
        <v>251</v>
      </c>
      <c r="N136" s="29" t="s">
        <v>76</v>
      </c>
      <c r="O136" s="29" t="s">
        <v>76</v>
      </c>
      <c r="P136" s="29" t="s">
        <v>76</v>
      </c>
      <c r="Q136" s="29" t="s">
        <v>76</v>
      </c>
      <c r="R136" s="29" t="s">
        <v>78</v>
      </c>
      <c r="S136" s="26" t="s">
        <v>412</v>
      </c>
      <c r="T136" s="26" t="s">
        <v>136</v>
      </c>
    </row>
    <row r="137" customFormat="false" ht="19.5" hidden="false" customHeight="true" outlineLevel="0" collapsed="false">
      <c r="A137" s="23" t="s">
        <v>38</v>
      </c>
      <c r="B137" s="23" t="s">
        <v>413</v>
      </c>
      <c r="C137" s="23" t="s">
        <v>405</v>
      </c>
      <c r="D137" s="23" t="s">
        <v>142</v>
      </c>
      <c r="E137" s="32"/>
      <c r="F137" s="33" t="s">
        <v>90</v>
      </c>
      <c r="G137" s="16" t="s">
        <v>69</v>
      </c>
      <c r="H137" s="16" t="s">
        <v>126</v>
      </c>
      <c r="I137" s="16" t="s">
        <v>71</v>
      </c>
      <c r="J137" s="16" t="s">
        <v>72</v>
      </c>
      <c r="K137" s="16" t="s">
        <v>249</v>
      </c>
      <c r="L137" s="16" t="s">
        <v>250</v>
      </c>
      <c r="M137" s="16" t="s">
        <v>251</v>
      </c>
      <c r="N137" s="16" t="s">
        <v>76</v>
      </c>
      <c r="O137" s="16" t="s">
        <v>76</v>
      </c>
      <c r="P137" s="16" t="s">
        <v>76</v>
      </c>
      <c r="Q137" s="16" t="s">
        <v>76</v>
      </c>
      <c r="R137" s="16" t="s">
        <v>91</v>
      </c>
      <c r="S137" s="23" t="s">
        <v>406</v>
      </c>
      <c r="T137" s="23" t="s">
        <v>131</v>
      </c>
    </row>
    <row r="138" customFormat="false" ht="19.5" hidden="false" customHeight="true" outlineLevel="0" collapsed="false">
      <c r="A138" s="26" t="s">
        <v>38</v>
      </c>
      <c r="B138" s="26" t="s">
        <v>414</v>
      </c>
      <c r="C138" s="26" t="s">
        <v>405</v>
      </c>
      <c r="D138" s="26" t="s">
        <v>89</v>
      </c>
      <c r="E138" s="32"/>
      <c r="F138" s="33" t="s">
        <v>90</v>
      </c>
      <c r="G138" s="29" t="s">
        <v>69</v>
      </c>
      <c r="H138" s="29" t="s">
        <v>126</v>
      </c>
      <c r="I138" s="29" t="s">
        <v>71</v>
      </c>
      <c r="J138" s="29" t="s">
        <v>72</v>
      </c>
      <c r="K138" s="29" t="s">
        <v>249</v>
      </c>
      <c r="L138" s="29" t="s">
        <v>250</v>
      </c>
      <c r="M138" s="29" t="s">
        <v>251</v>
      </c>
      <c r="N138" s="29" t="s">
        <v>76</v>
      </c>
      <c r="O138" s="29" t="s">
        <v>76</v>
      </c>
      <c r="P138" s="29" t="s">
        <v>76</v>
      </c>
      <c r="Q138" s="29" t="s">
        <v>76</v>
      </c>
      <c r="R138" s="29" t="s">
        <v>91</v>
      </c>
      <c r="S138" s="26" t="s">
        <v>406</v>
      </c>
      <c r="T138" s="26" t="s">
        <v>131</v>
      </c>
    </row>
    <row r="139" customFormat="false" ht="19.5" hidden="false" customHeight="true" outlineLevel="0" collapsed="false">
      <c r="A139" s="23" t="s">
        <v>38</v>
      </c>
      <c r="B139" s="23" t="s">
        <v>415</v>
      </c>
      <c r="C139" s="23" t="s">
        <v>405</v>
      </c>
      <c r="D139" s="23" t="s">
        <v>268</v>
      </c>
      <c r="E139" s="32"/>
      <c r="F139" s="33" t="s">
        <v>90</v>
      </c>
      <c r="G139" s="16" t="s">
        <v>69</v>
      </c>
      <c r="H139" s="16" t="s">
        <v>126</v>
      </c>
      <c r="I139" s="16" t="s">
        <v>71</v>
      </c>
      <c r="J139" s="16" t="s">
        <v>72</v>
      </c>
      <c r="K139" s="16" t="s">
        <v>249</v>
      </c>
      <c r="L139" s="16" t="s">
        <v>250</v>
      </c>
      <c r="M139" s="16" t="s">
        <v>251</v>
      </c>
      <c r="N139" s="16" t="s">
        <v>76</v>
      </c>
      <c r="O139" s="16" t="s">
        <v>76</v>
      </c>
      <c r="P139" s="16" t="s">
        <v>76</v>
      </c>
      <c r="Q139" s="16" t="s">
        <v>76</v>
      </c>
      <c r="R139" s="16" t="s">
        <v>91</v>
      </c>
      <c r="S139" s="23" t="s">
        <v>406</v>
      </c>
      <c r="T139" s="23" t="s">
        <v>131</v>
      </c>
    </row>
    <row r="140" customFormat="false" ht="19.5" hidden="false" customHeight="true" outlineLevel="0" collapsed="false">
      <c r="A140" s="26" t="s">
        <v>38</v>
      </c>
      <c r="B140" s="26" t="s">
        <v>416</v>
      </c>
      <c r="C140" s="26" t="s">
        <v>405</v>
      </c>
      <c r="D140" s="26" t="s">
        <v>417</v>
      </c>
      <c r="E140" s="32"/>
      <c r="F140" s="33" t="s">
        <v>90</v>
      </c>
      <c r="G140" s="29" t="s">
        <v>69</v>
      </c>
      <c r="H140" s="29" t="s">
        <v>126</v>
      </c>
      <c r="I140" s="29" t="s">
        <v>71</v>
      </c>
      <c r="J140" s="29" t="s">
        <v>72</v>
      </c>
      <c r="K140" s="29" t="s">
        <v>249</v>
      </c>
      <c r="L140" s="29" t="s">
        <v>250</v>
      </c>
      <c r="M140" s="29" t="s">
        <v>251</v>
      </c>
      <c r="N140" s="29" t="s">
        <v>76</v>
      </c>
      <c r="O140" s="29" t="s">
        <v>76</v>
      </c>
      <c r="P140" s="29" t="s">
        <v>76</v>
      </c>
      <c r="Q140" s="29" t="s">
        <v>76</v>
      </c>
      <c r="R140" s="29" t="s">
        <v>91</v>
      </c>
      <c r="S140" s="26" t="s">
        <v>406</v>
      </c>
      <c r="T140" s="26" t="s">
        <v>131</v>
      </c>
    </row>
    <row r="141" customFormat="false" ht="19.5" hidden="false" customHeight="true" outlineLevel="0" collapsed="false">
      <c r="A141" s="23" t="s">
        <v>38</v>
      </c>
      <c r="B141" s="23" t="s">
        <v>418</v>
      </c>
      <c r="C141" s="23" t="s">
        <v>405</v>
      </c>
      <c r="D141" s="23" t="s">
        <v>198</v>
      </c>
      <c r="E141" s="32"/>
      <c r="F141" s="33" t="s">
        <v>90</v>
      </c>
      <c r="G141" s="16" t="s">
        <v>69</v>
      </c>
      <c r="H141" s="16" t="s">
        <v>126</v>
      </c>
      <c r="I141" s="16" t="s">
        <v>71</v>
      </c>
      <c r="J141" s="16" t="s">
        <v>72</v>
      </c>
      <c r="K141" s="16" t="s">
        <v>249</v>
      </c>
      <c r="L141" s="16" t="s">
        <v>250</v>
      </c>
      <c r="M141" s="16" t="s">
        <v>251</v>
      </c>
      <c r="N141" s="16" t="s">
        <v>76</v>
      </c>
      <c r="O141" s="16" t="s">
        <v>76</v>
      </c>
      <c r="P141" s="16" t="s">
        <v>76</v>
      </c>
      <c r="Q141" s="16" t="s">
        <v>76</v>
      </c>
      <c r="R141" s="16" t="s">
        <v>91</v>
      </c>
      <c r="S141" s="23" t="s">
        <v>406</v>
      </c>
      <c r="T141" s="23" t="s">
        <v>131</v>
      </c>
    </row>
    <row r="142" customFormat="false" ht="19.5" hidden="false" customHeight="true" outlineLevel="0" collapsed="false">
      <c r="A142" s="26" t="s">
        <v>38</v>
      </c>
      <c r="B142" s="26" t="s">
        <v>419</v>
      </c>
      <c r="C142" s="26" t="s">
        <v>405</v>
      </c>
      <c r="D142" s="26" t="s">
        <v>205</v>
      </c>
      <c r="E142" s="32"/>
      <c r="F142" s="33" t="s">
        <v>90</v>
      </c>
      <c r="G142" s="29" t="s">
        <v>69</v>
      </c>
      <c r="H142" s="29" t="s">
        <v>126</v>
      </c>
      <c r="I142" s="29" t="s">
        <v>71</v>
      </c>
      <c r="J142" s="29" t="s">
        <v>72</v>
      </c>
      <c r="K142" s="29" t="s">
        <v>249</v>
      </c>
      <c r="L142" s="29" t="s">
        <v>250</v>
      </c>
      <c r="M142" s="29" t="s">
        <v>251</v>
      </c>
      <c r="N142" s="29" t="s">
        <v>76</v>
      </c>
      <c r="O142" s="29" t="s">
        <v>76</v>
      </c>
      <c r="P142" s="29" t="s">
        <v>76</v>
      </c>
      <c r="Q142" s="29" t="s">
        <v>76</v>
      </c>
      <c r="R142" s="29" t="s">
        <v>91</v>
      </c>
      <c r="S142" s="26" t="s">
        <v>406</v>
      </c>
      <c r="T142" s="26" t="s">
        <v>131</v>
      </c>
    </row>
    <row r="143" customFormat="false" ht="19.5" hidden="false" customHeight="true" outlineLevel="0" collapsed="false">
      <c r="A143" s="23" t="s">
        <v>38</v>
      </c>
      <c r="B143" s="23" t="s">
        <v>420</v>
      </c>
      <c r="C143" s="23" t="s">
        <v>405</v>
      </c>
      <c r="D143" s="23" t="s">
        <v>173</v>
      </c>
      <c r="E143" s="32"/>
      <c r="F143" s="33" t="s">
        <v>90</v>
      </c>
      <c r="G143" s="16" t="s">
        <v>69</v>
      </c>
      <c r="H143" s="16" t="s">
        <v>126</v>
      </c>
      <c r="I143" s="16" t="s">
        <v>71</v>
      </c>
      <c r="J143" s="16" t="s">
        <v>72</v>
      </c>
      <c r="K143" s="16" t="s">
        <v>249</v>
      </c>
      <c r="L143" s="16" t="s">
        <v>250</v>
      </c>
      <c r="M143" s="16" t="s">
        <v>251</v>
      </c>
      <c r="N143" s="16" t="s">
        <v>76</v>
      </c>
      <c r="O143" s="16" t="s">
        <v>76</v>
      </c>
      <c r="P143" s="16" t="s">
        <v>76</v>
      </c>
      <c r="Q143" s="16" t="s">
        <v>76</v>
      </c>
      <c r="R143" s="16" t="s">
        <v>91</v>
      </c>
      <c r="S143" s="23" t="s">
        <v>406</v>
      </c>
      <c r="T143" s="23" t="s">
        <v>131</v>
      </c>
    </row>
    <row r="144" customFormat="false" ht="19.5" hidden="false" customHeight="true" outlineLevel="0" collapsed="false">
      <c r="A144" s="26" t="s">
        <v>38</v>
      </c>
      <c r="B144" s="26" t="s">
        <v>421</v>
      </c>
      <c r="C144" s="26" t="s">
        <v>405</v>
      </c>
      <c r="D144" s="26" t="s">
        <v>422</v>
      </c>
      <c r="E144" s="32"/>
      <c r="F144" s="33" t="s">
        <v>90</v>
      </c>
      <c r="G144" s="29" t="s">
        <v>69</v>
      </c>
      <c r="H144" s="29" t="s">
        <v>126</v>
      </c>
      <c r="I144" s="29" t="s">
        <v>71</v>
      </c>
      <c r="J144" s="29" t="s">
        <v>72</v>
      </c>
      <c r="K144" s="29" t="s">
        <v>249</v>
      </c>
      <c r="L144" s="29" t="s">
        <v>250</v>
      </c>
      <c r="M144" s="29" t="s">
        <v>251</v>
      </c>
      <c r="N144" s="29" t="s">
        <v>76</v>
      </c>
      <c r="O144" s="29" t="s">
        <v>76</v>
      </c>
      <c r="P144" s="29" t="s">
        <v>76</v>
      </c>
      <c r="Q144" s="29" t="s">
        <v>76</v>
      </c>
      <c r="R144" s="29" t="s">
        <v>91</v>
      </c>
      <c r="S144" s="26" t="s">
        <v>406</v>
      </c>
      <c r="T144" s="26" t="s">
        <v>131</v>
      </c>
    </row>
    <row r="145" customFormat="false" ht="19.5" hidden="false" customHeight="true" outlineLevel="0" collapsed="false">
      <c r="A145" s="23" t="s">
        <v>38</v>
      </c>
      <c r="B145" s="23" t="s">
        <v>423</v>
      </c>
      <c r="C145" s="23" t="s">
        <v>405</v>
      </c>
      <c r="D145" s="23" t="s">
        <v>98</v>
      </c>
      <c r="E145" s="32"/>
      <c r="F145" s="33" t="s">
        <v>90</v>
      </c>
      <c r="G145" s="16" t="s">
        <v>69</v>
      </c>
      <c r="H145" s="16" t="s">
        <v>126</v>
      </c>
      <c r="I145" s="16" t="s">
        <v>71</v>
      </c>
      <c r="J145" s="16" t="s">
        <v>72</v>
      </c>
      <c r="K145" s="16" t="s">
        <v>249</v>
      </c>
      <c r="L145" s="16" t="s">
        <v>250</v>
      </c>
      <c r="M145" s="16" t="s">
        <v>251</v>
      </c>
      <c r="N145" s="16" t="s">
        <v>76</v>
      </c>
      <c r="O145" s="16" t="s">
        <v>76</v>
      </c>
      <c r="P145" s="16" t="s">
        <v>76</v>
      </c>
      <c r="Q145" s="16" t="s">
        <v>76</v>
      </c>
      <c r="R145" s="16" t="s">
        <v>91</v>
      </c>
      <c r="S145" s="23" t="s">
        <v>406</v>
      </c>
      <c r="T145" s="23" t="s">
        <v>131</v>
      </c>
    </row>
    <row r="146" customFormat="false" ht="19.5" hidden="false" customHeight="true" outlineLevel="0" collapsed="false">
      <c r="A146" s="26" t="s">
        <v>38</v>
      </c>
      <c r="B146" s="26" t="s">
        <v>424</v>
      </c>
      <c r="C146" s="26" t="s">
        <v>405</v>
      </c>
      <c r="D146" s="26" t="s">
        <v>157</v>
      </c>
      <c r="E146" s="32"/>
      <c r="F146" s="33" t="s">
        <v>90</v>
      </c>
      <c r="G146" s="29" t="s">
        <v>69</v>
      </c>
      <c r="H146" s="29" t="s">
        <v>126</v>
      </c>
      <c r="I146" s="29" t="s">
        <v>71</v>
      </c>
      <c r="J146" s="29" t="s">
        <v>72</v>
      </c>
      <c r="K146" s="29" t="s">
        <v>249</v>
      </c>
      <c r="L146" s="29" t="s">
        <v>250</v>
      </c>
      <c r="M146" s="29" t="s">
        <v>251</v>
      </c>
      <c r="N146" s="29" t="s">
        <v>76</v>
      </c>
      <c r="O146" s="29" t="s">
        <v>76</v>
      </c>
      <c r="P146" s="29" t="s">
        <v>76</v>
      </c>
      <c r="Q146" s="29" t="s">
        <v>76</v>
      </c>
      <c r="R146" s="29" t="s">
        <v>91</v>
      </c>
      <c r="S146" s="26" t="s">
        <v>406</v>
      </c>
      <c r="T146" s="26" t="s">
        <v>131</v>
      </c>
    </row>
    <row r="147" customFormat="false" ht="19.5" hidden="false" customHeight="true" outlineLevel="0" collapsed="false">
      <c r="A147" s="23" t="s">
        <v>39</v>
      </c>
      <c r="B147" s="23" t="s">
        <v>425</v>
      </c>
      <c r="C147" s="23" t="s">
        <v>426</v>
      </c>
      <c r="D147" s="23" t="s">
        <v>427</v>
      </c>
      <c r="E147" s="32"/>
      <c r="F147" s="33" t="s">
        <v>90</v>
      </c>
      <c r="G147" s="16" t="s">
        <v>69</v>
      </c>
      <c r="H147" s="16" t="s">
        <v>70</v>
      </c>
      <c r="I147" s="16" t="s">
        <v>71</v>
      </c>
      <c r="J147" s="16" t="s">
        <v>72</v>
      </c>
      <c r="K147" s="16" t="s">
        <v>179</v>
      </c>
      <c r="L147" s="16" t="s">
        <v>180</v>
      </c>
      <c r="M147" s="16" t="s">
        <v>181</v>
      </c>
      <c r="N147" s="16" t="s">
        <v>76</v>
      </c>
      <c r="O147" s="16" t="s">
        <v>76</v>
      </c>
      <c r="P147" s="16" t="s">
        <v>76</v>
      </c>
      <c r="Q147" s="16" t="s">
        <v>76</v>
      </c>
      <c r="R147" s="16" t="s">
        <v>91</v>
      </c>
      <c r="S147" s="23" t="s">
        <v>428</v>
      </c>
      <c r="T147" s="23" t="s">
        <v>429</v>
      </c>
    </row>
    <row r="148" customFormat="false" ht="19.5" hidden="false" customHeight="true" outlineLevel="0" collapsed="false">
      <c r="A148" s="26" t="s">
        <v>39</v>
      </c>
      <c r="B148" s="26" t="s">
        <v>430</v>
      </c>
      <c r="C148" s="26" t="s">
        <v>426</v>
      </c>
      <c r="D148" s="26" t="s">
        <v>431</v>
      </c>
      <c r="E148" s="32"/>
      <c r="F148" s="33" t="s">
        <v>90</v>
      </c>
      <c r="G148" s="29" t="s">
        <v>69</v>
      </c>
      <c r="H148" s="29" t="s">
        <v>70</v>
      </c>
      <c r="I148" s="29" t="s">
        <v>71</v>
      </c>
      <c r="J148" s="29" t="s">
        <v>72</v>
      </c>
      <c r="K148" s="29" t="s">
        <v>179</v>
      </c>
      <c r="L148" s="29" t="s">
        <v>180</v>
      </c>
      <c r="M148" s="29" t="s">
        <v>181</v>
      </c>
      <c r="N148" s="29" t="s">
        <v>76</v>
      </c>
      <c r="O148" s="29" t="s">
        <v>76</v>
      </c>
      <c r="P148" s="29" t="s">
        <v>76</v>
      </c>
      <c r="Q148" s="29" t="s">
        <v>76</v>
      </c>
      <c r="R148" s="29" t="s">
        <v>91</v>
      </c>
      <c r="S148" s="26" t="s">
        <v>432</v>
      </c>
      <c r="T148" s="26" t="s">
        <v>429</v>
      </c>
    </row>
    <row r="149" customFormat="false" ht="19.5" hidden="false" customHeight="true" outlineLevel="0" collapsed="false">
      <c r="A149" s="23" t="s">
        <v>39</v>
      </c>
      <c r="B149" s="23" t="s">
        <v>433</v>
      </c>
      <c r="C149" s="23" t="s">
        <v>426</v>
      </c>
      <c r="D149" s="23" t="s">
        <v>434</v>
      </c>
      <c r="E149" s="32"/>
      <c r="F149" s="33" t="s">
        <v>90</v>
      </c>
      <c r="G149" s="16" t="s">
        <v>69</v>
      </c>
      <c r="H149" s="16" t="s">
        <v>70</v>
      </c>
      <c r="I149" s="16" t="s">
        <v>71</v>
      </c>
      <c r="J149" s="16" t="s">
        <v>72</v>
      </c>
      <c r="K149" s="16" t="s">
        <v>179</v>
      </c>
      <c r="L149" s="16" t="s">
        <v>180</v>
      </c>
      <c r="M149" s="16" t="s">
        <v>181</v>
      </c>
      <c r="N149" s="16" t="s">
        <v>76</v>
      </c>
      <c r="O149" s="16" t="s">
        <v>76</v>
      </c>
      <c r="P149" s="16" t="s">
        <v>76</v>
      </c>
      <c r="Q149" s="16" t="s">
        <v>76</v>
      </c>
      <c r="R149" s="16" t="s">
        <v>91</v>
      </c>
      <c r="S149" s="23" t="s">
        <v>435</v>
      </c>
      <c r="T149" s="23" t="s">
        <v>429</v>
      </c>
    </row>
    <row r="150" customFormat="false" ht="19.5" hidden="false" customHeight="true" outlineLevel="0" collapsed="false">
      <c r="A150" s="26" t="s">
        <v>39</v>
      </c>
      <c r="B150" s="26" t="s">
        <v>436</v>
      </c>
      <c r="C150" s="26" t="s">
        <v>426</v>
      </c>
      <c r="D150" s="26" t="s">
        <v>437</v>
      </c>
      <c r="E150" s="32"/>
      <c r="F150" s="33" t="s">
        <v>90</v>
      </c>
      <c r="G150" s="29" t="s">
        <v>69</v>
      </c>
      <c r="H150" s="29" t="s">
        <v>70</v>
      </c>
      <c r="I150" s="29" t="s">
        <v>71</v>
      </c>
      <c r="J150" s="29" t="s">
        <v>72</v>
      </c>
      <c r="K150" s="29" t="s">
        <v>179</v>
      </c>
      <c r="L150" s="29" t="s">
        <v>180</v>
      </c>
      <c r="M150" s="29" t="s">
        <v>181</v>
      </c>
      <c r="N150" s="29" t="s">
        <v>76</v>
      </c>
      <c r="O150" s="29" t="s">
        <v>76</v>
      </c>
      <c r="P150" s="29" t="s">
        <v>76</v>
      </c>
      <c r="Q150" s="29" t="s">
        <v>76</v>
      </c>
      <c r="R150" s="29" t="s">
        <v>91</v>
      </c>
      <c r="S150" s="26" t="s">
        <v>438</v>
      </c>
      <c r="T150" s="26" t="s">
        <v>429</v>
      </c>
    </row>
    <row r="151" customFormat="false" ht="19.5" hidden="false" customHeight="true" outlineLevel="0" collapsed="false">
      <c r="A151" s="23" t="s">
        <v>39</v>
      </c>
      <c r="B151" s="23" t="s">
        <v>439</v>
      </c>
      <c r="C151" s="23" t="s">
        <v>426</v>
      </c>
      <c r="D151" s="23" t="s">
        <v>440</v>
      </c>
      <c r="E151" s="32"/>
      <c r="F151" s="33" t="s">
        <v>90</v>
      </c>
      <c r="G151" s="16" t="s">
        <v>69</v>
      </c>
      <c r="H151" s="16" t="s">
        <v>70</v>
      </c>
      <c r="I151" s="16" t="s">
        <v>71</v>
      </c>
      <c r="J151" s="16" t="s">
        <v>72</v>
      </c>
      <c r="K151" s="16" t="s">
        <v>179</v>
      </c>
      <c r="L151" s="16" t="s">
        <v>180</v>
      </c>
      <c r="M151" s="16" t="s">
        <v>181</v>
      </c>
      <c r="N151" s="16" t="s">
        <v>76</v>
      </c>
      <c r="O151" s="16" t="s">
        <v>76</v>
      </c>
      <c r="P151" s="16" t="s">
        <v>76</v>
      </c>
      <c r="Q151" s="16" t="s">
        <v>76</v>
      </c>
      <c r="R151" s="16" t="s">
        <v>91</v>
      </c>
      <c r="S151" s="23" t="s">
        <v>441</v>
      </c>
      <c r="T151" s="23" t="s">
        <v>429</v>
      </c>
    </row>
    <row r="152" customFormat="false" ht="19.5" hidden="false" customHeight="true" outlineLevel="0" collapsed="false">
      <c r="A152" s="26" t="s">
        <v>39</v>
      </c>
      <c r="B152" s="26" t="s">
        <v>442</v>
      </c>
      <c r="C152" s="26" t="s">
        <v>426</v>
      </c>
      <c r="D152" s="26" t="s">
        <v>443</v>
      </c>
      <c r="E152" s="32"/>
      <c r="F152" s="33" t="s">
        <v>90</v>
      </c>
      <c r="G152" s="29" t="s">
        <v>69</v>
      </c>
      <c r="H152" s="29" t="s">
        <v>70</v>
      </c>
      <c r="I152" s="29" t="s">
        <v>71</v>
      </c>
      <c r="J152" s="29" t="s">
        <v>72</v>
      </c>
      <c r="K152" s="29" t="s">
        <v>179</v>
      </c>
      <c r="L152" s="29" t="s">
        <v>180</v>
      </c>
      <c r="M152" s="29" t="s">
        <v>181</v>
      </c>
      <c r="N152" s="29" t="s">
        <v>76</v>
      </c>
      <c r="O152" s="29" t="s">
        <v>76</v>
      </c>
      <c r="P152" s="29" t="s">
        <v>76</v>
      </c>
      <c r="Q152" s="29" t="s">
        <v>76</v>
      </c>
      <c r="R152" s="29" t="s">
        <v>91</v>
      </c>
      <c r="S152" s="26" t="s">
        <v>444</v>
      </c>
      <c r="T152" s="26" t="s">
        <v>429</v>
      </c>
    </row>
    <row r="153" customFormat="false" ht="19.5" hidden="false" customHeight="true" outlineLevel="0" collapsed="false">
      <c r="A153" s="23" t="s">
        <v>39</v>
      </c>
      <c r="B153" s="23" t="s">
        <v>445</v>
      </c>
      <c r="C153" s="23" t="s">
        <v>426</v>
      </c>
      <c r="D153" s="23" t="s">
        <v>446</v>
      </c>
      <c r="E153" s="32"/>
      <c r="F153" s="33" t="s">
        <v>90</v>
      </c>
      <c r="G153" s="16" t="s">
        <v>69</v>
      </c>
      <c r="H153" s="16" t="s">
        <v>70</v>
      </c>
      <c r="I153" s="16" t="s">
        <v>71</v>
      </c>
      <c r="J153" s="16" t="s">
        <v>72</v>
      </c>
      <c r="K153" s="16" t="s">
        <v>179</v>
      </c>
      <c r="L153" s="16" t="s">
        <v>180</v>
      </c>
      <c r="M153" s="16" t="s">
        <v>181</v>
      </c>
      <c r="N153" s="16" t="s">
        <v>76</v>
      </c>
      <c r="O153" s="16" t="s">
        <v>76</v>
      </c>
      <c r="P153" s="16" t="s">
        <v>76</v>
      </c>
      <c r="Q153" s="16" t="s">
        <v>76</v>
      </c>
      <c r="R153" s="16" t="s">
        <v>91</v>
      </c>
      <c r="S153" s="23" t="s">
        <v>447</v>
      </c>
      <c r="T153" s="23" t="s">
        <v>429</v>
      </c>
    </row>
    <row r="154" customFormat="false" ht="19.5" hidden="false" customHeight="true" outlineLevel="0" collapsed="false">
      <c r="A154" s="26" t="s">
        <v>39</v>
      </c>
      <c r="B154" s="26" t="s">
        <v>448</v>
      </c>
      <c r="C154" s="26" t="s">
        <v>426</v>
      </c>
      <c r="D154" s="26" t="s">
        <v>449</v>
      </c>
      <c r="E154" s="119"/>
      <c r="F154" s="120" t="s">
        <v>450</v>
      </c>
      <c r="G154" s="29" t="s">
        <v>69</v>
      </c>
      <c r="H154" s="29" t="s">
        <v>70</v>
      </c>
      <c r="I154" s="29" t="s">
        <v>71</v>
      </c>
      <c r="J154" s="29" t="s">
        <v>72</v>
      </c>
      <c r="K154" s="29" t="s">
        <v>179</v>
      </c>
      <c r="L154" s="29" t="s">
        <v>180</v>
      </c>
      <c r="M154" s="29" t="s">
        <v>181</v>
      </c>
      <c r="N154" s="29" t="s">
        <v>76</v>
      </c>
      <c r="O154" s="29" t="s">
        <v>76</v>
      </c>
      <c r="P154" s="29" t="s">
        <v>76</v>
      </c>
      <c r="Q154" s="29" t="s">
        <v>76</v>
      </c>
      <c r="R154" s="29" t="s">
        <v>78</v>
      </c>
      <c r="S154" s="26" t="s">
        <v>451</v>
      </c>
      <c r="T154" s="26" t="s">
        <v>307</v>
      </c>
    </row>
    <row r="155" customFormat="false" ht="19.5" hidden="false" customHeight="true" outlineLevel="0" collapsed="false">
      <c r="A155" s="23" t="s">
        <v>39</v>
      </c>
      <c r="B155" s="23" t="s">
        <v>452</v>
      </c>
      <c r="C155" s="23" t="s">
        <v>426</v>
      </c>
      <c r="D155" s="23" t="s">
        <v>453</v>
      </c>
      <c r="E155" s="32"/>
      <c r="F155" s="33" t="s">
        <v>90</v>
      </c>
      <c r="G155" s="16" t="s">
        <v>69</v>
      </c>
      <c r="H155" s="16" t="s">
        <v>70</v>
      </c>
      <c r="I155" s="16" t="s">
        <v>71</v>
      </c>
      <c r="J155" s="16" t="s">
        <v>72</v>
      </c>
      <c r="K155" s="16" t="s">
        <v>179</v>
      </c>
      <c r="L155" s="16" t="s">
        <v>180</v>
      </c>
      <c r="M155" s="16" t="s">
        <v>181</v>
      </c>
      <c r="N155" s="16" t="s">
        <v>76</v>
      </c>
      <c r="O155" s="16" t="s">
        <v>76</v>
      </c>
      <c r="P155" s="16" t="s">
        <v>76</v>
      </c>
      <c r="Q155" s="16" t="s">
        <v>76</v>
      </c>
      <c r="R155" s="16" t="s">
        <v>91</v>
      </c>
      <c r="S155" s="23" t="s">
        <v>454</v>
      </c>
      <c r="T155" s="23" t="s">
        <v>455</v>
      </c>
    </row>
    <row r="156" customFormat="false" ht="19.5" hidden="false" customHeight="true" outlineLevel="0" collapsed="false">
      <c r="A156" s="26" t="s">
        <v>39</v>
      </c>
      <c r="B156" s="26" t="s">
        <v>456</v>
      </c>
      <c r="C156" s="26" t="s">
        <v>426</v>
      </c>
      <c r="D156" s="26" t="s">
        <v>457</v>
      </c>
      <c r="E156" s="32"/>
      <c r="F156" s="33" t="s">
        <v>90</v>
      </c>
      <c r="G156" s="29" t="s">
        <v>69</v>
      </c>
      <c r="H156" s="29" t="s">
        <v>70</v>
      </c>
      <c r="I156" s="29" t="s">
        <v>71</v>
      </c>
      <c r="J156" s="29" t="s">
        <v>72</v>
      </c>
      <c r="K156" s="29" t="s">
        <v>179</v>
      </c>
      <c r="L156" s="29" t="s">
        <v>180</v>
      </c>
      <c r="M156" s="29" t="s">
        <v>181</v>
      </c>
      <c r="N156" s="29" t="s">
        <v>76</v>
      </c>
      <c r="O156" s="29" t="s">
        <v>76</v>
      </c>
      <c r="P156" s="29" t="s">
        <v>76</v>
      </c>
      <c r="Q156" s="29" t="s">
        <v>76</v>
      </c>
      <c r="R156" s="29" t="s">
        <v>91</v>
      </c>
      <c r="S156" s="26" t="s">
        <v>458</v>
      </c>
      <c r="T156" s="26" t="s">
        <v>429</v>
      </c>
    </row>
    <row r="157" customFormat="false" ht="19.5" hidden="false" customHeight="true" outlineLevel="0" collapsed="false">
      <c r="A157" s="23" t="s">
        <v>39</v>
      </c>
      <c r="B157" s="23" t="s">
        <v>459</v>
      </c>
      <c r="C157" s="23" t="s">
        <v>426</v>
      </c>
      <c r="D157" s="23" t="s">
        <v>460</v>
      </c>
      <c r="E157" s="24"/>
      <c r="F157" s="121" t="s">
        <v>461</v>
      </c>
      <c r="G157" s="16" t="s">
        <v>69</v>
      </c>
      <c r="H157" s="16" t="s">
        <v>70</v>
      </c>
      <c r="I157" s="16" t="s">
        <v>71</v>
      </c>
      <c r="J157" s="16" t="s">
        <v>72</v>
      </c>
      <c r="K157" s="16" t="s">
        <v>179</v>
      </c>
      <c r="L157" s="16" t="s">
        <v>180</v>
      </c>
      <c r="M157" s="16" t="s">
        <v>181</v>
      </c>
      <c r="N157" s="16" t="s">
        <v>76</v>
      </c>
      <c r="O157" s="16" t="s">
        <v>76</v>
      </c>
      <c r="P157" s="16" t="s">
        <v>76</v>
      </c>
      <c r="Q157" s="16" t="s">
        <v>76</v>
      </c>
      <c r="R157" s="16" t="s">
        <v>78</v>
      </c>
      <c r="S157" s="23" t="s">
        <v>462</v>
      </c>
      <c r="T157" s="23" t="s">
        <v>307</v>
      </c>
    </row>
    <row r="158" customFormat="false" ht="19.5" hidden="false" customHeight="true" outlineLevel="0" collapsed="false">
      <c r="A158" s="26" t="s">
        <v>39</v>
      </c>
      <c r="B158" s="26" t="s">
        <v>463</v>
      </c>
      <c r="C158" s="26" t="s">
        <v>426</v>
      </c>
      <c r="D158" s="26" t="s">
        <v>268</v>
      </c>
      <c r="E158" s="32"/>
      <c r="F158" s="33" t="s">
        <v>90</v>
      </c>
      <c r="G158" s="29" t="s">
        <v>69</v>
      </c>
      <c r="H158" s="29" t="s">
        <v>70</v>
      </c>
      <c r="I158" s="29" t="s">
        <v>71</v>
      </c>
      <c r="J158" s="29" t="s">
        <v>72</v>
      </c>
      <c r="K158" s="29" t="s">
        <v>179</v>
      </c>
      <c r="L158" s="29" t="s">
        <v>180</v>
      </c>
      <c r="M158" s="29" t="s">
        <v>181</v>
      </c>
      <c r="N158" s="29" t="s">
        <v>76</v>
      </c>
      <c r="O158" s="29" t="s">
        <v>76</v>
      </c>
      <c r="P158" s="29" t="s">
        <v>76</v>
      </c>
      <c r="Q158" s="29" t="s">
        <v>76</v>
      </c>
      <c r="R158" s="29" t="s">
        <v>91</v>
      </c>
      <c r="S158" s="26" t="s">
        <v>464</v>
      </c>
      <c r="T158" s="26" t="s">
        <v>465</v>
      </c>
    </row>
    <row r="159" customFormat="false" ht="19.5" hidden="false" customHeight="true" outlineLevel="0" collapsed="false">
      <c r="A159" s="23" t="s">
        <v>39</v>
      </c>
      <c r="B159" s="23" t="s">
        <v>466</v>
      </c>
      <c r="C159" s="23" t="s">
        <v>426</v>
      </c>
      <c r="D159" s="23" t="s">
        <v>358</v>
      </c>
      <c r="E159" s="24"/>
      <c r="F159" s="65" t="s">
        <v>467</v>
      </c>
      <c r="G159" s="16" t="s">
        <v>69</v>
      </c>
      <c r="H159" s="16" t="s">
        <v>70</v>
      </c>
      <c r="I159" s="16" t="s">
        <v>71</v>
      </c>
      <c r="J159" s="16" t="s">
        <v>72</v>
      </c>
      <c r="K159" s="16" t="s">
        <v>179</v>
      </c>
      <c r="L159" s="16" t="s">
        <v>180</v>
      </c>
      <c r="M159" s="16" t="s">
        <v>181</v>
      </c>
      <c r="N159" s="16" t="s">
        <v>76</v>
      </c>
      <c r="O159" s="16" t="s">
        <v>76</v>
      </c>
      <c r="P159" s="16" t="s">
        <v>76</v>
      </c>
      <c r="Q159" s="16" t="s">
        <v>76</v>
      </c>
      <c r="R159" s="16" t="s">
        <v>78</v>
      </c>
      <c r="S159" s="23" t="s">
        <v>468</v>
      </c>
      <c r="T159" s="23" t="s">
        <v>307</v>
      </c>
    </row>
    <row r="160" customFormat="false" ht="19.5" hidden="false" customHeight="true" outlineLevel="0" collapsed="false">
      <c r="A160" s="26" t="s">
        <v>39</v>
      </c>
      <c r="B160" s="26" t="s">
        <v>469</v>
      </c>
      <c r="C160" s="26" t="s">
        <v>426</v>
      </c>
      <c r="D160" s="26" t="s">
        <v>95</v>
      </c>
      <c r="E160" s="122"/>
      <c r="F160" s="123" t="s">
        <v>470</v>
      </c>
      <c r="G160" s="29" t="s">
        <v>69</v>
      </c>
      <c r="H160" s="29" t="s">
        <v>70</v>
      </c>
      <c r="I160" s="29" t="s">
        <v>71</v>
      </c>
      <c r="J160" s="29" t="s">
        <v>72</v>
      </c>
      <c r="K160" s="29" t="s">
        <v>179</v>
      </c>
      <c r="L160" s="29" t="s">
        <v>180</v>
      </c>
      <c r="M160" s="29" t="s">
        <v>181</v>
      </c>
      <c r="N160" s="29" t="s">
        <v>76</v>
      </c>
      <c r="O160" s="29" t="s">
        <v>76</v>
      </c>
      <c r="P160" s="29" t="s">
        <v>76</v>
      </c>
      <c r="Q160" s="29" t="s">
        <v>76</v>
      </c>
      <c r="R160" s="29" t="s">
        <v>78</v>
      </c>
      <c r="S160" s="26" t="s">
        <v>471</v>
      </c>
      <c r="T160" s="26" t="s">
        <v>307</v>
      </c>
    </row>
    <row r="161" customFormat="false" ht="19.5" hidden="false" customHeight="true" outlineLevel="0" collapsed="false">
      <c r="A161" s="23" t="s">
        <v>39</v>
      </c>
      <c r="B161" s="23" t="s">
        <v>472</v>
      </c>
      <c r="C161" s="23" t="s">
        <v>426</v>
      </c>
      <c r="D161" s="23" t="s">
        <v>173</v>
      </c>
      <c r="E161" s="32"/>
      <c r="F161" s="33" t="s">
        <v>473</v>
      </c>
      <c r="G161" s="16" t="s">
        <v>69</v>
      </c>
      <c r="H161" s="16" t="s">
        <v>70</v>
      </c>
      <c r="I161" s="16" t="s">
        <v>71</v>
      </c>
      <c r="J161" s="16" t="s">
        <v>72</v>
      </c>
      <c r="K161" s="16" t="s">
        <v>179</v>
      </c>
      <c r="L161" s="16" t="s">
        <v>180</v>
      </c>
      <c r="M161" s="16" t="s">
        <v>181</v>
      </c>
      <c r="N161" s="16" t="s">
        <v>76</v>
      </c>
      <c r="O161" s="16" t="s">
        <v>76</v>
      </c>
      <c r="P161" s="16" t="s">
        <v>76</v>
      </c>
      <c r="Q161" s="16" t="s">
        <v>76</v>
      </c>
      <c r="R161" s="16" t="s">
        <v>78</v>
      </c>
      <c r="S161" s="23" t="s">
        <v>474</v>
      </c>
      <c r="T161" s="23" t="s">
        <v>307</v>
      </c>
    </row>
    <row r="162" customFormat="false" ht="19.5" hidden="false" customHeight="true" outlineLevel="0" collapsed="false">
      <c r="A162" s="26" t="s">
        <v>39</v>
      </c>
      <c r="B162" s="26" t="s">
        <v>475</v>
      </c>
      <c r="C162" s="26" t="s">
        <v>426</v>
      </c>
      <c r="D162" s="26" t="s">
        <v>98</v>
      </c>
      <c r="E162" s="124"/>
      <c r="F162" s="78" t="s">
        <v>476</v>
      </c>
      <c r="G162" s="29" t="s">
        <v>69</v>
      </c>
      <c r="H162" s="29" t="s">
        <v>70</v>
      </c>
      <c r="I162" s="29" t="s">
        <v>71</v>
      </c>
      <c r="J162" s="29" t="s">
        <v>72</v>
      </c>
      <c r="K162" s="29" t="s">
        <v>179</v>
      </c>
      <c r="L162" s="29" t="s">
        <v>180</v>
      </c>
      <c r="M162" s="29" t="s">
        <v>181</v>
      </c>
      <c r="N162" s="29" t="s">
        <v>76</v>
      </c>
      <c r="O162" s="29" t="s">
        <v>76</v>
      </c>
      <c r="P162" s="29" t="s">
        <v>76</v>
      </c>
      <c r="Q162" s="29" t="s">
        <v>76</v>
      </c>
      <c r="R162" s="29" t="s">
        <v>78</v>
      </c>
      <c r="S162" s="26" t="s">
        <v>462</v>
      </c>
      <c r="T162" s="26" t="s">
        <v>307</v>
      </c>
    </row>
    <row r="163" customFormat="false" ht="19.5" hidden="false" customHeight="true" outlineLevel="0" collapsed="false">
      <c r="A163" s="23" t="s">
        <v>40</v>
      </c>
      <c r="B163" s="23" t="s">
        <v>477</v>
      </c>
      <c r="C163" s="23" t="s">
        <v>478</v>
      </c>
      <c r="D163" s="23" t="s">
        <v>479</v>
      </c>
      <c r="E163" s="30"/>
      <c r="F163" s="31" t="s">
        <v>480</v>
      </c>
      <c r="G163" s="16" t="s">
        <v>69</v>
      </c>
      <c r="H163" s="16" t="s">
        <v>70</v>
      </c>
      <c r="I163" s="16" t="s">
        <v>71</v>
      </c>
      <c r="J163" s="16" t="s">
        <v>72</v>
      </c>
      <c r="K163" s="16" t="s">
        <v>179</v>
      </c>
      <c r="L163" s="16" t="s">
        <v>250</v>
      </c>
      <c r="M163" s="16" t="s">
        <v>251</v>
      </c>
      <c r="N163" s="16" t="s">
        <v>76</v>
      </c>
      <c r="O163" s="16" t="s">
        <v>76</v>
      </c>
      <c r="P163" s="16" t="s">
        <v>76</v>
      </c>
      <c r="Q163" s="16" t="s">
        <v>76</v>
      </c>
      <c r="R163" s="16" t="s">
        <v>78</v>
      </c>
      <c r="S163" s="23" t="s">
        <v>481</v>
      </c>
      <c r="T163" s="23" t="s">
        <v>482</v>
      </c>
    </row>
    <row r="164" customFormat="false" ht="19.5" hidden="false" customHeight="true" outlineLevel="0" collapsed="false">
      <c r="A164" s="26" t="s">
        <v>40</v>
      </c>
      <c r="B164" s="26" t="s">
        <v>483</v>
      </c>
      <c r="C164" s="26" t="s">
        <v>478</v>
      </c>
      <c r="D164" s="26" t="s">
        <v>484</v>
      </c>
      <c r="E164" s="125"/>
      <c r="F164" s="126" t="s">
        <v>485</v>
      </c>
      <c r="G164" s="29" t="s">
        <v>69</v>
      </c>
      <c r="H164" s="29" t="s">
        <v>70</v>
      </c>
      <c r="I164" s="29" t="s">
        <v>71</v>
      </c>
      <c r="J164" s="29" t="s">
        <v>72</v>
      </c>
      <c r="K164" s="29" t="s">
        <v>179</v>
      </c>
      <c r="L164" s="29" t="s">
        <v>250</v>
      </c>
      <c r="M164" s="29" t="s">
        <v>251</v>
      </c>
      <c r="N164" s="29" t="s">
        <v>76</v>
      </c>
      <c r="O164" s="29" t="s">
        <v>76</v>
      </c>
      <c r="P164" s="29" t="s">
        <v>76</v>
      </c>
      <c r="Q164" s="29" t="s">
        <v>76</v>
      </c>
      <c r="R164" s="29" t="s">
        <v>78</v>
      </c>
      <c r="S164" s="26" t="s">
        <v>481</v>
      </c>
      <c r="T164" s="26" t="s">
        <v>486</v>
      </c>
    </row>
    <row r="165" customFormat="false" ht="19.5" hidden="false" customHeight="true" outlineLevel="0" collapsed="false">
      <c r="A165" s="23" t="s">
        <v>40</v>
      </c>
      <c r="B165" s="23" t="s">
        <v>487</v>
      </c>
      <c r="C165" s="23" t="s">
        <v>478</v>
      </c>
      <c r="D165" s="23" t="s">
        <v>488</v>
      </c>
      <c r="E165" s="87"/>
      <c r="F165" s="127" t="s">
        <v>489</v>
      </c>
      <c r="G165" s="16" t="s">
        <v>69</v>
      </c>
      <c r="H165" s="16" t="s">
        <v>70</v>
      </c>
      <c r="I165" s="16" t="s">
        <v>71</v>
      </c>
      <c r="J165" s="16" t="s">
        <v>72</v>
      </c>
      <c r="K165" s="16" t="s">
        <v>179</v>
      </c>
      <c r="L165" s="16" t="s">
        <v>250</v>
      </c>
      <c r="M165" s="16" t="s">
        <v>251</v>
      </c>
      <c r="N165" s="16" t="s">
        <v>76</v>
      </c>
      <c r="O165" s="16" t="s">
        <v>76</v>
      </c>
      <c r="P165" s="16" t="s">
        <v>76</v>
      </c>
      <c r="Q165" s="16" t="s">
        <v>76</v>
      </c>
      <c r="R165" s="16" t="s">
        <v>78</v>
      </c>
      <c r="S165" s="23" t="s">
        <v>481</v>
      </c>
      <c r="T165" s="23" t="s">
        <v>490</v>
      </c>
    </row>
    <row r="166" customFormat="false" ht="19.5" hidden="false" customHeight="true" outlineLevel="0" collapsed="false">
      <c r="A166" s="26" t="s">
        <v>40</v>
      </c>
      <c r="B166" s="26" t="s">
        <v>491</v>
      </c>
      <c r="C166" s="26" t="s">
        <v>478</v>
      </c>
      <c r="D166" s="26" t="s">
        <v>492</v>
      </c>
      <c r="E166" s="32"/>
      <c r="F166" s="33" t="s">
        <v>90</v>
      </c>
      <c r="G166" s="29" t="s">
        <v>69</v>
      </c>
      <c r="H166" s="29" t="s">
        <v>70</v>
      </c>
      <c r="I166" s="29" t="s">
        <v>71</v>
      </c>
      <c r="J166" s="29" t="s">
        <v>72</v>
      </c>
      <c r="K166" s="29" t="s">
        <v>179</v>
      </c>
      <c r="L166" s="29" t="s">
        <v>250</v>
      </c>
      <c r="M166" s="29" t="s">
        <v>251</v>
      </c>
      <c r="N166" s="29" t="s">
        <v>76</v>
      </c>
      <c r="O166" s="29" t="s">
        <v>76</v>
      </c>
      <c r="P166" s="29" t="s">
        <v>76</v>
      </c>
      <c r="Q166" s="29" t="s">
        <v>76</v>
      </c>
      <c r="R166" s="29" t="s">
        <v>91</v>
      </c>
      <c r="S166" s="26" t="s">
        <v>493</v>
      </c>
      <c r="T166" s="26" t="s">
        <v>494</v>
      </c>
    </row>
    <row r="167" customFormat="false" ht="19.5" hidden="false" customHeight="true" outlineLevel="0" collapsed="false">
      <c r="A167" s="23" t="s">
        <v>40</v>
      </c>
      <c r="B167" s="23" t="s">
        <v>495</v>
      </c>
      <c r="C167" s="23" t="s">
        <v>478</v>
      </c>
      <c r="D167" s="23" t="s">
        <v>496</v>
      </c>
      <c r="E167" s="128"/>
      <c r="F167" s="129" t="s">
        <v>497</v>
      </c>
      <c r="G167" s="16" t="s">
        <v>69</v>
      </c>
      <c r="H167" s="16" t="s">
        <v>70</v>
      </c>
      <c r="I167" s="16" t="s">
        <v>71</v>
      </c>
      <c r="J167" s="16" t="s">
        <v>72</v>
      </c>
      <c r="K167" s="16" t="s">
        <v>179</v>
      </c>
      <c r="L167" s="16" t="s">
        <v>250</v>
      </c>
      <c r="M167" s="16" t="s">
        <v>251</v>
      </c>
      <c r="N167" s="16" t="s">
        <v>76</v>
      </c>
      <c r="O167" s="16" t="s">
        <v>76</v>
      </c>
      <c r="P167" s="16" t="s">
        <v>76</v>
      </c>
      <c r="Q167" s="16" t="s">
        <v>76</v>
      </c>
      <c r="R167" s="16" t="s">
        <v>78</v>
      </c>
      <c r="S167" s="23" t="s">
        <v>481</v>
      </c>
      <c r="T167" s="23" t="s">
        <v>498</v>
      </c>
    </row>
    <row r="168" customFormat="false" ht="19.5" hidden="false" customHeight="true" outlineLevel="0" collapsed="false">
      <c r="A168" s="26" t="s">
        <v>40</v>
      </c>
      <c r="B168" s="26" t="s">
        <v>499</v>
      </c>
      <c r="C168" s="26" t="s">
        <v>478</v>
      </c>
      <c r="D168" s="26" t="s">
        <v>500</v>
      </c>
      <c r="E168" s="130"/>
      <c r="F168" s="131" t="s">
        <v>501</v>
      </c>
      <c r="G168" s="29" t="s">
        <v>69</v>
      </c>
      <c r="H168" s="29" t="s">
        <v>70</v>
      </c>
      <c r="I168" s="29" t="s">
        <v>71</v>
      </c>
      <c r="J168" s="29" t="s">
        <v>72</v>
      </c>
      <c r="K168" s="29" t="s">
        <v>179</v>
      </c>
      <c r="L168" s="29" t="s">
        <v>250</v>
      </c>
      <c r="M168" s="29" t="s">
        <v>251</v>
      </c>
      <c r="N168" s="29" t="s">
        <v>76</v>
      </c>
      <c r="O168" s="29" t="s">
        <v>76</v>
      </c>
      <c r="P168" s="29" t="s">
        <v>76</v>
      </c>
      <c r="Q168" s="29" t="s">
        <v>76</v>
      </c>
      <c r="R168" s="29" t="s">
        <v>78</v>
      </c>
      <c r="S168" s="26" t="s">
        <v>481</v>
      </c>
      <c r="T168" s="26" t="s">
        <v>482</v>
      </c>
    </row>
    <row r="169" customFormat="false" ht="19.5" hidden="false" customHeight="true" outlineLevel="0" collapsed="false">
      <c r="A169" s="23" t="s">
        <v>40</v>
      </c>
      <c r="B169" s="23" t="s">
        <v>502</v>
      </c>
      <c r="C169" s="23" t="s">
        <v>478</v>
      </c>
      <c r="D169" s="23" t="s">
        <v>503</v>
      </c>
      <c r="E169" s="132"/>
      <c r="F169" s="75" t="s">
        <v>504</v>
      </c>
      <c r="G169" s="16" t="s">
        <v>69</v>
      </c>
      <c r="H169" s="16" t="s">
        <v>70</v>
      </c>
      <c r="I169" s="16" t="s">
        <v>71</v>
      </c>
      <c r="J169" s="16" t="s">
        <v>72</v>
      </c>
      <c r="K169" s="16" t="s">
        <v>179</v>
      </c>
      <c r="L169" s="16" t="s">
        <v>250</v>
      </c>
      <c r="M169" s="16" t="s">
        <v>251</v>
      </c>
      <c r="N169" s="16" t="s">
        <v>76</v>
      </c>
      <c r="O169" s="16" t="s">
        <v>76</v>
      </c>
      <c r="P169" s="16" t="s">
        <v>76</v>
      </c>
      <c r="Q169" s="16" t="s">
        <v>76</v>
      </c>
      <c r="R169" s="16" t="s">
        <v>78</v>
      </c>
      <c r="S169" s="23" t="s">
        <v>481</v>
      </c>
      <c r="T169" s="23" t="s">
        <v>482</v>
      </c>
    </row>
    <row r="170" customFormat="false" ht="19.5" hidden="false" customHeight="true" outlineLevel="0" collapsed="false">
      <c r="A170" s="26" t="s">
        <v>41</v>
      </c>
      <c r="B170" s="26" t="s">
        <v>505</v>
      </c>
      <c r="C170" s="26" t="s">
        <v>506</v>
      </c>
      <c r="D170" s="26" t="s">
        <v>507</v>
      </c>
      <c r="E170" s="133"/>
      <c r="F170" s="134" t="s">
        <v>508</v>
      </c>
      <c r="G170" s="29" t="s">
        <v>69</v>
      </c>
      <c r="H170" s="29" t="s">
        <v>70</v>
      </c>
      <c r="I170" s="29" t="s">
        <v>71</v>
      </c>
      <c r="J170" s="29" t="s">
        <v>72</v>
      </c>
      <c r="K170" s="29" t="s">
        <v>179</v>
      </c>
      <c r="L170" s="29" t="s">
        <v>250</v>
      </c>
      <c r="M170" s="29" t="s">
        <v>293</v>
      </c>
      <c r="N170" s="29" t="s">
        <v>76</v>
      </c>
      <c r="O170" s="29" t="s">
        <v>76</v>
      </c>
      <c r="P170" s="29" t="s">
        <v>76</v>
      </c>
      <c r="Q170" s="29" t="s">
        <v>76</v>
      </c>
      <c r="R170" s="29" t="s">
        <v>78</v>
      </c>
      <c r="S170" s="26" t="s">
        <v>509</v>
      </c>
      <c r="T170" s="26" t="s">
        <v>510</v>
      </c>
    </row>
    <row r="171" customFormat="false" ht="19.5" hidden="false" customHeight="true" outlineLevel="0" collapsed="false">
      <c r="A171" s="23" t="s">
        <v>41</v>
      </c>
      <c r="B171" s="23" t="s">
        <v>511</v>
      </c>
      <c r="C171" s="23" t="s">
        <v>506</v>
      </c>
      <c r="D171" s="23" t="s">
        <v>512</v>
      </c>
      <c r="E171" s="135"/>
      <c r="F171" s="136" t="s">
        <v>513</v>
      </c>
      <c r="G171" s="16" t="s">
        <v>69</v>
      </c>
      <c r="H171" s="16" t="s">
        <v>70</v>
      </c>
      <c r="I171" s="16" t="s">
        <v>71</v>
      </c>
      <c r="J171" s="16" t="s">
        <v>72</v>
      </c>
      <c r="K171" s="16" t="s">
        <v>179</v>
      </c>
      <c r="L171" s="16" t="s">
        <v>250</v>
      </c>
      <c r="M171" s="16" t="s">
        <v>293</v>
      </c>
      <c r="N171" s="16" t="s">
        <v>76</v>
      </c>
      <c r="O171" s="16" t="s">
        <v>76</v>
      </c>
      <c r="P171" s="16" t="s">
        <v>76</v>
      </c>
      <c r="Q171" s="16" t="s">
        <v>76</v>
      </c>
      <c r="R171" s="16" t="s">
        <v>78</v>
      </c>
      <c r="S171" s="23" t="s">
        <v>514</v>
      </c>
      <c r="T171" s="23" t="s">
        <v>307</v>
      </c>
    </row>
    <row r="172" customFormat="false" ht="19.5" hidden="false" customHeight="true" outlineLevel="0" collapsed="false">
      <c r="A172" s="26" t="s">
        <v>41</v>
      </c>
      <c r="B172" s="26" t="s">
        <v>515</v>
      </c>
      <c r="C172" s="26" t="s">
        <v>506</v>
      </c>
      <c r="D172" s="26" t="s">
        <v>516</v>
      </c>
      <c r="E172" s="137"/>
      <c r="F172" s="138" t="s">
        <v>517</v>
      </c>
      <c r="G172" s="29" t="s">
        <v>69</v>
      </c>
      <c r="H172" s="29" t="s">
        <v>70</v>
      </c>
      <c r="I172" s="29" t="s">
        <v>71</v>
      </c>
      <c r="J172" s="29" t="s">
        <v>72</v>
      </c>
      <c r="K172" s="29" t="s">
        <v>179</v>
      </c>
      <c r="L172" s="29" t="s">
        <v>250</v>
      </c>
      <c r="M172" s="29" t="s">
        <v>293</v>
      </c>
      <c r="N172" s="29" t="s">
        <v>76</v>
      </c>
      <c r="O172" s="29" t="s">
        <v>76</v>
      </c>
      <c r="P172" s="29" t="s">
        <v>76</v>
      </c>
      <c r="Q172" s="29" t="s">
        <v>76</v>
      </c>
      <c r="R172" s="29" t="s">
        <v>78</v>
      </c>
      <c r="S172" s="26" t="s">
        <v>518</v>
      </c>
      <c r="T172" s="26" t="s">
        <v>519</v>
      </c>
    </row>
    <row r="173" customFormat="false" ht="19.5" hidden="false" customHeight="true" outlineLevel="0" collapsed="false">
      <c r="A173" s="23" t="s">
        <v>41</v>
      </c>
      <c r="B173" s="23" t="s">
        <v>520</v>
      </c>
      <c r="C173" s="23" t="s">
        <v>506</v>
      </c>
      <c r="D173" s="23" t="s">
        <v>521</v>
      </c>
      <c r="E173" s="119"/>
      <c r="F173" s="139" t="s">
        <v>522</v>
      </c>
      <c r="G173" s="16" t="s">
        <v>69</v>
      </c>
      <c r="H173" s="16" t="s">
        <v>70</v>
      </c>
      <c r="I173" s="16" t="s">
        <v>71</v>
      </c>
      <c r="J173" s="16" t="s">
        <v>72</v>
      </c>
      <c r="K173" s="16" t="s">
        <v>179</v>
      </c>
      <c r="L173" s="16" t="s">
        <v>250</v>
      </c>
      <c r="M173" s="16" t="s">
        <v>293</v>
      </c>
      <c r="N173" s="16" t="s">
        <v>76</v>
      </c>
      <c r="O173" s="16" t="s">
        <v>76</v>
      </c>
      <c r="P173" s="16" t="s">
        <v>76</v>
      </c>
      <c r="Q173" s="16" t="s">
        <v>76</v>
      </c>
      <c r="R173" s="16" t="s">
        <v>78</v>
      </c>
      <c r="S173" s="23" t="s">
        <v>509</v>
      </c>
      <c r="T173" s="23" t="s">
        <v>523</v>
      </c>
    </row>
    <row r="174" customFormat="false" ht="19.5" hidden="false" customHeight="true" outlineLevel="0" collapsed="false">
      <c r="A174" s="26" t="s">
        <v>42</v>
      </c>
      <c r="B174" s="26" t="s">
        <v>524</v>
      </c>
      <c r="C174" s="26" t="s">
        <v>525</v>
      </c>
      <c r="D174" s="26" t="s">
        <v>102</v>
      </c>
      <c r="E174" s="32"/>
      <c r="F174" s="33" t="s">
        <v>90</v>
      </c>
      <c r="G174" s="29" t="s">
        <v>69</v>
      </c>
      <c r="H174" s="29" t="s">
        <v>70</v>
      </c>
      <c r="I174" s="29" t="s">
        <v>71</v>
      </c>
      <c r="J174" s="29" t="s">
        <v>72</v>
      </c>
      <c r="K174" s="29" t="s">
        <v>526</v>
      </c>
      <c r="L174" s="29" t="s">
        <v>527</v>
      </c>
      <c r="M174" s="29" t="s">
        <v>528</v>
      </c>
      <c r="N174" s="29" t="s">
        <v>76</v>
      </c>
      <c r="O174" s="29" t="s">
        <v>76</v>
      </c>
      <c r="P174" s="29" t="s">
        <v>76</v>
      </c>
      <c r="Q174" s="29" t="s">
        <v>76</v>
      </c>
      <c r="R174" s="29" t="s">
        <v>91</v>
      </c>
      <c r="S174" s="26" t="s">
        <v>529</v>
      </c>
      <c r="T174" s="26" t="s">
        <v>530</v>
      </c>
    </row>
    <row r="175" customFormat="false" ht="19.5" hidden="false" customHeight="true" outlineLevel="0" collapsed="false">
      <c r="A175" s="23" t="s">
        <v>42</v>
      </c>
      <c r="B175" s="23" t="s">
        <v>531</v>
      </c>
      <c r="C175" s="23" t="s">
        <v>525</v>
      </c>
      <c r="D175" s="23" t="s">
        <v>108</v>
      </c>
      <c r="E175" s="32"/>
      <c r="F175" s="33" t="s">
        <v>90</v>
      </c>
      <c r="G175" s="16" t="s">
        <v>69</v>
      </c>
      <c r="H175" s="16" t="s">
        <v>70</v>
      </c>
      <c r="I175" s="16" t="s">
        <v>71</v>
      </c>
      <c r="J175" s="16" t="s">
        <v>72</v>
      </c>
      <c r="K175" s="16" t="s">
        <v>526</v>
      </c>
      <c r="L175" s="16" t="s">
        <v>527</v>
      </c>
      <c r="M175" s="16" t="s">
        <v>528</v>
      </c>
      <c r="N175" s="16" t="s">
        <v>76</v>
      </c>
      <c r="O175" s="16" t="s">
        <v>76</v>
      </c>
      <c r="P175" s="16" t="s">
        <v>76</v>
      </c>
      <c r="Q175" s="16" t="s">
        <v>76</v>
      </c>
      <c r="R175" s="16" t="s">
        <v>91</v>
      </c>
      <c r="S175" s="23" t="s">
        <v>529</v>
      </c>
      <c r="T175" s="23" t="s">
        <v>530</v>
      </c>
    </row>
    <row r="176" customFormat="false" ht="19.5" hidden="false" customHeight="true" outlineLevel="0" collapsed="false">
      <c r="A176" s="26" t="s">
        <v>42</v>
      </c>
      <c r="B176" s="26" t="s">
        <v>532</v>
      </c>
      <c r="C176" s="26" t="s">
        <v>525</v>
      </c>
      <c r="D176" s="26" t="s">
        <v>533</v>
      </c>
      <c r="E176" s="32"/>
      <c r="F176" s="33" t="s">
        <v>90</v>
      </c>
      <c r="G176" s="29" t="s">
        <v>69</v>
      </c>
      <c r="H176" s="29" t="s">
        <v>70</v>
      </c>
      <c r="I176" s="29" t="s">
        <v>71</v>
      </c>
      <c r="J176" s="29" t="s">
        <v>72</v>
      </c>
      <c r="K176" s="29" t="s">
        <v>526</v>
      </c>
      <c r="L176" s="29" t="s">
        <v>527</v>
      </c>
      <c r="M176" s="29" t="s">
        <v>528</v>
      </c>
      <c r="N176" s="29" t="s">
        <v>76</v>
      </c>
      <c r="O176" s="29" t="s">
        <v>76</v>
      </c>
      <c r="P176" s="29" t="s">
        <v>76</v>
      </c>
      <c r="Q176" s="29" t="s">
        <v>76</v>
      </c>
      <c r="R176" s="29" t="s">
        <v>91</v>
      </c>
      <c r="S176" s="26" t="s">
        <v>529</v>
      </c>
      <c r="T176" s="26" t="s">
        <v>530</v>
      </c>
    </row>
    <row r="177" customFormat="false" ht="19.5" hidden="false" customHeight="true" outlineLevel="0" collapsed="false">
      <c r="A177" s="23" t="s">
        <v>42</v>
      </c>
      <c r="B177" s="23" t="s">
        <v>534</v>
      </c>
      <c r="C177" s="23" t="s">
        <v>525</v>
      </c>
      <c r="D177" s="23" t="s">
        <v>111</v>
      </c>
      <c r="E177" s="32"/>
      <c r="F177" s="33" t="s">
        <v>90</v>
      </c>
      <c r="G177" s="16" t="s">
        <v>69</v>
      </c>
      <c r="H177" s="16" t="s">
        <v>70</v>
      </c>
      <c r="I177" s="16" t="s">
        <v>71</v>
      </c>
      <c r="J177" s="16" t="s">
        <v>72</v>
      </c>
      <c r="K177" s="16" t="s">
        <v>526</v>
      </c>
      <c r="L177" s="16" t="s">
        <v>527</v>
      </c>
      <c r="M177" s="16" t="s">
        <v>528</v>
      </c>
      <c r="N177" s="16" t="s">
        <v>76</v>
      </c>
      <c r="O177" s="16" t="s">
        <v>76</v>
      </c>
      <c r="P177" s="16" t="s">
        <v>76</v>
      </c>
      <c r="Q177" s="16" t="s">
        <v>76</v>
      </c>
      <c r="R177" s="16" t="s">
        <v>91</v>
      </c>
      <c r="S177" s="23" t="s">
        <v>529</v>
      </c>
      <c r="T177" s="23" t="s">
        <v>530</v>
      </c>
    </row>
    <row r="178" customFormat="false" ht="19.5" hidden="false" customHeight="true" outlineLevel="0" collapsed="false">
      <c r="A178" s="26" t="s">
        <v>42</v>
      </c>
      <c r="B178" s="26" t="s">
        <v>535</v>
      </c>
      <c r="C178" s="26" t="s">
        <v>525</v>
      </c>
      <c r="D178" s="26" t="s">
        <v>116</v>
      </c>
      <c r="E178" s="32"/>
      <c r="F178" s="33" t="s">
        <v>90</v>
      </c>
      <c r="G178" s="29" t="s">
        <v>69</v>
      </c>
      <c r="H178" s="29" t="s">
        <v>70</v>
      </c>
      <c r="I178" s="29" t="s">
        <v>71</v>
      </c>
      <c r="J178" s="29" t="s">
        <v>72</v>
      </c>
      <c r="K178" s="29" t="s">
        <v>526</v>
      </c>
      <c r="L178" s="29" t="s">
        <v>527</v>
      </c>
      <c r="M178" s="29" t="s">
        <v>528</v>
      </c>
      <c r="N178" s="29" t="s">
        <v>76</v>
      </c>
      <c r="O178" s="29" t="s">
        <v>76</v>
      </c>
      <c r="P178" s="29" t="s">
        <v>76</v>
      </c>
      <c r="Q178" s="29" t="s">
        <v>76</v>
      </c>
      <c r="R178" s="29" t="s">
        <v>91</v>
      </c>
      <c r="S178" s="26" t="s">
        <v>529</v>
      </c>
      <c r="T178" s="26" t="s">
        <v>530</v>
      </c>
    </row>
    <row r="179" customFormat="false" ht="19.5" hidden="false" customHeight="true" outlineLevel="0" collapsed="false">
      <c r="A179" s="23" t="s">
        <v>42</v>
      </c>
      <c r="B179" s="23" t="s">
        <v>536</v>
      </c>
      <c r="C179" s="23" t="s">
        <v>525</v>
      </c>
      <c r="D179" s="23" t="s">
        <v>537</v>
      </c>
      <c r="E179" s="32"/>
      <c r="F179" s="33" t="s">
        <v>90</v>
      </c>
      <c r="G179" s="16" t="s">
        <v>69</v>
      </c>
      <c r="H179" s="16" t="s">
        <v>70</v>
      </c>
      <c r="I179" s="16" t="s">
        <v>71</v>
      </c>
      <c r="J179" s="16" t="s">
        <v>72</v>
      </c>
      <c r="K179" s="16" t="s">
        <v>526</v>
      </c>
      <c r="L179" s="16" t="s">
        <v>527</v>
      </c>
      <c r="M179" s="16" t="s">
        <v>528</v>
      </c>
      <c r="N179" s="16" t="s">
        <v>76</v>
      </c>
      <c r="O179" s="16" t="s">
        <v>76</v>
      </c>
      <c r="P179" s="16" t="s">
        <v>76</v>
      </c>
      <c r="Q179" s="16" t="s">
        <v>76</v>
      </c>
      <c r="R179" s="16" t="s">
        <v>91</v>
      </c>
      <c r="S179" s="23" t="s">
        <v>529</v>
      </c>
      <c r="T179" s="23" t="s">
        <v>530</v>
      </c>
    </row>
    <row r="180" customFormat="false" ht="19.5" hidden="false" customHeight="true" outlineLevel="0" collapsed="false">
      <c r="A180" s="26" t="s">
        <v>42</v>
      </c>
      <c r="B180" s="26" t="s">
        <v>538</v>
      </c>
      <c r="C180" s="26" t="s">
        <v>525</v>
      </c>
      <c r="D180" s="26" t="s">
        <v>119</v>
      </c>
      <c r="E180" s="32"/>
      <c r="F180" s="33" t="s">
        <v>90</v>
      </c>
      <c r="G180" s="29" t="s">
        <v>69</v>
      </c>
      <c r="H180" s="29" t="s">
        <v>70</v>
      </c>
      <c r="I180" s="29" t="s">
        <v>71</v>
      </c>
      <c r="J180" s="29" t="s">
        <v>72</v>
      </c>
      <c r="K180" s="29" t="s">
        <v>526</v>
      </c>
      <c r="L180" s="29" t="s">
        <v>527</v>
      </c>
      <c r="M180" s="29" t="s">
        <v>528</v>
      </c>
      <c r="N180" s="29" t="s">
        <v>76</v>
      </c>
      <c r="O180" s="29" t="s">
        <v>76</v>
      </c>
      <c r="P180" s="29" t="s">
        <v>76</v>
      </c>
      <c r="Q180" s="29" t="s">
        <v>76</v>
      </c>
      <c r="R180" s="29" t="s">
        <v>91</v>
      </c>
      <c r="S180" s="26" t="s">
        <v>529</v>
      </c>
      <c r="T180" s="26" t="s">
        <v>530</v>
      </c>
    </row>
    <row r="181" customFormat="false" ht="19.5" hidden="false" customHeight="true" outlineLevel="0" collapsed="false">
      <c r="A181" s="23" t="s">
        <v>43</v>
      </c>
      <c r="B181" s="23" t="s">
        <v>539</v>
      </c>
      <c r="C181" s="23" t="s">
        <v>540</v>
      </c>
      <c r="D181" s="23" t="s">
        <v>125</v>
      </c>
      <c r="E181" s="32"/>
      <c r="F181" s="33" t="s">
        <v>90</v>
      </c>
      <c r="G181" s="16" t="s">
        <v>69</v>
      </c>
      <c r="H181" s="16" t="s">
        <v>70</v>
      </c>
      <c r="I181" s="16" t="s">
        <v>71</v>
      </c>
      <c r="J181" s="16" t="s">
        <v>72</v>
      </c>
      <c r="K181" s="16" t="s">
        <v>249</v>
      </c>
      <c r="L181" s="16" t="s">
        <v>250</v>
      </c>
      <c r="M181" s="16" t="s">
        <v>251</v>
      </c>
      <c r="N181" s="16" t="s">
        <v>76</v>
      </c>
      <c r="O181" s="16" t="s">
        <v>76</v>
      </c>
      <c r="P181" s="16" t="s">
        <v>76</v>
      </c>
      <c r="Q181" s="16" t="s">
        <v>76</v>
      </c>
      <c r="R181" s="16" t="s">
        <v>91</v>
      </c>
      <c r="S181" s="23" t="s">
        <v>541</v>
      </c>
      <c r="T181" s="23" t="s">
        <v>542</v>
      </c>
    </row>
    <row r="182" customFormat="false" ht="19.5" hidden="false" customHeight="true" outlineLevel="0" collapsed="false">
      <c r="A182" s="26" t="s">
        <v>43</v>
      </c>
      <c r="B182" s="26" t="s">
        <v>543</v>
      </c>
      <c r="C182" s="26" t="s">
        <v>540</v>
      </c>
      <c r="D182" s="26" t="s">
        <v>133</v>
      </c>
      <c r="E182" s="32"/>
      <c r="F182" s="33" t="s">
        <v>90</v>
      </c>
      <c r="G182" s="29" t="s">
        <v>69</v>
      </c>
      <c r="H182" s="29" t="s">
        <v>70</v>
      </c>
      <c r="I182" s="29" t="s">
        <v>71</v>
      </c>
      <c r="J182" s="29" t="s">
        <v>72</v>
      </c>
      <c r="K182" s="29" t="s">
        <v>249</v>
      </c>
      <c r="L182" s="29" t="s">
        <v>250</v>
      </c>
      <c r="M182" s="29" t="s">
        <v>251</v>
      </c>
      <c r="N182" s="29" t="s">
        <v>76</v>
      </c>
      <c r="O182" s="29" t="s">
        <v>76</v>
      </c>
      <c r="P182" s="29" t="s">
        <v>76</v>
      </c>
      <c r="Q182" s="29" t="s">
        <v>76</v>
      </c>
      <c r="R182" s="29" t="s">
        <v>91</v>
      </c>
      <c r="S182" s="26" t="s">
        <v>541</v>
      </c>
      <c r="T182" s="26" t="s">
        <v>542</v>
      </c>
    </row>
    <row r="183" customFormat="false" ht="19.5" hidden="false" customHeight="true" outlineLevel="0" collapsed="false">
      <c r="A183" s="23" t="s">
        <v>43</v>
      </c>
      <c r="B183" s="23" t="s">
        <v>544</v>
      </c>
      <c r="C183" s="23" t="s">
        <v>540</v>
      </c>
      <c r="D183" s="23" t="s">
        <v>82</v>
      </c>
      <c r="E183" s="32"/>
      <c r="F183" s="33" t="s">
        <v>90</v>
      </c>
      <c r="G183" s="16" t="s">
        <v>69</v>
      </c>
      <c r="H183" s="16" t="s">
        <v>70</v>
      </c>
      <c r="I183" s="16" t="s">
        <v>71</v>
      </c>
      <c r="J183" s="16" t="s">
        <v>72</v>
      </c>
      <c r="K183" s="16" t="s">
        <v>249</v>
      </c>
      <c r="L183" s="16" t="s">
        <v>250</v>
      </c>
      <c r="M183" s="16" t="s">
        <v>251</v>
      </c>
      <c r="N183" s="16" t="s">
        <v>76</v>
      </c>
      <c r="O183" s="16" t="s">
        <v>76</v>
      </c>
      <c r="P183" s="16" t="s">
        <v>76</v>
      </c>
      <c r="Q183" s="16" t="s">
        <v>76</v>
      </c>
      <c r="R183" s="16" t="s">
        <v>91</v>
      </c>
      <c r="S183" s="23" t="s">
        <v>541</v>
      </c>
      <c r="T183" s="23" t="s">
        <v>542</v>
      </c>
    </row>
    <row r="184" customFormat="false" ht="19.5" hidden="false" customHeight="true" outlineLevel="0" collapsed="false">
      <c r="A184" s="26" t="s">
        <v>43</v>
      </c>
      <c r="B184" s="26" t="s">
        <v>545</v>
      </c>
      <c r="C184" s="26" t="s">
        <v>540</v>
      </c>
      <c r="D184" s="26" t="s">
        <v>546</v>
      </c>
      <c r="E184" s="32"/>
      <c r="F184" s="33" t="s">
        <v>90</v>
      </c>
      <c r="G184" s="29" t="s">
        <v>69</v>
      </c>
      <c r="H184" s="29" t="s">
        <v>70</v>
      </c>
      <c r="I184" s="29" t="s">
        <v>71</v>
      </c>
      <c r="J184" s="29" t="s">
        <v>72</v>
      </c>
      <c r="K184" s="29" t="s">
        <v>249</v>
      </c>
      <c r="L184" s="29" t="s">
        <v>250</v>
      </c>
      <c r="M184" s="29" t="s">
        <v>251</v>
      </c>
      <c r="N184" s="29" t="s">
        <v>76</v>
      </c>
      <c r="O184" s="29" t="s">
        <v>76</v>
      </c>
      <c r="P184" s="29" t="s">
        <v>76</v>
      </c>
      <c r="Q184" s="29" t="s">
        <v>76</v>
      </c>
      <c r="R184" s="29" t="s">
        <v>91</v>
      </c>
      <c r="S184" s="26" t="s">
        <v>541</v>
      </c>
      <c r="T184" s="26" t="s">
        <v>542</v>
      </c>
    </row>
    <row r="185" customFormat="false" ht="19.5" hidden="false" customHeight="true" outlineLevel="0" collapsed="false">
      <c r="A185" s="23" t="s">
        <v>43</v>
      </c>
      <c r="B185" s="23" t="s">
        <v>547</v>
      </c>
      <c r="C185" s="23" t="s">
        <v>540</v>
      </c>
      <c r="D185" s="23" t="s">
        <v>140</v>
      </c>
      <c r="E185" s="32"/>
      <c r="F185" s="33" t="s">
        <v>90</v>
      </c>
      <c r="G185" s="16" t="s">
        <v>69</v>
      </c>
      <c r="H185" s="16" t="s">
        <v>70</v>
      </c>
      <c r="I185" s="16" t="s">
        <v>71</v>
      </c>
      <c r="J185" s="16" t="s">
        <v>72</v>
      </c>
      <c r="K185" s="16" t="s">
        <v>249</v>
      </c>
      <c r="L185" s="16" t="s">
        <v>250</v>
      </c>
      <c r="M185" s="16" t="s">
        <v>251</v>
      </c>
      <c r="N185" s="16" t="s">
        <v>76</v>
      </c>
      <c r="O185" s="16" t="s">
        <v>76</v>
      </c>
      <c r="P185" s="16" t="s">
        <v>76</v>
      </c>
      <c r="Q185" s="16" t="s">
        <v>76</v>
      </c>
      <c r="R185" s="16" t="s">
        <v>91</v>
      </c>
      <c r="S185" s="23" t="s">
        <v>541</v>
      </c>
      <c r="T185" s="23" t="s">
        <v>542</v>
      </c>
    </row>
    <row r="186" customFormat="false" ht="19.5" hidden="false" customHeight="true" outlineLevel="0" collapsed="false">
      <c r="A186" s="26" t="s">
        <v>43</v>
      </c>
      <c r="B186" s="26" t="s">
        <v>548</v>
      </c>
      <c r="C186" s="26" t="s">
        <v>540</v>
      </c>
      <c r="D186" s="26" t="s">
        <v>549</v>
      </c>
      <c r="E186" s="32"/>
      <c r="F186" s="33" t="s">
        <v>90</v>
      </c>
      <c r="G186" s="29" t="s">
        <v>69</v>
      </c>
      <c r="H186" s="29" t="s">
        <v>70</v>
      </c>
      <c r="I186" s="29" t="s">
        <v>71</v>
      </c>
      <c r="J186" s="29" t="s">
        <v>72</v>
      </c>
      <c r="K186" s="29" t="s">
        <v>249</v>
      </c>
      <c r="L186" s="29" t="s">
        <v>250</v>
      </c>
      <c r="M186" s="29" t="s">
        <v>251</v>
      </c>
      <c r="N186" s="29" t="s">
        <v>76</v>
      </c>
      <c r="O186" s="29" t="s">
        <v>76</v>
      </c>
      <c r="P186" s="29" t="s">
        <v>76</v>
      </c>
      <c r="Q186" s="29" t="s">
        <v>76</v>
      </c>
      <c r="R186" s="29" t="s">
        <v>91</v>
      </c>
      <c r="S186" s="26" t="s">
        <v>541</v>
      </c>
      <c r="T186" s="26" t="s">
        <v>542</v>
      </c>
    </row>
    <row r="187" customFormat="false" ht="19.5" hidden="false" customHeight="true" outlineLevel="0" collapsed="false">
      <c r="A187" s="23" t="s">
        <v>43</v>
      </c>
      <c r="B187" s="23" t="s">
        <v>550</v>
      </c>
      <c r="C187" s="23" t="s">
        <v>540</v>
      </c>
      <c r="D187" s="23" t="s">
        <v>551</v>
      </c>
      <c r="E187" s="32"/>
      <c r="F187" s="33" t="s">
        <v>90</v>
      </c>
      <c r="G187" s="16" t="s">
        <v>69</v>
      </c>
      <c r="H187" s="16" t="s">
        <v>70</v>
      </c>
      <c r="I187" s="16" t="s">
        <v>71</v>
      </c>
      <c r="J187" s="16" t="s">
        <v>72</v>
      </c>
      <c r="K187" s="16" t="s">
        <v>249</v>
      </c>
      <c r="L187" s="16" t="s">
        <v>250</v>
      </c>
      <c r="M187" s="16" t="s">
        <v>251</v>
      </c>
      <c r="N187" s="16" t="s">
        <v>76</v>
      </c>
      <c r="O187" s="16" t="s">
        <v>76</v>
      </c>
      <c r="P187" s="16" t="s">
        <v>76</v>
      </c>
      <c r="Q187" s="16" t="s">
        <v>76</v>
      </c>
      <c r="R187" s="16" t="s">
        <v>91</v>
      </c>
      <c r="S187" s="23" t="s">
        <v>541</v>
      </c>
      <c r="T187" s="23" t="s">
        <v>542</v>
      </c>
    </row>
    <row r="188" customFormat="false" ht="19.5" hidden="false" customHeight="true" outlineLevel="0" collapsed="false">
      <c r="A188" s="26" t="s">
        <v>43</v>
      </c>
      <c r="B188" s="26" t="s">
        <v>552</v>
      </c>
      <c r="C188" s="26" t="s">
        <v>540</v>
      </c>
      <c r="D188" s="26" t="s">
        <v>553</v>
      </c>
      <c r="E188" s="32"/>
      <c r="F188" s="33" t="s">
        <v>90</v>
      </c>
      <c r="G188" s="29" t="s">
        <v>69</v>
      </c>
      <c r="H188" s="29" t="s">
        <v>70</v>
      </c>
      <c r="I188" s="29" t="s">
        <v>71</v>
      </c>
      <c r="J188" s="29" t="s">
        <v>72</v>
      </c>
      <c r="K188" s="29" t="s">
        <v>249</v>
      </c>
      <c r="L188" s="29" t="s">
        <v>250</v>
      </c>
      <c r="M188" s="29" t="s">
        <v>251</v>
      </c>
      <c r="N188" s="29" t="s">
        <v>76</v>
      </c>
      <c r="O188" s="29" t="s">
        <v>76</v>
      </c>
      <c r="P188" s="29" t="s">
        <v>76</v>
      </c>
      <c r="Q188" s="29" t="s">
        <v>76</v>
      </c>
      <c r="R188" s="29" t="s">
        <v>91</v>
      </c>
      <c r="S188" s="26" t="s">
        <v>541</v>
      </c>
      <c r="T188" s="26" t="s">
        <v>542</v>
      </c>
    </row>
    <row r="189" customFormat="false" ht="19.5" hidden="false" customHeight="true" outlineLevel="0" collapsed="false">
      <c r="A189" s="23" t="s">
        <v>43</v>
      </c>
      <c r="B189" s="23" t="s">
        <v>554</v>
      </c>
      <c r="C189" s="23" t="s">
        <v>540</v>
      </c>
      <c r="D189" s="23" t="s">
        <v>142</v>
      </c>
      <c r="E189" s="32"/>
      <c r="F189" s="33" t="s">
        <v>90</v>
      </c>
      <c r="G189" s="16" t="s">
        <v>69</v>
      </c>
      <c r="H189" s="16" t="s">
        <v>70</v>
      </c>
      <c r="I189" s="16" t="s">
        <v>71</v>
      </c>
      <c r="J189" s="16" t="s">
        <v>72</v>
      </c>
      <c r="K189" s="16" t="s">
        <v>249</v>
      </c>
      <c r="L189" s="16" t="s">
        <v>250</v>
      </c>
      <c r="M189" s="16" t="s">
        <v>251</v>
      </c>
      <c r="N189" s="16" t="s">
        <v>76</v>
      </c>
      <c r="O189" s="16" t="s">
        <v>76</v>
      </c>
      <c r="P189" s="16" t="s">
        <v>76</v>
      </c>
      <c r="Q189" s="16" t="s">
        <v>76</v>
      </c>
      <c r="R189" s="16" t="s">
        <v>91</v>
      </c>
      <c r="S189" s="23" t="s">
        <v>541</v>
      </c>
      <c r="T189" s="23" t="s">
        <v>542</v>
      </c>
    </row>
    <row r="190" customFormat="false" ht="19.5" hidden="false" customHeight="true" outlineLevel="0" collapsed="false">
      <c r="A190" s="26" t="s">
        <v>43</v>
      </c>
      <c r="B190" s="26" t="s">
        <v>555</v>
      </c>
      <c r="C190" s="26" t="s">
        <v>540</v>
      </c>
      <c r="D190" s="26" t="s">
        <v>89</v>
      </c>
      <c r="E190" s="32"/>
      <c r="F190" s="33" t="s">
        <v>90</v>
      </c>
      <c r="G190" s="29" t="s">
        <v>69</v>
      </c>
      <c r="H190" s="29" t="s">
        <v>70</v>
      </c>
      <c r="I190" s="29" t="s">
        <v>71</v>
      </c>
      <c r="J190" s="29" t="s">
        <v>72</v>
      </c>
      <c r="K190" s="29" t="s">
        <v>249</v>
      </c>
      <c r="L190" s="29" t="s">
        <v>250</v>
      </c>
      <c r="M190" s="29" t="s">
        <v>251</v>
      </c>
      <c r="N190" s="29" t="s">
        <v>76</v>
      </c>
      <c r="O190" s="29" t="s">
        <v>76</v>
      </c>
      <c r="P190" s="29" t="s">
        <v>76</v>
      </c>
      <c r="Q190" s="29" t="s">
        <v>76</v>
      </c>
      <c r="R190" s="29" t="s">
        <v>91</v>
      </c>
      <c r="S190" s="26" t="s">
        <v>541</v>
      </c>
      <c r="T190" s="26" t="s">
        <v>542</v>
      </c>
    </row>
    <row r="191" customFormat="false" ht="19.5" hidden="false" customHeight="true" outlineLevel="0" collapsed="false">
      <c r="A191" s="23" t="s">
        <v>43</v>
      </c>
      <c r="B191" s="23" t="s">
        <v>556</v>
      </c>
      <c r="C191" s="23" t="s">
        <v>540</v>
      </c>
      <c r="D191" s="23" t="s">
        <v>355</v>
      </c>
      <c r="E191" s="32"/>
      <c r="F191" s="33" t="s">
        <v>90</v>
      </c>
      <c r="G191" s="16" t="s">
        <v>69</v>
      </c>
      <c r="H191" s="16" t="s">
        <v>70</v>
      </c>
      <c r="I191" s="16" t="s">
        <v>71</v>
      </c>
      <c r="J191" s="16" t="s">
        <v>72</v>
      </c>
      <c r="K191" s="16" t="s">
        <v>249</v>
      </c>
      <c r="L191" s="16" t="s">
        <v>250</v>
      </c>
      <c r="M191" s="16" t="s">
        <v>251</v>
      </c>
      <c r="N191" s="16" t="s">
        <v>76</v>
      </c>
      <c r="O191" s="16" t="s">
        <v>76</v>
      </c>
      <c r="P191" s="16" t="s">
        <v>76</v>
      </c>
      <c r="Q191" s="16" t="s">
        <v>76</v>
      </c>
      <c r="R191" s="16" t="s">
        <v>91</v>
      </c>
      <c r="S191" s="23" t="s">
        <v>541</v>
      </c>
      <c r="T191" s="23" t="s">
        <v>542</v>
      </c>
    </row>
    <row r="192" customFormat="false" ht="19.5" hidden="false" customHeight="true" outlineLevel="0" collapsed="false">
      <c r="A192" s="26" t="s">
        <v>43</v>
      </c>
      <c r="B192" s="26" t="s">
        <v>557</v>
      </c>
      <c r="C192" s="26" t="s">
        <v>540</v>
      </c>
      <c r="D192" s="26" t="s">
        <v>558</v>
      </c>
      <c r="E192" s="32"/>
      <c r="F192" s="33" t="s">
        <v>90</v>
      </c>
      <c r="G192" s="29" t="s">
        <v>69</v>
      </c>
      <c r="H192" s="29" t="s">
        <v>70</v>
      </c>
      <c r="I192" s="29" t="s">
        <v>71</v>
      </c>
      <c r="J192" s="29" t="s">
        <v>72</v>
      </c>
      <c r="K192" s="29" t="s">
        <v>249</v>
      </c>
      <c r="L192" s="29" t="s">
        <v>250</v>
      </c>
      <c r="M192" s="29" t="s">
        <v>251</v>
      </c>
      <c r="N192" s="29" t="s">
        <v>76</v>
      </c>
      <c r="O192" s="29" t="s">
        <v>76</v>
      </c>
      <c r="P192" s="29" t="s">
        <v>76</v>
      </c>
      <c r="Q192" s="29" t="s">
        <v>76</v>
      </c>
      <c r="R192" s="29" t="s">
        <v>91</v>
      </c>
      <c r="S192" s="26" t="s">
        <v>541</v>
      </c>
      <c r="T192" s="26" t="s">
        <v>542</v>
      </c>
    </row>
    <row r="193" customFormat="false" ht="19.5" hidden="false" customHeight="true" outlineLevel="0" collapsed="false">
      <c r="A193" s="23" t="s">
        <v>43</v>
      </c>
      <c r="B193" s="23" t="s">
        <v>559</v>
      </c>
      <c r="C193" s="23" t="s">
        <v>540</v>
      </c>
      <c r="D193" s="23" t="s">
        <v>560</v>
      </c>
      <c r="E193" s="32"/>
      <c r="F193" s="33" t="s">
        <v>90</v>
      </c>
      <c r="G193" s="16" t="s">
        <v>69</v>
      </c>
      <c r="H193" s="16" t="s">
        <v>70</v>
      </c>
      <c r="I193" s="16" t="s">
        <v>71</v>
      </c>
      <c r="J193" s="16" t="s">
        <v>72</v>
      </c>
      <c r="K193" s="16" t="s">
        <v>249</v>
      </c>
      <c r="L193" s="16" t="s">
        <v>250</v>
      </c>
      <c r="M193" s="16" t="s">
        <v>251</v>
      </c>
      <c r="N193" s="16" t="s">
        <v>76</v>
      </c>
      <c r="O193" s="16" t="s">
        <v>76</v>
      </c>
      <c r="P193" s="16" t="s">
        <v>76</v>
      </c>
      <c r="Q193" s="16" t="s">
        <v>76</v>
      </c>
      <c r="R193" s="16" t="s">
        <v>91</v>
      </c>
      <c r="S193" s="23" t="s">
        <v>541</v>
      </c>
      <c r="T193" s="23" t="s">
        <v>542</v>
      </c>
    </row>
    <row r="194" customFormat="false" ht="19.5" hidden="false" customHeight="true" outlineLevel="0" collapsed="false">
      <c r="A194" s="26" t="s">
        <v>43</v>
      </c>
      <c r="B194" s="26" t="s">
        <v>561</v>
      </c>
      <c r="C194" s="26" t="s">
        <v>540</v>
      </c>
      <c r="D194" s="26" t="s">
        <v>562</v>
      </c>
      <c r="E194" s="32"/>
      <c r="F194" s="33" t="s">
        <v>90</v>
      </c>
      <c r="G194" s="29" t="s">
        <v>69</v>
      </c>
      <c r="H194" s="29" t="s">
        <v>70</v>
      </c>
      <c r="I194" s="29" t="s">
        <v>71</v>
      </c>
      <c r="J194" s="29" t="s">
        <v>72</v>
      </c>
      <c r="K194" s="29" t="s">
        <v>249</v>
      </c>
      <c r="L194" s="29" t="s">
        <v>250</v>
      </c>
      <c r="M194" s="29" t="s">
        <v>251</v>
      </c>
      <c r="N194" s="29" t="s">
        <v>76</v>
      </c>
      <c r="O194" s="29" t="s">
        <v>76</v>
      </c>
      <c r="P194" s="29" t="s">
        <v>76</v>
      </c>
      <c r="Q194" s="29" t="s">
        <v>76</v>
      </c>
      <c r="R194" s="29" t="s">
        <v>91</v>
      </c>
      <c r="S194" s="26" t="s">
        <v>541</v>
      </c>
      <c r="T194" s="26" t="s">
        <v>542</v>
      </c>
    </row>
    <row r="195" customFormat="false" ht="19.5" hidden="false" customHeight="true" outlineLevel="0" collapsed="false">
      <c r="A195" s="23" t="s">
        <v>43</v>
      </c>
      <c r="B195" s="23" t="s">
        <v>563</v>
      </c>
      <c r="C195" s="23" t="s">
        <v>540</v>
      </c>
      <c r="D195" s="23" t="s">
        <v>564</v>
      </c>
      <c r="E195" s="32"/>
      <c r="F195" s="33" t="s">
        <v>90</v>
      </c>
      <c r="G195" s="16" t="s">
        <v>69</v>
      </c>
      <c r="H195" s="16" t="s">
        <v>70</v>
      </c>
      <c r="I195" s="16" t="s">
        <v>71</v>
      </c>
      <c r="J195" s="16" t="s">
        <v>72</v>
      </c>
      <c r="K195" s="16" t="s">
        <v>249</v>
      </c>
      <c r="L195" s="16" t="s">
        <v>250</v>
      </c>
      <c r="M195" s="16" t="s">
        <v>251</v>
      </c>
      <c r="N195" s="16" t="s">
        <v>76</v>
      </c>
      <c r="O195" s="16" t="s">
        <v>76</v>
      </c>
      <c r="P195" s="16" t="s">
        <v>76</v>
      </c>
      <c r="Q195" s="16" t="s">
        <v>76</v>
      </c>
      <c r="R195" s="16" t="s">
        <v>91</v>
      </c>
      <c r="S195" s="23" t="s">
        <v>541</v>
      </c>
      <c r="T195" s="23" t="s">
        <v>542</v>
      </c>
    </row>
    <row r="196" customFormat="false" ht="19.5" hidden="false" customHeight="true" outlineLevel="0" collapsed="false">
      <c r="A196" s="26" t="s">
        <v>43</v>
      </c>
      <c r="B196" s="26" t="s">
        <v>565</v>
      </c>
      <c r="C196" s="26" t="s">
        <v>540</v>
      </c>
      <c r="D196" s="26" t="s">
        <v>566</v>
      </c>
      <c r="E196" s="32"/>
      <c r="F196" s="33" t="s">
        <v>90</v>
      </c>
      <c r="G196" s="29" t="s">
        <v>69</v>
      </c>
      <c r="H196" s="29" t="s">
        <v>70</v>
      </c>
      <c r="I196" s="29" t="s">
        <v>71</v>
      </c>
      <c r="J196" s="29" t="s">
        <v>72</v>
      </c>
      <c r="K196" s="29" t="s">
        <v>249</v>
      </c>
      <c r="L196" s="29" t="s">
        <v>250</v>
      </c>
      <c r="M196" s="29" t="s">
        <v>251</v>
      </c>
      <c r="N196" s="29" t="s">
        <v>76</v>
      </c>
      <c r="O196" s="29" t="s">
        <v>76</v>
      </c>
      <c r="P196" s="29" t="s">
        <v>76</v>
      </c>
      <c r="Q196" s="29" t="s">
        <v>76</v>
      </c>
      <c r="R196" s="29" t="s">
        <v>91</v>
      </c>
      <c r="S196" s="26" t="s">
        <v>541</v>
      </c>
      <c r="T196" s="26" t="s">
        <v>542</v>
      </c>
    </row>
    <row r="197" customFormat="false" ht="19.5" hidden="false" customHeight="true" outlineLevel="0" collapsed="false">
      <c r="A197" s="23" t="s">
        <v>43</v>
      </c>
      <c r="B197" s="23" t="s">
        <v>567</v>
      </c>
      <c r="C197" s="23" t="s">
        <v>540</v>
      </c>
      <c r="D197" s="23" t="s">
        <v>145</v>
      </c>
      <c r="E197" s="66"/>
      <c r="F197" s="140" t="s">
        <v>568</v>
      </c>
      <c r="G197" s="16" t="s">
        <v>69</v>
      </c>
      <c r="H197" s="16" t="s">
        <v>70</v>
      </c>
      <c r="I197" s="16" t="s">
        <v>71</v>
      </c>
      <c r="J197" s="16" t="s">
        <v>72</v>
      </c>
      <c r="K197" s="16" t="s">
        <v>249</v>
      </c>
      <c r="L197" s="16" t="s">
        <v>250</v>
      </c>
      <c r="M197" s="16" t="s">
        <v>251</v>
      </c>
      <c r="N197" s="16" t="s">
        <v>76</v>
      </c>
      <c r="O197" s="16" t="s">
        <v>76</v>
      </c>
      <c r="P197" s="16" t="s">
        <v>76</v>
      </c>
      <c r="Q197" s="16" t="s">
        <v>76</v>
      </c>
      <c r="R197" s="16" t="s">
        <v>78</v>
      </c>
      <c r="S197" s="23" t="s">
        <v>569</v>
      </c>
      <c r="T197" s="23" t="s">
        <v>570</v>
      </c>
    </row>
    <row r="198" customFormat="false" ht="19.5" hidden="false" customHeight="true" outlineLevel="0" collapsed="false">
      <c r="A198" s="26" t="s">
        <v>43</v>
      </c>
      <c r="B198" s="26" t="s">
        <v>571</v>
      </c>
      <c r="C198" s="26" t="s">
        <v>540</v>
      </c>
      <c r="D198" s="26" t="s">
        <v>572</v>
      </c>
      <c r="E198" s="32"/>
      <c r="F198" s="33" t="s">
        <v>90</v>
      </c>
      <c r="G198" s="29" t="s">
        <v>69</v>
      </c>
      <c r="H198" s="29" t="s">
        <v>70</v>
      </c>
      <c r="I198" s="29" t="s">
        <v>71</v>
      </c>
      <c r="J198" s="29" t="s">
        <v>72</v>
      </c>
      <c r="K198" s="29" t="s">
        <v>249</v>
      </c>
      <c r="L198" s="29" t="s">
        <v>250</v>
      </c>
      <c r="M198" s="29" t="s">
        <v>251</v>
      </c>
      <c r="N198" s="29" t="s">
        <v>76</v>
      </c>
      <c r="O198" s="29" t="s">
        <v>76</v>
      </c>
      <c r="P198" s="29" t="s">
        <v>76</v>
      </c>
      <c r="Q198" s="29" t="s">
        <v>76</v>
      </c>
      <c r="R198" s="29" t="s">
        <v>91</v>
      </c>
      <c r="S198" s="26" t="s">
        <v>541</v>
      </c>
      <c r="T198" s="26" t="s">
        <v>542</v>
      </c>
    </row>
    <row r="199" customFormat="false" ht="19.5" hidden="false" customHeight="true" outlineLevel="0" collapsed="false">
      <c r="A199" s="23" t="s">
        <v>43</v>
      </c>
      <c r="B199" s="23" t="s">
        <v>573</v>
      </c>
      <c r="C199" s="23" t="s">
        <v>540</v>
      </c>
      <c r="D199" s="23" t="s">
        <v>574</v>
      </c>
      <c r="E199" s="32"/>
      <c r="F199" s="33" t="s">
        <v>90</v>
      </c>
      <c r="G199" s="16" t="s">
        <v>69</v>
      </c>
      <c r="H199" s="16" t="s">
        <v>70</v>
      </c>
      <c r="I199" s="16" t="s">
        <v>71</v>
      </c>
      <c r="J199" s="16" t="s">
        <v>72</v>
      </c>
      <c r="K199" s="16" t="s">
        <v>249</v>
      </c>
      <c r="L199" s="16" t="s">
        <v>250</v>
      </c>
      <c r="M199" s="16" t="s">
        <v>251</v>
      </c>
      <c r="N199" s="16" t="s">
        <v>76</v>
      </c>
      <c r="O199" s="16" t="s">
        <v>76</v>
      </c>
      <c r="P199" s="16" t="s">
        <v>76</v>
      </c>
      <c r="Q199" s="16" t="s">
        <v>76</v>
      </c>
      <c r="R199" s="16" t="s">
        <v>91</v>
      </c>
      <c r="S199" s="23" t="s">
        <v>541</v>
      </c>
      <c r="T199" s="23" t="s">
        <v>542</v>
      </c>
    </row>
    <row r="200" customFormat="false" ht="19.5" hidden="false" customHeight="true" outlineLevel="0" collapsed="false">
      <c r="A200" s="26" t="s">
        <v>43</v>
      </c>
      <c r="B200" s="26" t="s">
        <v>575</v>
      </c>
      <c r="C200" s="26" t="s">
        <v>540</v>
      </c>
      <c r="D200" s="26" t="s">
        <v>95</v>
      </c>
      <c r="E200" s="32"/>
      <c r="F200" s="33" t="s">
        <v>90</v>
      </c>
      <c r="G200" s="29" t="s">
        <v>69</v>
      </c>
      <c r="H200" s="29" t="s">
        <v>70</v>
      </c>
      <c r="I200" s="29" t="s">
        <v>71</v>
      </c>
      <c r="J200" s="29" t="s">
        <v>72</v>
      </c>
      <c r="K200" s="29" t="s">
        <v>249</v>
      </c>
      <c r="L200" s="29" t="s">
        <v>250</v>
      </c>
      <c r="M200" s="29" t="s">
        <v>251</v>
      </c>
      <c r="N200" s="29" t="s">
        <v>76</v>
      </c>
      <c r="O200" s="29" t="s">
        <v>76</v>
      </c>
      <c r="P200" s="29" t="s">
        <v>76</v>
      </c>
      <c r="Q200" s="29" t="s">
        <v>76</v>
      </c>
      <c r="R200" s="29" t="s">
        <v>91</v>
      </c>
      <c r="S200" s="26" t="s">
        <v>541</v>
      </c>
      <c r="T200" s="26" t="s">
        <v>542</v>
      </c>
    </row>
    <row r="201" customFormat="false" ht="19.5" hidden="false" customHeight="true" outlineLevel="0" collapsed="false">
      <c r="A201" s="23" t="s">
        <v>43</v>
      </c>
      <c r="B201" s="23" t="s">
        <v>576</v>
      </c>
      <c r="C201" s="23" t="s">
        <v>540</v>
      </c>
      <c r="D201" s="23" t="s">
        <v>577</v>
      </c>
      <c r="E201" s="32"/>
      <c r="F201" s="33" t="s">
        <v>90</v>
      </c>
      <c r="G201" s="16" t="s">
        <v>69</v>
      </c>
      <c r="H201" s="16" t="s">
        <v>70</v>
      </c>
      <c r="I201" s="16" t="s">
        <v>71</v>
      </c>
      <c r="J201" s="16" t="s">
        <v>72</v>
      </c>
      <c r="K201" s="16" t="s">
        <v>249</v>
      </c>
      <c r="L201" s="16" t="s">
        <v>250</v>
      </c>
      <c r="M201" s="16" t="s">
        <v>251</v>
      </c>
      <c r="N201" s="16" t="s">
        <v>76</v>
      </c>
      <c r="O201" s="16" t="s">
        <v>76</v>
      </c>
      <c r="P201" s="16" t="s">
        <v>76</v>
      </c>
      <c r="Q201" s="16" t="s">
        <v>76</v>
      </c>
      <c r="R201" s="16" t="s">
        <v>91</v>
      </c>
      <c r="S201" s="23" t="s">
        <v>541</v>
      </c>
      <c r="T201" s="23" t="s">
        <v>542</v>
      </c>
    </row>
    <row r="202" customFormat="false" ht="19.5" hidden="false" customHeight="true" outlineLevel="0" collapsed="false">
      <c r="A202" s="26" t="s">
        <v>43</v>
      </c>
      <c r="B202" s="26" t="s">
        <v>578</v>
      </c>
      <c r="C202" s="26" t="s">
        <v>540</v>
      </c>
      <c r="D202" s="26" t="s">
        <v>173</v>
      </c>
      <c r="E202" s="32"/>
      <c r="F202" s="33" t="s">
        <v>90</v>
      </c>
      <c r="G202" s="29" t="s">
        <v>69</v>
      </c>
      <c r="H202" s="29" t="s">
        <v>70</v>
      </c>
      <c r="I202" s="29" t="s">
        <v>71</v>
      </c>
      <c r="J202" s="29" t="s">
        <v>72</v>
      </c>
      <c r="K202" s="29" t="s">
        <v>249</v>
      </c>
      <c r="L202" s="29" t="s">
        <v>250</v>
      </c>
      <c r="M202" s="29" t="s">
        <v>251</v>
      </c>
      <c r="N202" s="29" t="s">
        <v>76</v>
      </c>
      <c r="O202" s="29" t="s">
        <v>76</v>
      </c>
      <c r="P202" s="29" t="s">
        <v>76</v>
      </c>
      <c r="Q202" s="29" t="s">
        <v>76</v>
      </c>
      <c r="R202" s="29" t="s">
        <v>91</v>
      </c>
      <c r="S202" s="26" t="s">
        <v>541</v>
      </c>
      <c r="T202" s="26" t="s">
        <v>542</v>
      </c>
    </row>
    <row r="203" customFormat="false" ht="19.5" hidden="false" customHeight="true" outlineLevel="0" collapsed="false">
      <c r="A203" s="23" t="s">
        <v>43</v>
      </c>
      <c r="B203" s="23" t="s">
        <v>579</v>
      </c>
      <c r="C203" s="23" t="s">
        <v>540</v>
      </c>
      <c r="D203" s="23" t="s">
        <v>580</v>
      </c>
      <c r="E203" s="32"/>
      <c r="F203" s="33" t="s">
        <v>90</v>
      </c>
      <c r="G203" s="16" t="s">
        <v>69</v>
      </c>
      <c r="H203" s="16" t="s">
        <v>70</v>
      </c>
      <c r="I203" s="16" t="s">
        <v>71</v>
      </c>
      <c r="J203" s="16" t="s">
        <v>72</v>
      </c>
      <c r="K203" s="16" t="s">
        <v>249</v>
      </c>
      <c r="L203" s="16" t="s">
        <v>250</v>
      </c>
      <c r="M203" s="16" t="s">
        <v>251</v>
      </c>
      <c r="N203" s="16" t="s">
        <v>76</v>
      </c>
      <c r="O203" s="16" t="s">
        <v>76</v>
      </c>
      <c r="P203" s="16" t="s">
        <v>76</v>
      </c>
      <c r="Q203" s="16" t="s">
        <v>76</v>
      </c>
      <c r="R203" s="16" t="s">
        <v>91</v>
      </c>
      <c r="S203" s="23" t="s">
        <v>541</v>
      </c>
      <c r="T203" s="23" t="s">
        <v>542</v>
      </c>
    </row>
    <row r="204" customFormat="false" ht="19.5" hidden="false" customHeight="true" outlineLevel="0" collapsed="false">
      <c r="A204" s="26" t="s">
        <v>43</v>
      </c>
      <c r="B204" s="26" t="s">
        <v>581</v>
      </c>
      <c r="C204" s="26" t="s">
        <v>540</v>
      </c>
      <c r="D204" s="26" t="s">
        <v>582</v>
      </c>
      <c r="E204" s="32"/>
      <c r="F204" s="33" t="s">
        <v>90</v>
      </c>
      <c r="G204" s="29" t="s">
        <v>69</v>
      </c>
      <c r="H204" s="29" t="s">
        <v>70</v>
      </c>
      <c r="I204" s="29" t="s">
        <v>71</v>
      </c>
      <c r="J204" s="29" t="s">
        <v>72</v>
      </c>
      <c r="K204" s="29" t="s">
        <v>249</v>
      </c>
      <c r="L204" s="29" t="s">
        <v>250</v>
      </c>
      <c r="M204" s="29" t="s">
        <v>251</v>
      </c>
      <c r="N204" s="29" t="s">
        <v>76</v>
      </c>
      <c r="O204" s="29" t="s">
        <v>76</v>
      </c>
      <c r="P204" s="29" t="s">
        <v>76</v>
      </c>
      <c r="Q204" s="29" t="s">
        <v>76</v>
      </c>
      <c r="R204" s="29" t="s">
        <v>91</v>
      </c>
      <c r="S204" s="26" t="s">
        <v>541</v>
      </c>
      <c r="T204" s="26" t="s">
        <v>542</v>
      </c>
    </row>
    <row r="205" customFormat="false" ht="19.5" hidden="false" customHeight="true" outlineLevel="0" collapsed="false">
      <c r="A205" s="23" t="s">
        <v>43</v>
      </c>
      <c r="B205" s="23" t="s">
        <v>583</v>
      </c>
      <c r="C205" s="23" t="s">
        <v>540</v>
      </c>
      <c r="D205" s="23" t="s">
        <v>98</v>
      </c>
      <c r="E205" s="32"/>
      <c r="F205" s="33" t="s">
        <v>90</v>
      </c>
      <c r="G205" s="16" t="s">
        <v>69</v>
      </c>
      <c r="H205" s="16" t="s">
        <v>70</v>
      </c>
      <c r="I205" s="16" t="s">
        <v>71</v>
      </c>
      <c r="J205" s="16" t="s">
        <v>72</v>
      </c>
      <c r="K205" s="16" t="s">
        <v>249</v>
      </c>
      <c r="L205" s="16" t="s">
        <v>250</v>
      </c>
      <c r="M205" s="16" t="s">
        <v>251</v>
      </c>
      <c r="N205" s="16" t="s">
        <v>76</v>
      </c>
      <c r="O205" s="16" t="s">
        <v>76</v>
      </c>
      <c r="P205" s="16" t="s">
        <v>76</v>
      </c>
      <c r="Q205" s="16" t="s">
        <v>76</v>
      </c>
      <c r="R205" s="16" t="s">
        <v>91</v>
      </c>
      <c r="S205" s="23" t="s">
        <v>541</v>
      </c>
      <c r="T205" s="23" t="s">
        <v>542</v>
      </c>
    </row>
    <row r="206" customFormat="false" ht="19.5" hidden="false" customHeight="true" outlineLevel="0" collapsed="false">
      <c r="A206" s="26" t="s">
        <v>43</v>
      </c>
      <c r="B206" s="26" t="s">
        <v>584</v>
      </c>
      <c r="C206" s="26" t="s">
        <v>540</v>
      </c>
      <c r="D206" s="26" t="s">
        <v>157</v>
      </c>
      <c r="E206" s="32"/>
      <c r="F206" s="33" t="s">
        <v>90</v>
      </c>
      <c r="G206" s="29" t="s">
        <v>69</v>
      </c>
      <c r="H206" s="29" t="s">
        <v>70</v>
      </c>
      <c r="I206" s="29" t="s">
        <v>71</v>
      </c>
      <c r="J206" s="29" t="s">
        <v>72</v>
      </c>
      <c r="K206" s="29" t="s">
        <v>249</v>
      </c>
      <c r="L206" s="29" t="s">
        <v>250</v>
      </c>
      <c r="M206" s="29" t="s">
        <v>251</v>
      </c>
      <c r="N206" s="29" t="s">
        <v>76</v>
      </c>
      <c r="O206" s="29" t="s">
        <v>76</v>
      </c>
      <c r="P206" s="29" t="s">
        <v>76</v>
      </c>
      <c r="Q206" s="29" t="s">
        <v>76</v>
      </c>
      <c r="R206" s="29" t="s">
        <v>91</v>
      </c>
      <c r="S206" s="26" t="s">
        <v>541</v>
      </c>
      <c r="T206" s="26" t="s">
        <v>542</v>
      </c>
    </row>
    <row r="207" customFormat="false" ht="19.5" hidden="false" customHeight="true" outlineLevel="0" collapsed="false">
      <c r="A207" s="23" t="s">
        <v>44</v>
      </c>
      <c r="B207" s="23" t="s">
        <v>585</v>
      </c>
      <c r="C207" s="23" t="s">
        <v>586</v>
      </c>
      <c r="D207" s="23" t="s">
        <v>133</v>
      </c>
      <c r="E207" s="39"/>
      <c r="F207" s="31" t="s">
        <v>134</v>
      </c>
      <c r="G207" s="16" t="s">
        <v>69</v>
      </c>
      <c r="H207" s="16" t="s">
        <v>70</v>
      </c>
      <c r="I207" s="16" t="s">
        <v>71</v>
      </c>
      <c r="J207" s="16" t="s">
        <v>72</v>
      </c>
      <c r="K207" s="16" t="s">
        <v>526</v>
      </c>
      <c r="L207" s="16" t="s">
        <v>587</v>
      </c>
      <c r="M207" s="16" t="s">
        <v>588</v>
      </c>
      <c r="N207" s="16" t="s">
        <v>77</v>
      </c>
      <c r="O207" s="16" t="s">
        <v>77</v>
      </c>
      <c r="P207" s="16" t="s">
        <v>77</v>
      </c>
      <c r="Q207" s="16" t="s">
        <v>77</v>
      </c>
      <c r="R207" s="16" t="s">
        <v>182</v>
      </c>
      <c r="S207" s="23" t="s">
        <v>589</v>
      </c>
      <c r="T207" s="23" t="s">
        <v>590</v>
      </c>
    </row>
    <row r="208" customFormat="false" ht="19.5" hidden="false" customHeight="true" outlineLevel="0" collapsed="false">
      <c r="A208" s="26" t="s">
        <v>44</v>
      </c>
      <c r="B208" s="26" t="s">
        <v>591</v>
      </c>
      <c r="C208" s="26" t="s">
        <v>586</v>
      </c>
      <c r="D208" s="26" t="s">
        <v>82</v>
      </c>
      <c r="E208" s="32"/>
      <c r="F208" s="33" t="s">
        <v>90</v>
      </c>
      <c r="G208" s="29" t="s">
        <v>69</v>
      </c>
      <c r="H208" s="29" t="s">
        <v>70</v>
      </c>
      <c r="I208" s="29" t="s">
        <v>71</v>
      </c>
      <c r="J208" s="29" t="s">
        <v>72</v>
      </c>
      <c r="K208" s="29" t="s">
        <v>526</v>
      </c>
      <c r="L208" s="29" t="s">
        <v>587</v>
      </c>
      <c r="M208" s="29" t="s">
        <v>588</v>
      </c>
      <c r="N208" s="29" t="s">
        <v>77</v>
      </c>
      <c r="O208" s="29" t="s">
        <v>77</v>
      </c>
      <c r="P208" s="29" t="s">
        <v>77</v>
      </c>
      <c r="Q208" s="29" t="s">
        <v>77</v>
      </c>
      <c r="R208" s="29" t="s">
        <v>91</v>
      </c>
      <c r="S208" s="26" t="s">
        <v>592</v>
      </c>
      <c r="T208" s="26" t="s">
        <v>593</v>
      </c>
    </row>
    <row r="209" customFormat="false" ht="19.5" hidden="false" customHeight="true" outlineLevel="0" collapsed="false">
      <c r="A209" s="23" t="s">
        <v>44</v>
      </c>
      <c r="B209" s="23" t="s">
        <v>594</v>
      </c>
      <c r="C209" s="23" t="s">
        <v>586</v>
      </c>
      <c r="D209" s="23" t="s">
        <v>142</v>
      </c>
      <c r="E209" s="32"/>
      <c r="F209" s="33" t="s">
        <v>90</v>
      </c>
      <c r="G209" s="16" t="s">
        <v>69</v>
      </c>
      <c r="H209" s="16" t="s">
        <v>70</v>
      </c>
      <c r="I209" s="16" t="s">
        <v>71</v>
      </c>
      <c r="J209" s="16" t="s">
        <v>72</v>
      </c>
      <c r="K209" s="16" t="s">
        <v>526</v>
      </c>
      <c r="L209" s="16" t="s">
        <v>587</v>
      </c>
      <c r="M209" s="16" t="s">
        <v>588</v>
      </c>
      <c r="N209" s="16" t="s">
        <v>77</v>
      </c>
      <c r="O209" s="16" t="s">
        <v>77</v>
      </c>
      <c r="P209" s="16" t="s">
        <v>77</v>
      </c>
      <c r="Q209" s="16" t="s">
        <v>77</v>
      </c>
      <c r="R209" s="16" t="s">
        <v>91</v>
      </c>
      <c r="S209" s="23" t="s">
        <v>592</v>
      </c>
      <c r="T209" s="23" t="s">
        <v>593</v>
      </c>
    </row>
    <row r="210" customFormat="false" ht="19.5" hidden="false" customHeight="true" outlineLevel="0" collapsed="false">
      <c r="A210" s="26" t="s">
        <v>44</v>
      </c>
      <c r="B210" s="26" t="s">
        <v>595</v>
      </c>
      <c r="C210" s="26" t="s">
        <v>586</v>
      </c>
      <c r="D210" s="26" t="s">
        <v>89</v>
      </c>
      <c r="E210" s="32"/>
      <c r="F210" s="63" t="s">
        <v>196</v>
      </c>
      <c r="G210" s="29" t="s">
        <v>69</v>
      </c>
      <c r="H210" s="29" t="s">
        <v>70</v>
      </c>
      <c r="I210" s="29" t="s">
        <v>71</v>
      </c>
      <c r="J210" s="29" t="s">
        <v>72</v>
      </c>
      <c r="K210" s="29" t="s">
        <v>526</v>
      </c>
      <c r="L210" s="29" t="s">
        <v>587</v>
      </c>
      <c r="M210" s="29" t="s">
        <v>588</v>
      </c>
      <c r="N210" s="29" t="s">
        <v>77</v>
      </c>
      <c r="O210" s="29" t="s">
        <v>77</v>
      </c>
      <c r="P210" s="29" t="s">
        <v>77</v>
      </c>
      <c r="Q210" s="29" t="s">
        <v>77</v>
      </c>
      <c r="R210" s="29" t="s">
        <v>182</v>
      </c>
      <c r="S210" s="26" t="s">
        <v>589</v>
      </c>
      <c r="T210" s="26" t="s">
        <v>590</v>
      </c>
    </row>
    <row r="211" customFormat="false" ht="19.5" hidden="false" customHeight="true" outlineLevel="0" collapsed="false">
      <c r="A211" s="23" t="s">
        <v>44</v>
      </c>
      <c r="B211" s="23" t="s">
        <v>596</v>
      </c>
      <c r="C211" s="23" t="s">
        <v>586</v>
      </c>
      <c r="D211" s="23" t="s">
        <v>95</v>
      </c>
      <c r="E211" s="34"/>
      <c r="F211" s="35" t="s">
        <v>148</v>
      </c>
      <c r="G211" s="16" t="s">
        <v>69</v>
      </c>
      <c r="H211" s="16" t="s">
        <v>70</v>
      </c>
      <c r="I211" s="16" t="s">
        <v>71</v>
      </c>
      <c r="J211" s="16" t="s">
        <v>72</v>
      </c>
      <c r="K211" s="16" t="s">
        <v>526</v>
      </c>
      <c r="L211" s="16" t="s">
        <v>587</v>
      </c>
      <c r="M211" s="16" t="s">
        <v>588</v>
      </c>
      <c r="N211" s="16" t="s">
        <v>77</v>
      </c>
      <c r="O211" s="16" t="s">
        <v>77</v>
      </c>
      <c r="P211" s="16" t="s">
        <v>77</v>
      </c>
      <c r="Q211" s="16" t="s">
        <v>77</v>
      </c>
      <c r="R211" s="16" t="s">
        <v>182</v>
      </c>
      <c r="S211" s="23" t="s">
        <v>589</v>
      </c>
      <c r="T211" s="23" t="s">
        <v>590</v>
      </c>
    </row>
    <row r="212" customFormat="false" ht="19.5" hidden="false" customHeight="true" outlineLevel="0" collapsed="false">
      <c r="A212" s="26" t="s">
        <v>44</v>
      </c>
      <c r="B212" s="26" t="s">
        <v>597</v>
      </c>
      <c r="C212" s="26" t="s">
        <v>586</v>
      </c>
      <c r="D212" s="26" t="s">
        <v>217</v>
      </c>
      <c r="E212" s="32"/>
      <c r="F212" s="33" t="s">
        <v>90</v>
      </c>
      <c r="G212" s="29" t="s">
        <v>69</v>
      </c>
      <c r="H212" s="29" t="s">
        <v>70</v>
      </c>
      <c r="I212" s="29" t="s">
        <v>71</v>
      </c>
      <c r="J212" s="29" t="s">
        <v>72</v>
      </c>
      <c r="K212" s="29" t="s">
        <v>526</v>
      </c>
      <c r="L212" s="29" t="s">
        <v>587</v>
      </c>
      <c r="M212" s="29" t="s">
        <v>588</v>
      </c>
      <c r="N212" s="29" t="s">
        <v>77</v>
      </c>
      <c r="O212" s="29" t="s">
        <v>77</v>
      </c>
      <c r="P212" s="29" t="s">
        <v>77</v>
      </c>
      <c r="Q212" s="29" t="s">
        <v>77</v>
      </c>
      <c r="R212" s="29" t="s">
        <v>91</v>
      </c>
      <c r="S212" s="26" t="s">
        <v>592</v>
      </c>
      <c r="T212" s="26" t="s">
        <v>593</v>
      </c>
    </row>
    <row r="213" customFormat="false" ht="19.5" hidden="false" customHeight="true" outlineLevel="0" collapsed="false">
      <c r="A213" s="23" t="s">
        <v>44</v>
      </c>
      <c r="B213" s="23" t="s">
        <v>598</v>
      </c>
      <c r="C213" s="23" t="s">
        <v>586</v>
      </c>
      <c r="D213" s="23" t="s">
        <v>98</v>
      </c>
      <c r="E213" s="16"/>
      <c r="F213" s="36" t="s">
        <v>99</v>
      </c>
      <c r="G213" s="16" t="s">
        <v>69</v>
      </c>
      <c r="H213" s="16" t="s">
        <v>70</v>
      </c>
      <c r="I213" s="16" t="s">
        <v>71</v>
      </c>
      <c r="J213" s="16" t="s">
        <v>72</v>
      </c>
      <c r="K213" s="16" t="s">
        <v>526</v>
      </c>
      <c r="L213" s="16" t="s">
        <v>587</v>
      </c>
      <c r="M213" s="16" t="s">
        <v>588</v>
      </c>
      <c r="N213" s="16" t="s">
        <v>77</v>
      </c>
      <c r="O213" s="16" t="s">
        <v>77</v>
      </c>
      <c r="P213" s="16" t="s">
        <v>77</v>
      </c>
      <c r="Q213" s="16" t="s">
        <v>77</v>
      </c>
      <c r="R213" s="16" t="s">
        <v>182</v>
      </c>
      <c r="S213" s="23" t="s">
        <v>589</v>
      </c>
      <c r="T213" s="23" t="s">
        <v>590</v>
      </c>
    </row>
  </sheetData>
  <autoFilter ref="A2:T703"/>
  <mergeCells count="1">
    <mergeCell ref="A1:T1"/>
  </mergeCells>
  <conditionalFormatting sqref="R3:R703">
    <cfRule type="expression" priority="2" aboveAverage="0" equalAverage="0" bottom="0" percent="0" rank="0" text="" dxfId="160">
      <formula>$R3="S"</formula>
    </cfRule>
    <cfRule type="expression" priority="3" aboveAverage="0" equalAverage="0" bottom="0" percent="0" rank="0" text="" dxfId="161">
      <formula>$R3="A"</formula>
    </cfRule>
    <cfRule type="expression" priority="4" aboveAverage="0" equalAverage="0" bottom="0" percent="0" rank="0" text="" dxfId="162">
      <formula>$R3="B"</formula>
    </cfRule>
    <cfRule type="expression" priority="5" aboveAverage="0" equalAverage="0" bottom="0" percent="0" rank="0" text="" dxfId="163">
      <formula>$R3="C"</formula>
    </cfRule>
  </conditionalFormatting>
  <conditionalFormatting sqref="N3:N703">
    <cfRule type="expression" priority="6" aboveAverage="0" equalAverage="0" bottom="0" percent="0" rank="0" text="" dxfId="164">
      <formula>NOT(ISERROR(SEARCH("✓",$N3)))</formula>
    </cfRule>
    <cfRule type="expression" priority="7" aboveAverage="0" equalAverage="0" bottom="0" percent="0" rank="0" text="" dxfId="165">
      <formula>NOT(ISERROR(SEARCH("✗",$N3)))</formula>
    </cfRule>
    <cfRule type="expression" priority="8" aboveAverage="0" equalAverage="0" bottom="0" percent="0" rank="0" text="" dxfId="166">
      <formula>NOT(ISERROR(SEARCH("⚠",$N3)))</formula>
    </cfRule>
  </conditionalFormatting>
  <conditionalFormatting sqref="O3:O703">
    <cfRule type="expression" priority="9" aboveAverage="0" equalAverage="0" bottom="0" percent="0" rank="0" text="" dxfId="164">
      <formula>NOT(ISERROR(SEARCH("✓",$O3)))</formula>
    </cfRule>
    <cfRule type="expression" priority="10" aboveAverage="0" equalAverage="0" bottom="0" percent="0" rank="0" text="" dxfId="165">
      <formula>NOT(ISERROR(SEARCH("✗",$O3)))</formula>
    </cfRule>
    <cfRule type="expression" priority="11" aboveAverage="0" equalAverage="0" bottom="0" percent="0" rank="0" text="" dxfId="166">
      <formula>NOT(ISERROR(SEARCH("⚠",$O3)))</formula>
    </cfRule>
  </conditionalFormatting>
  <conditionalFormatting sqref="P3:P703">
    <cfRule type="expression" priority="12" aboveAverage="0" equalAverage="0" bottom="0" percent="0" rank="0" text="" dxfId="164">
      <formula>NOT(ISERROR(SEARCH("✓",$P3)))</formula>
    </cfRule>
    <cfRule type="expression" priority="13" aboveAverage="0" equalAverage="0" bottom="0" percent="0" rank="0" text="" dxfId="165">
      <formula>NOT(ISERROR(SEARCH("✗",$P3)))</formula>
    </cfRule>
    <cfRule type="expression" priority="14" aboveAverage="0" equalAverage="0" bottom="0" percent="0" rank="0" text="" dxfId="166">
      <formula>NOT(ISERROR(SEARCH("⚠",$P3)))</formula>
    </cfRule>
  </conditionalFormatting>
  <conditionalFormatting sqref="Q3:Q703">
    <cfRule type="expression" priority="15" aboveAverage="0" equalAverage="0" bottom="0" percent="0" rank="0" text="" dxfId="164">
      <formula>NOT(ISERROR(SEARCH("✓",$Q3)))</formula>
    </cfRule>
    <cfRule type="expression" priority="16" aboveAverage="0" equalAverage="0" bottom="0" percent="0" rank="0" text="" dxfId="165">
      <formula>NOT(ISERROR(SEARCH("✗",$Q3)))</formula>
    </cfRule>
    <cfRule type="expression" priority="17" aboveAverage="0" equalAverage="0" bottom="0" percent="0" rank="0" text="" dxfId="166">
      <formula>NOT(ISERROR(SEARCH("⚠",$Q3)))</formula>
    </cfRule>
  </conditionalFormatting>
  <conditionalFormatting sqref="J3:J703">
    <cfRule type="expression" priority="18" aboveAverage="0" equalAverage="0" bottom="0" percent="0" rank="0" text="" dxfId="166">
      <formula>$J3="Yes"</formula>
    </cfRule>
  </conditionalFormatting>
  <conditionalFormatting sqref="T3:T703">
    <cfRule type="expression" priority="19" aboveAverage="0" equalAverage="0" bottom="0" percent="0" rank="0" text="" dxfId="167">
      <formula>NOT(ISERROR(SEARCH("hardened nozzle",$T3)))</formula>
    </cfRule>
  </conditionalFormatting>
  <dataValidations count="8">
    <dataValidation allowBlank="true" errorStyle="stop" operator="between" showDropDown="false" showErrorMessage="false" showInputMessage="false" sqref="R3:R314" type="list">
      <formula1>"S,A,B,C"</formula1>
      <formula2>0</formula2>
    </dataValidation>
    <dataValidation allowBlank="true" errorStyle="stop" operator="between" showDropDown="false" showErrorMessage="false" showInputMessage="false" sqref="I3:I314" type="list">
      <formula1>"Cardboard,Plastic"</formula1>
      <formula2>0</formula2>
    </dataValidation>
    <dataValidation allowBlank="true" errorStyle="stop" operator="between" showDropDown="false" showErrorMessage="false" showInputMessage="false" sqref="J3:J314" type="list">
      <formula1>"Yes,No"</formula1>
      <formula2>0</formula2>
    </dataValidation>
    <dataValidation allowBlank="true" errorStyle="stop" operator="between" showDropDown="false" showErrorMessage="false" showInputMessage="false" sqref="G3:G314" type="list">
      <formula1>"1.75mm,2.85mm"</formula1>
      <formula2>0</formula2>
    </dataValidation>
    <dataValidation allowBlank="true" errorStyle="stop" operator="between" showDropDown="false" showErrorMessage="false" showInputMessage="false" sqref="N3:N314" type="list">
      <formula1>"✓,✗,⚠"</formula1>
      <formula2>0</formula2>
    </dataValidation>
    <dataValidation allowBlank="true" errorStyle="stop" operator="between" showDropDown="false" showErrorMessage="false" showInputMessage="false" sqref="O3:O314" type="list">
      <formula1>"✓,✗,⚠"</formula1>
      <formula2>0</formula2>
    </dataValidation>
    <dataValidation allowBlank="true" errorStyle="stop" operator="between" showDropDown="false" showErrorMessage="false" showInputMessage="false" sqref="P3:P314" type="list">
      <formula1>"✓,✗,⚠"</formula1>
      <formula2>0</formula2>
    </dataValidation>
    <dataValidation allowBlank="true" errorStyle="stop" operator="between" showDropDown="false" showErrorMessage="false" showInputMessage="false" sqref="Q3:Q314" type="list">
      <formula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33C00"/>
    <pageSetUpPr fitToPage="false"/>
  </sheetPr>
  <dimension ref="A1:H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6"/>
    <col collapsed="false" customWidth="true" hidden="false" outlineLevel="0" max="3" min="3" style="0" width="14"/>
    <col collapsed="false" customWidth="true" hidden="false" outlineLevel="0" max="4" min="4" style="0" width="18"/>
    <col collapsed="false" customWidth="true" hidden="false" outlineLevel="0" max="5" min="5" style="0" width="14"/>
    <col collapsed="false" customWidth="true" hidden="false" outlineLevel="0" max="7" min="6" style="0" width="16"/>
    <col collapsed="false" customWidth="true" hidden="false" outlineLevel="0" max="8" min="8" style="0" width="58"/>
  </cols>
  <sheetData>
    <row r="1" customFormat="false" ht="30" hidden="false" customHeight="true" outlineLevel="0" collapsed="false">
      <c r="A1" s="21" t="s">
        <v>599</v>
      </c>
      <c r="B1" s="21"/>
      <c r="C1" s="21"/>
      <c r="D1" s="21"/>
      <c r="E1" s="21"/>
      <c r="F1" s="21"/>
      <c r="G1" s="21"/>
      <c r="H1" s="21"/>
    </row>
    <row r="2" customFormat="false" ht="33.75" hidden="false" customHeight="true" outlineLevel="0" collapsed="false">
      <c r="A2" s="22" t="s">
        <v>600</v>
      </c>
      <c r="B2" s="22" t="s">
        <v>55</v>
      </c>
      <c r="C2" s="22" t="s">
        <v>56</v>
      </c>
      <c r="D2" s="22" t="s">
        <v>601</v>
      </c>
      <c r="E2" s="22" t="s">
        <v>602</v>
      </c>
      <c r="F2" s="22" t="s">
        <v>603</v>
      </c>
      <c r="G2" s="22" t="s">
        <v>57</v>
      </c>
      <c r="H2" s="22" t="s">
        <v>64</v>
      </c>
    </row>
    <row r="3" customFormat="false" ht="19.5" hidden="false" customHeight="true" outlineLevel="0" collapsed="false">
      <c r="A3" s="23" t="s">
        <v>28</v>
      </c>
      <c r="B3" s="16" t="s">
        <v>179</v>
      </c>
      <c r="C3" s="16" t="s">
        <v>180</v>
      </c>
      <c r="D3" s="16" t="s">
        <v>604</v>
      </c>
      <c r="E3" s="16" t="s">
        <v>76</v>
      </c>
      <c r="F3" s="16" t="s">
        <v>605</v>
      </c>
      <c r="G3" s="16" t="s">
        <v>181</v>
      </c>
      <c r="H3" s="23" t="s">
        <v>606</v>
      </c>
    </row>
    <row r="4" customFormat="false" ht="19.5" hidden="false" customHeight="true" outlineLevel="0" collapsed="false">
      <c r="A4" s="26" t="s">
        <v>30</v>
      </c>
      <c r="B4" s="29" t="s">
        <v>249</v>
      </c>
      <c r="C4" s="29" t="s">
        <v>250</v>
      </c>
      <c r="D4" s="29" t="s">
        <v>604</v>
      </c>
      <c r="E4" s="29" t="s">
        <v>76</v>
      </c>
      <c r="F4" s="29" t="s">
        <v>605</v>
      </c>
      <c r="G4" s="29" t="s">
        <v>251</v>
      </c>
      <c r="H4" s="26" t="s">
        <v>607</v>
      </c>
    </row>
    <row r="5" customFormat="false" ht="19.5" hidden="false" customHeight="true" outlineLevel="0" collapsed="false">
      <c r="A5" s="23" t="s">
        <v>37</v>
      </c>
      <c r="B5" s="16" t="s">
        <v>179</v>
      </c>
      <c r="C5" s="16" t="s">
        <v>180</v>
      </c>
      <c r="D5" s="16" t="s">
        <v>604</v>
      </c>
      <c r="E5" s="16" t="s">
        <v>76</v>
      </c>
      <c r="F5" s="16" t="s">
        <v>605</v>
      </c>
      <c r="G5" s="16" t="s">
        <v>181</v>
      </c>
      <c r="H5" s="23" t="s">
        <v>608</v>
      </c>
    </row>
    <row r="6" customFormat="false" ht="19.5" hidden="false" customHeight="true" outlineLevel="0" collapsed="false">
      <c r="A6" s="26" t="s">
        <v>44</v>
      </c>
      <c r="B6" s="29" t="s">
        <v>526</v>
      </c>
      <c r="C6" s="29" t="s">
        <v>587</v>
      </c>
      <c r="D6" s="29" t="s">
        <v>604</v>
      </c>
      <c r="E6" s="29" t="s">
        <v>604</v>
      </c>
      <c r="F6" s="29" t="s">
        <v>72</v>
      </c>
      <c r="G6" s="29" t="s">
        <v>588</v>
      </c>
      <c r="H6" s="26" t="s">
        <v>609</v>
      </c>
    </row>
    <row r="7" customFormat="false" ht="19.5" hidden="false" customHeight="true" outlineLevel="0" collapsed="false">
      <c r="A7" s="23" t="s">
        <v>24</v>
      </c>
      <c r="B7" s="16" t="s">
        <v>73</v>
      </c>
      <c r="C7" s="16" t="s">
        <v>74</v>
      </c>
      <c r="D7" s="16" t="s">
        <v>72</v>
      </c>
      <c r="E7" s="16" t="s">
        <v>76</v>
      </c>
      <c r="F7" s="16" t="s">
        <v>72</v>
      </c>
      <c r="G7" s="16" t="s">
        <v>75</v>
      </c>
      <c r="H7" s="23" t="s">
        <v>610</v>
      </c>
    </row>
    <row r="8" customFormat="false" ht="19.5" hidden="false" customHeight="true" outlineLevel="0" collapsed="false">
      <c r="A8" s="26" t="s">
        <v>26</v>
      </c>
      <c r="B8" s="29" t="s">
        <v>127</v>
      </c>
      <c r="C8" s="29" t="s">
        <v>128</v>
      </c>
      <c r="D8" s="29" t="s">
        <v>604</v>
      </c>
      <c r="E8" s="29" t="s">
        <v>76</v>
      </c>
      <c r="F8" s="29" t="s">
        <v>72</v>
      </c>
      <c r="G8" s="29" t="s">
        <v>129</v>
      </c>
      <c r="H8" s="26" t="s">
        <v>611</v>
      </c>
    </row>
    <row r="9" customFormat="false" ht="19.5" hidden="false" customHeight="true" outlineLevel="0" collapsed="false">
      <c r="A9" s="23" t="s">
        <v>38</v>
      </c>
      <c r="B9" s="16" t="s">
        <v>249</v>
      </c>
      <c r="C9" s="16" t="s">
        <v>250</v>
      </c>
      <c r="D9" s="16" t="s">
        <v>604</v>
      </c>
      <c r="E9" s="16" t="s">
        <v>76</v>
      </c>
      <c r="F9" s="16" t="s">
        <v>605</v>
      </c>
      <c r="G9" s="16" t="s">
        <v>251</v>
      </c>
      <c r="H9" s="23" t="s">
        <v>612</v>
      </c>
    </row>
    <row r="10" customFormat="false" ht="19.5" hidden="false" customHeight="true" outlineLevel="0" collapsed="false">
      <c r="A10" s="26" t="s">
        <v>29</v>
      </c>
      <c r="B10" s="29" t="s">
        <v>179</v>
      </c>
      <c r="C10" s="29" t="s">
        <v>180</v>
      </c>
      <c r="D10" s="29" t="s">
        <v>604</v>
      </c>
      <c r="E10" s="29" t="s">
        <v>76</v>
      </c>
      <c r="F10" s="29" t="s">
        <v>605</v>
      </c>
      <c r="G10" s="29" t="s">
        <v>181</v>
      </c>
      <c r="H10" s="26" t="s">
        <v>613</v>
      </c>
    </row>
    <row r="11" customFormat="false" ht="19.5" hidden="false" customHeight="true" outlineLevel="0" collapsed="false">
      <c r="A11" s="23" t="s">
        <v>34</v>
      </c>
      <c r="B11" s="16" t="s">
        <v>179</v>
      </c>
      <c r="C11" s="16" t="s">
        <v>250</v>
      </c>
      <c r="D11" s="16" t="s">
        <v>604</v>
      </c>
      <c r="E11" s="16" t="s">
        <v>76</v>
      </c>
      <c r="F11" s="16" t="s">
        <v>605</v>
      </c>
      <c r="G11" s="16" t="s">
        <v>293</v>
      </c>
      <c r="H11" s="23" t="s">
        <v>614</v>
      </c>
    </row>
    <row r="12" customFormat="false" ht="19.5" hidden="false" customHeight="true" outlineLevel="0" collapsed="false">
      <c r="A12" s="26" t="s">
        <v>40</v>
      </c>
      <c r="B12" s="29" t="s">
        <v>179</v>
      </c>
      <c r="C12" s="29" t="s">
        <v>250</v>
      </c>
      <c r="D12" s="29" t="s">
        <v>604</v>
      </c>
      <c r="E12" s="29" t="s">
        <v>76</v>
      </c>
      <c r="F12" s="29" t="s">
        <v>605</v>
      </c>
      <c r="G12" s="29" t="s">
        <v>251</v>
      </c>
      <c r="H12" s="26" t="s">
        <v>615</v>
      </c>
    </row>
    <row r="13" customFormat="false" ht="19.5" hidden="false" customHeight="true" outlineLevel="0" collapsed="false">
      <c r="A13" s="23" t="s">
        <v>25</v>
      </c>
      <c r="B13" s="16" t="s">
        <v>73</v>
      </c>
      <c r="C13" s="16" t="s">
        <v>103</v>
      </c>
      <c r="D13" s="16" t="s">
        <v>72</v>
      </c>
      <c r="E13" s="16" t="s">
        <v>76</v>
      </c>
      <c r="F13" s="16" t="s">
        <v>72</v>
      </c>
      <c r="G13" s="16" t="s">
        <v>104</v>
      </c>
      <c r="H13" s="23" t="s">
        <v>616</v>
      </c>
    </row>
    <row r="14" customFormat="false" ht="19.5" hidden="false" customHeight="true" outlineLevel="0" collapsed="false">
      <c r="A14" s="26" t="s">
        <v>42</v>
      </c>
      <c r="B14" s="29" t="s">
        <v>526</v>
      </c>
      <c r="C14" s="29" t="s">
        <v>527</v>
      </c>
      <c r="D14" s="29" t="s">
        <v>604</v>
      </c>
      <c r="E14" s="29" t="s">
        <v>76</v>
      </c>
      <c r="F14" s="29" t="s">
        <v>605</v>
      </c>
      <c r="G14" s="29" t="s">
        <v>528</v>
      </c>
      <c r="H14" s="26" t="s">
        <v>617</v>
      </c>
    </row>
    <row r="15" customFormat="false" ht="19.5" hidden="false" customHeight="true" outlineLevel="0" collapsed="false">
      <c r="A15" s="23" t="s">
        <v>35</v>
      </c>
      <c r="B15" s="16" t="s">
        <v>249</v>
      </c>
      <c r="C15" s="16" t="s">
        <v>250</v>
      </c>
      <c r="D15" s="16" t="s">
        <v>604</v>
      </c>
      <c r="E15" s="16" t="s">
        <v>76</v>
      </c>
      <c r="F15" s="16" t="s">
        <v>605</v>
      </c>
      <c r="G15" s="16" t="s">
        <v>251</v>
      </c>
      <c r="H15" s="23" t="s">
        <v>618</v>
      </c>
    </row>
    <row r="16" customFormat="false" ht="19.5" hidden="false" customHeight="true" outlineLevel="0" collapsed="false">
      <c r="A16" s="26" t="s">
        <v>39</v>
      </c>
      <c r="B16" s="29" t="s">
        <v>179</v>
      </c>
      <c r="C16" s="29" t="s">
        <v>180</v>
      </c>
      <c r="D16" s="29" t="s">
        <v>604</v>
      </c>
      <c r="E16" s="29" t="s">
        <v>76</v>
      </c>
      <c r="F16" s="29" t="s">
        <v>605</v>
      </c>
      <c r="G16" s="29" t="s">
        <v>181</v>
      </c>
      <c r="H16" s="26" t="s">
        <v>619</v>
      </c>
    </row>
    <row r="17" customFormat="false" ht="19.5" hidden="false" customHeight="true" outlineLevel="0" collapsed="false">
      <c r="A17" s="23" t="s">
        <v>32</v>
      </c>
      <c r="B17" s="16" t="s">
        <v>179</v>
      </c>
      <c r="C17" s="16" t="s">
        <v>250</v>
      </c>
      <c r="D17" s="16" t="s">
        <v>604</v>
      </c>
      <c r="E17" s="16" t="s">
        <v>76</v>
      </c>
      <c r="F17" s="16" t="s">
        <v>605</v>
      </c>
      <c r="G17" s="16" t="s">
        <v>293</v>
      </c>
      <c r="H17" s="23" t="s">
        <v>620</v>
      </c>
    </row>
    <row r="18" customFormat="false" ht="19.5" hidden="false" customHeight="true" outlineLevel="0" collapsed="false">
      <c r="A18" s="26" t="s">
        <v>36</v>
      </c>
      <c r="B18" s="29" t="s">
        <v>179</v>
      </c>
      <c r="C18" s="29" t="s">
        <v>250</v>
      </c>
      <c r="D18" s="29" t="s">
        <v>604</v>
      </c>
      <c r="E18" s="29" t="s">
        <v>76</v>
      </c>
      <c r="F18" s="29" t="s">
        <v>605</v>
      </c>
      <c r="G18" s="29" t="s">
        <v>293</v>
      </c>
      <c r="H18" s="26" t="s">
        <v>621</v>
      </c>
    </row>
    <row r="19" customFormat="false" ht="19.5" hidden="false" customHeight="true" outlineLevel="0" collapsed="false">
      <c r="A19" s="23" t="s">
        <v>41</v>
      </c>
      <c r="B19" s="16" t="s">
        <v>179</v>
      </c>
      <c r="C19" s="16" t="s">
        <v>250</v>
      </c>
      <c r="D19" s="16" t="s">
        <v>604</v>
      </c>
      <c r="E19" s="16" t="s">
        <v>76</v>
      </c>
      <c r="F19" s="16" t="s">
        <v>605</v>
      </c>
      <c r="G19" s="16" t="s">
        <v>293</v>
      </c>
      <c r="H19" s="23" t="s">
        <v>622</v>
      </c>
    </row>
    <row r="20" customFormat="false" ht="19.5" hidden="false" customHeight="true" outlineLevel="0" collapsed="false">
      <c r="A20" s="26" t="s">
        <v>33</v>
      </c>
      <c r="B20" s="29" t="s">
        <v>179</v>
      </c>
      <c r="C20" s="29" t="s">
        <v>250</v>
      </c>
      <c r="D20" s="29" t="s">
        <v>604</v>
      </c>
      <c r="E20" s="29" t="s">
        <v>76</v>
      </c>
      <c r="F20" s="29" t="s">
        <v>605</v>
      </c>
      <c r="G20" s="29" t="s">
        <v>293</v>
      </c>
      <c r="H20" s="26" t="s">
        <v>623</v>
      </c>
    </row>
    <row r="21" customFormat="false" ht="19.5" hidden="false" customHeight="true" outlineLevel="0" collapsed="false">
      <c r="A21" s="23" t="s">
        <v>31</v>
      </c>
      <c r="B21" s="16" t="s">
        <v>179</v>
      </c>
      <c r="C21" s="16" t="s">
        <v>250</v>
      </c>
      <c r="D21" s="16" t="s">
        <v>604</v>
      </c>
      <c r="E21" s="16" t="s">
        <v>76</v>
      </c>
      <c r="F21" s="16" t="s">
        <v>605</v>
      </c>
      <c r="G21" s="16" t="s">
        <v>293</v>
      </c>
      <c r="H21" s="23" t="s">
        <v>624</v>
      </c>
    </row>
    <row r="22" customFormat="false" ht="19.5" hidden="false" customHeight="true" outlineLevel="0" collapsed="false">
      <c r="A22" s="26" t="s">
        <v>43</v>
      </c>
      <c r="B22" s="29" t="s">
        <v>249</v>
      </c>
      <c r="C22" s="29" t="s">
        <v>250</v>
      </c>
      <c r="D22" s="29" t="s">
        <v>604</v>
      </c>
      <c r="E22" s="29" t="s">
        <v>76</v>
      </c>
      <c r="F22" s="29" t="s">
        <v>605</v>
      </c>
      <c r="G22" s="29" t="s">
        <v>251</v>
      </c>
      <c r="H22" s="26" t="s">
        <v>625</v>
      </c>
    </row>
    <row r="23" customFormat="false" ht="19.5" hidden="false" customHeight="true" outlineLevel="0" collapsed="false">
      <c r="A23" s="23" t="s">
        <v>27</v>
      </c>
      <c r="B23" s="16" t="s">
        <v>127</v>
      </c>
      <c r="C23" s="16" t="s">
        <v>128</v>
      </c>
      <c r="D23" s="16" t="s">
        <v>604</v>
      </c>
      <c r="E23" s="16" t="s">
        <v>76</v>
      </c>
      <c r="F23" s="16" t="s">
        <v>72</v>
      </c>
      <c r="G23" s="16" t="s">
        <v>129</v>
      </c>
      <c r="H23" s="23" t="s">
        <v>626</v>
      </c>
    </row>
  </sheetData>
  <autoFilter ref="A2:H63"/>
  <mergeCells count="1">
    <mergeCell ref="A1:H1"/>
  </mergeCells>
  <conditionalFormatting sqref="D3:D34">
    <cfRule type="expression" priority="2" aboveAverage="0" equalAverage="0" bottom="0" percent="0" rank="0" text="" dxfId="166">
      <formula>$D3="Yes"</formula>
    </cfRule>
  </conditionalFormatting>
  <conditionalFormatting sqref="E3:E34">
    <cfRule type="expression" priority="3" aboveAverage="0" equalAverage="0" bottom="0" percent="0" rank="0" text="" dxfId="165">
      <formula>$E3="No"</formula>
    </cfRule>
    <cfRule type="expression" priority="4" aboveAverage="0" equalAverage="0" bottom="0" percent="0" rank="0" text="" dxfId="166">
      <formula>NOT(ISERROR(SEARCH("⚠",$E3)))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56"/>
    <col collapsed="false" customWidth="true" hidden="false" outlineLevel="0" max="3" min="3" style="0" width="70"/>
  </cols>
  <sheetData>
    <row r="1" customFormat="false" ht="25.5" hidden="false" customHeight="true" outlineLevel="0" collapsed="false">
      <c r="A1" s="141" t="s">
        <v>627</v>
      </c>
      <c r="B1" s="141"/>
      <c r="C1" s="141"/>
    </row>
    <row r="2" customFormat="false" ht="21.75" hidden="false" customHeight="true" outlineLevel="0" collapsed="false">
      <c r="A2" s="18" t="s">
        <v>628</v>
      </c>
      <c r="B2" s="18" t="s">
        <v>629</v>
      </c>
      <c r="C2" s="18" t="s">
        <v>64</v>
      </c>
    </row>
    <row r="3" customFormat="false" ht="18" hidden="false" customHeight="true" outlineLevel="0" collapsed="false">
      <c r="A3" s="142" t="s">
        <v>630</v>
      </c>
      <c r="B3" s="143" t="s">
        <v>631</v>
      </c>
      <c r="C3" s="144"/>
    </row>
    <row r="4" customFormat="false" ht="18" hidden="false" customHeight="true" outlineLevel="0" collapsed="false">
      <c r="A4" s="142" t="s">
        <v>632</v>
      </c>
      <c r="B4" s="145" t="s">
        <v>633</v>
      </c>
      <c r="C4" s="144"/>
    </row>
    <row r="5" customFormat="false" ht="18" hidden="false" customHeight="true" outlineLevel="0" collapsed="false">
      <c r="A5" s="142" t="s">
        <v>634</v>
      </c>
      <c r="B5" s="145" t="s">
        <v>635</v>
      </c>
      <c r="C5" s="144" t="s">
        <v>636</v>
      </c>
    </row>
    <row r="6" customFormat="false" ht="18" hidden="false" customHeight="true" outlineLevel="0" collapsed="false">
      <c r="A6" s="142" t="s">
        <v>637</v>
      </c>
      <c r="B6" s="145" t="s">
        <v>638</v>
      </c>
      <c r="C6" s="144" t="s">
        <v>639</v>
      </c>
    </row>
    <row r="7" customFormat="false" ht="18" hidden="false" customHeight="true" outlineLevel="0" collapsed="false">
      <c r="A7" s="142" t="s">
        <v>640</v>
      </c>
      <c r="B7" s="145" t="s">
        <v>641</v>
      </c>
      <c r="C7" s="144" t="s">
        <v>642</v>
      </c>
    </row>
    <row r="8" customFormat="false" ht="18" hidden="false" customHeight="true" outlineLevel="0" collapsed="false">
      <c r="A8" s="142" t="s">
        <v>643</v>
      </c>
      <c r="B8" s="145" t="s">
        <v>644</v>
      </c>
      <c r="C8" s="144" t="s">
        <v>645</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2026-10-08T05:00:48Z</dcterms:created>
  <dc:creator>openpyxl</dc:creator>
  <dc:description/>
  <dc:language>en-US</dc:language>
  <cp:lastModifiedBy/>
  <dcterms:modified xsi:type="dcterms:W3CDTF">2026-10-08T05:00:49Z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