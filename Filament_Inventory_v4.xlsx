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99ef59fae163b27/Documents/GitHub/Unified-Filament-Database/"/>
    </mc:Choice>
  </mc:AlternateContent>
  <xr:revisionPtr revIDLastSave="3" documentId="11_EB550AEFE570474796F8012723DEBA19872CFD0F" xr6:coauthVersionLast="47" xr6:coauthVersionMax="47" xr10:uidLastSave="{A814B86E-32A2-49B4-93D1-E610F392667D}"/>
  <bookViews>
    <workbookView xWindow="675" yWindow="450" windowWidth="26010" windowHeight="14145" activeTab="1" xr2:uid="{00000000-000D-0000-FFFF-FFFF00000000}"/>
  </bookViews>
  <sheets>
    <sheet name="Dashboard" sheetId="1" r:id="rId1"/>
    <sheet name="Inventory" sheetId="2" r:id="rId2"/>
    <sheet name="Config" sheetId="3" r:id="rId3"/>
  </sheets>
  <definedNames>
    <definedName name="_xlnm._FilterDatabase" localSheetId="1" hidden="1">Inventory!$A$2:$Y$77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7" i="2" l="1"/>
  <c r="W77" i="2"/>
  <c r="O77" i="2"/>
  <c r="Y76" i="2"/>
  <c r="W76" i="2"/>
  <c r="O76" i="2"/>
  <c r="Y75" i="2"/>
  <c r="W75" i="2"/>
  <c r="O75" i="2"/>
  <c r="Y74" i="2"/>
  <c r="W74" i="2"/>
  <c r="O74" i="2"/>
  <c r="Y73" i="2"/>
  <c r="W73" i="2"/>
  <c r="O73" i="2"/>
  <c r="Y72" i="2"/>
  <c r="W72" i="2"/>
  <c r="O72" i="2"/>
  <c r="Y71" i="2"/>
  <c r="W71" i="2"/>
  <c r="O71" i="2"/>
  <c r="Y70" i="2"/>
  <c r="W70" i="2"/>
  <c r="O70" i="2"/>
  <c r="Y69" i="2"/>
  <c r="W69" i="2"/>
  <c r="O69" i="2"/>
  <c r="Y68" i="2"/>
  <c r="W68" i="2"/>
  <c r="O68" i="2"/>
  <c r="Y67" i="2"/>
  <c r="W67" i="2"/>
  <c r="O67" i="2"/>
  <c r="Y66" i="2"/>
  <c r="W66" i="2"/>
  <c r="O66" i="2"/>
  <c r="Y65" i="2"/>
  <c r="W65" i="2"/>
  <c r="O65" i="2"/>
  <c r="Y64" i="2"/>
  <c r="W64" i="2"/>
  <c r="O64" i="2"/>
  <c r="Y63" i="2"/>
  <c r="W63" i="2"/>
  <c r="O63" i="2"/>
  <c r="Y62" i="2"/>
  <c r="W62" i="2"/>
  <c r="O62" i="2"/>
  <c r="Y61" i="2"/>
  <c r="W61" i="2"/>
  <c r="O61" i="2"/>
  <c r="Y60" i="2"/>
  <c r="W60" i="2"/>
  <c r="O60" i="2"/>
  <c r="Y59" i="2"/>
  <c r="W59" i="2"/>
  <c r="O59" i="2"/>
  <c r="Y58" i="2"/>
  <c r="W58" i="2"/>
  <c r="O58" i="2"/>
  <c r="Y57" i="2"/>
  <c r="W57" i="2"/>
  <c r="O57" i="2"/>
  <c r="Y56" i="2"/>
  <c r="W56" i="2"/>
  <c r="O56" i="2"/>
  <c r="Y55" i="2"/>
  <c r="W55" i="2"/>
  <c r="O55" i="2"/>
  <c r="Y54" i="2"/>
  <c r="W54" i="2"/>
  <c r="O54" i="2"/>
  <c r="Y53" i="2"/>
  <c r="W53" i="2"/>
  <c r="O53" i="2"/>
  <c r="Y52" i="2"/>
  <c r="W52" i="2"/>
  <c r="O52" i="2"/>
  <c r="Y51" i="2"/>
  <c r="W51" i="2"/>
  <c r="O51" i="2"/>
  <c r="Y50" i="2"/>
  <c r="W50" i="2"/>
  <c r="O50" i="2"/>
  <c r="Y49" i="2"/>
  <c r="W49" i="2"/>
  <c r="O49" i="2"/>
  <c r="Y48" i="2"/>
  <c r="W48" i="2"/>
  <c r="O48" i="2"/>
  <c r="Y47" i="2"/>
  <c r="W47" i="2"/>
  <c r="O47" i="2"/>
  <c r="Y46" i="2"/>
  <c r="W46" i="2"/>
  <c r="O46" i="2"/>
  <c r="Y45" i="2"/>
  <c r="W45" i="2"/>
  <c r="O45" i="2"/>
  <c r="Y44" i="2"/>
  <c r="W44" i="2"/>
  <c r="O44" i="2"/>
  <c r="Y43" i="2"/>
  <c r="W43" i="2"/>
  <c r="O43" i="2"/>
  <c r="Y42" i="2"/>
  <c r="W42" i="2"/>
  <c r="O42" i="2"/>
  <c r="Y41" i="2"/>
  <c r="W41" i="2"/>
  <c r="O41" i="2"/>
  <c r="Y40" i="2"/>
  <c r="W40" i="2"/>
  <c r="O40" i="2"/>
  <c r="Y39" i="2"/>
  <c r="W39" i="2"/>
  <c r="O39" i="2"/>
  <c r="Y38" i="2"/>
  <c r="W38" i="2"/>
  <c r="O38" i="2"/>
  <c r="Y37" i="2"/>
  <c r="W37" i="2"/>
  <c r="O37" i="2"/>
  <c r="Y36" i="2"/>
  <c r="W36" i="2"/>
  <c r="O36" i="2"/>
  <c r="Y35" i="2"/>
  <c r="W35" i="2"/>
  <c r="O35" i="2"/>
  <c r="Y34" i="2"/>
  <c r="W34" i="2"/>
  <c r="O34" i="2"/>
  <c r="Y33" i="2"/>
  <c r="W33" i="2"/>
  <c r="O33" i="2"/>
  <c r="Y32" i="2"/>
  <c r="W32" i="2"/>
  <c r="O32" i="2"/>
  <c r="Y31" i="2"/>
  <c r="W31" i="2"/>
  <c r="O31" i="2"/>
  <c r="Y30" i="2"/>
  <c r="W30" i="2"/>
  <c r="O30" i="2"/>
  <c r="Y29" i="2"/>
  <c r="W29" i="2"/>
  <c r="O29" i="2"/>
  <c r="Y28" i="2"/>
  <c r="W28" i="2"/>
  <c r="O28" i="2"/>
  <c r="Y27" i="2"/>
  <c r="W27" i="2"/>
  <c r="O27" i="2"/>
  <c r="Y26" i="2"/>
  <c r="W26" i="2"/>
  <c r="O26" i="2"/>
  <c r="Y25" i="2"/>
  <c r="W25" i="2"/>
  <c r="O25" i="2"/>
  <c r="Y24" i="2"/>
  <c r="W24" i="2"/>
  <c r="O24" i="2"/>
  <c r="Y23" i="2"/>
  <c r="W23" i="2"/>
  <c r="O23" i="2"/>
  <c r="Y22" i="2"/>
  <c r="W22" i="2"/>
  <c r="O22" i="2"/>
  <c r="Y21" i="2"/>
  <c r="W21" i="2"/>
  <c r="O21" i="2"/>
  <c r="Y20" i="2"/>
  <c r="W20" i="2"/>
  <c r="O20" i="2"/>
  <c r="Y19" i="2"/>
  <c r="W19" i="2"/>
  <c r="O19" i="2"/>
  <c r="Y18" i="2"/>
  <c r="W18" i="2"/>
  <c r="O18" i="2"/>
  <c r="Y17" i="2"/>
  <c r="W17" i="2"/>
  <c r="O17" i="2"/>
  <c r="Y16" i="2"/>
  <c r="W16" i="2"/>
  <c r="O16" i="2"/>
  <c r="Y15" i="2"/>
  <c r="W15" i="2"/>
  <c r="O15" i="2"/>
  <c r="Y14" i="2"/>
  <c r="W14" i="2"/>
  <c r="O14" i="2"/>
  <c r="Y13" i="2"/>
  <c r="W13" i="2"/>
  <c r="O13" i="2"/>
  <c r="Y12" i="2"/>
  <c r="W12" i="2"/>
  <c r="O12" i="2"/>
  <c r="Y11" i="2"/>
  <c r="W11" i="2"/>
  <c r="O11" i="2"/>
  <c r="Y10" i="2"/>
  <c r="W10" i="2"/>
  <c r="O10" i="2"/>
  <c r="Y9" i="2"/>
  <c r="W9" i="2"/>
  <c r="O9" i="2"/>
  <c r="Y8" i="2"/>
  <c r="W8" i="2"/>
  <c r="O8" i="2"/>
  <c r="Y7" i="2"/>
  <c r="W7" i="2"/>
  <c r="O7" i="2"/>
  <c r="Y6" i="2"/>
  <c r="W6" i="2"/>
  <c r="O6" i="2"/>
  <c r="B6" i="1" s="1"/>
  <c r="Y5" i="2"/>
  <c r="W5" i="2"/>
  <c r="O5" i="2"/>
  <c r="Y4" i="2"/>
  <c r="W4" i="2"/>
  <c r="O4" i="2"/>
  <c r="Y3" i="2"/>
  <c r="W3" i="2"/>
  <c r="O3" i="2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B7" i="1"/>
  <c r="B5" i="1"/>
  <c r="B4" i="1"/>
</calcChain>
</file>

<file path=xl/sharedStrings.xml><?xml version="1.0" encoding="utf-8"?>
<sst xmlns="http://schemas.openxmlformats.org/spreadsheetml/2006/main" count="342" uniqueCount="144">
  <si>
    <t>Filament Inventory — Dashboard</t>
  </si>
  <si>
    <t xml:space="preserve">  SUMMARY</t>
  </si>
  <si>
    <t>Total Spools in Stock</t>
  </si>
  <si>
    <t>Total Inventory Value</t>
  </si>
  <si>
    <t>Items at Reorder Point</t>
  </si>
  <si>
    <t>Reorder Threshold (from Config)</t>
  </si>
  <si>
    <t xml:space="preserve">  BY BRAND</t>
  </si>
  <si>
    <t>Brand</t>
  </si>
  <si>
    <t>Spools in Stock</t>
  </si>
  <si>
    <t>Total Value</t>
  </si>
  <si>
    <t>AzureFilm</t>
  </si>
  <si>
    <t>Bambu Lab</t>
  </si>
  <si>
    <t>Creality Hyper</t>
  </si>
  <si>
    <t>Hatchbox</t>
  </si>
  <si>
    <t>MatterHackers</t>
  </si>
  <si>
    <t>Overture</t>
  </si>
  <si>
    <t>Polymaker</t>
  </si>
  <si>
    <t>Prusament</t>
  </si>
  <si>
    <t>SUNLU</t>
  </si>
  <si>
    <t>VoxelPLA</t>
  </si>
  <si>
    <t>eSUN</t>
  </si>
  <si>
    <t>Filament Inventory — On-Hand Spools (All Brands)</t>
  </si>
  <si>
    <t>SKU</t>
  </si>
  <si>
    <t>Material Type</t>
  </si>
  <si>
    <t>Product Name</t>
  </si>
  <si>
    <t>Color Name</t>
  </si>
  <si>
    <t>Color Swatch</t>
  </si>
  <si>
    <t>Hex Code</t>
  </si>
  <si>
    <t>Diameter</t>
  </si>
  <si>
    <t>Lot / Batch Code</t>
  </si>
  <si>
    <t>Date Purchased</t>
  </si>
  <si>
    <t>Where Purchased</t>
  </si>
  <si>
    <t>List Price</t>
  </si>
  <si>
    <t>Price Paid</t>
  </si>
  <si>
    <t>Quantity in Stock</t>
  </si>
  <si>
    <t>Reorder Flag</t>
  </si>
  <si>
    <t>Opened / Sealed</t>
  </si>
  <si>
    <t>Condition</t>
  </si>
  <si>
    <t>Moisture Rating</t>
  </si>
  <si>
    <t>Last Dried Date</t>
  </si>
  <si>
    <t>Package Type</t>
  </si>
  <si>
    <t>Net Weight (g)</t>
  </si>
  <si>
    <t>Est. Remaining (g)</t>
  </si>
  <si>
    <t>Est. Remaining %</t>
  </si>
  <si>
    <t>Notes</t>
  </si>
  <si>
    <t>SL-PETG-01</t>
  </si>
  <si>
    <t>PETG</t>
  </si>
  <si>
    <t>SUNLU PETG</t>
  </si>
  <si>
    <t>White</t>
  </si>
  <si>
    <t>#F5F5F5</t>
  </si>
  <si>
    <t>1.75mm</t>
  </si>
  <si>
    <t>Opened</t>
  </si>
  <si>
    <t>Good</t>
  </si>
  <si>
    <t>Dry</t>
  </si>
  <si>
    <t>Spool</t>
  </si>
  <si>
    <t>Weighed spool minus tare (empty-spool weight) to estimate remaining amount</t>
  </si>
  <si>
    <t>BL-PLAB-LG</t>
  </si>
  <si>
    <t>PLA Basic</t>
  </si>
  <si>
    <t>Light Gray</t>
  </si>
  <si>
    <t>#D1D3D5</t>
  </si>
  <si>
    <t>Sealed</t>
  </si>
  <si>
    <t>New</t>
  </si>
  <si>
    <t>Refill</t>
  </si>
  <si>
    <t>BL-PLAB-BZ</t>
  </si>
  <si>
    <t>Bronze</t>
  </si>
  <si>
    <t>#847D48</t>
  </si>
  <si>
    <t>BL-PLAB-TQ</t>
  </si>
  <si>
    <t>Turquoise</t>
  </si>
  <si>
    <t>#00B1B7</t>
  </si>
  <si>
    <t>BL-PLAB-PO</t>
  </si>
  <si>
    <t>Pumpkin Orange</t>
  </si>
  <si>
    <t>#FF9016</t>
  </si>
  <si>
    <t>BL-PLAB-CB</t>
  </si>
  <si>
    <t>Cocoa Brown</t>
  </si>
  <si>
    <t>#6F5034</t>
  </si>
  <si>
    <t>BL-PLAB-MA</t>
  </si>
  <si>
    <t>Magenta</t>
  </si>
  <si>
    <t>#EC008C</t>
  </si>
  <si>
    <t>BL-PLAB-DG</t>
  </si>
  <si>
    <t>Dark Gray</t>
  </si>
  <si>
    <t>#545454</t>
  </si>
  <si>
    <t>BL-PLAB-SY</t>
  </si>
  <si>
    <t>Sunflower Yellow</t>
  </si>
  <si>
    <t>#FEC600</t>
  </si>
  <si>
    <t>BL-PLAB-GN</t>
  </si>
  <si>
    <t>Bambu Green</t>
  </si>
  <si>
    <t>#00AE42</t>
  </si>
  <si>
    <t>BL-PLAB-MG</t>
  </si>
  <si>
    <t>Mistletoe Green</t>
  </si>
  <si>
    <t>#3F8E43</t>
  </si>
  <si>
    <t>BL-PLAB-RD</t>
  </si>
  <si>
    <t>Red</t>
  </si>
  <si>
    <t>#C12E1F</t>
  </si>
  <si>
    <t>BL-PETG-RFB</t>
  </si>
  <si>
    <t>PETG Basic</t>
  </si>
  <si>
    <t>Reflex Blue</t>
  </si>
  <si>
    <t>#001489</t>
  </si>
  <si>
    <t>BL-PETG-WH</t>
  </si>
  <si>
    <t>#FFFFFF</t>
  </si>
  <si>
    <t>SL-PETG-16</t>
  </si>
  <si>
    <t>Lavender Purple</t>
  </si>
  <si>
    <t>#999999</t>
  </si>
  <si>
    <t>Hex is catalog placeholder (#999999 = unconfirmed), not a real swatch color</t>
  </si>
  <si>
    <t>SL-PETG-02</t>
  </si>
  <si>
    <t>Black</t>
  </si>
  <si>
    <t>#000000</t>
  </si>
  <si>
    <t>SL-PETG-19</t>
  </si>
  <si>
    <t>Oak</t>
  </si>
  <si>
    <t>#C2B29A</t>
  </si>
  <si>
    <t>SL-PETG-13</t>
  </si>
  <si>
    <t>Coffee Brown</t>
  </si>
  <si>
    <t>#362111</t>
  </si>
  <si>
    <t>SL-PETG-05</t>
  </si>
  <si>
    <t>Klein Blue</t>
  </si>
  <si>
    <t>#1729AB</t>
  </si>
  <si>
    <t>SL-PETG-10</t>
  </si>
  <si>
    <t>Bone White</t>
  </si>
  <si>
    <t>#EEE7D4</t>
  </si>
  <si>
    <t>SL-PLA-22</t>
  </si>
  <si>
    <t>PLA</t>
  </si>
  <si>
    <t>SUNLU PLA</t>
  </si>
  <si>
    <t>Olive Green</t>
  </si>
  <si>
    <t>#5A6D3D</t>
  </si>
  <si>
    <t>Catalog lists this color as "Oliver Green" (SL-PLA-22) — likely a brand-catalog typo for Olive Green; matched on color/hex</t>
  </si>
  <si>
    <t>SL-PLAP2-02</t>
  </si>
  <si>
    <t>PLA+ 2.0</t>
  </si>
  <si>
    <t>SUNLU PLA+ 2.0</t>
  </si>
  <si>
    <t>Physical spool + box label confirm "PLA+2.0" — corrects the prior 2026-08-02 fix, which had wrongly reassigned this to the plain "PLA+" line (SL-PLAP-02) based on the ambiguous user-entered SKU. Verified via IMG_0209.JPG / IMG_0210.JPG, 2026-08-04.</t>
  </si>
  <si>
    <t>SL-PLAP2-01</t>
  </si>
  <si>
    <t>Material Type corrected from "PLA 2+" — SL-PLAP2-01 belongs to the separate "PLA+ 2.0" line</t>
  </si>
  <si>
    <t>⚙  Configuration</t>
  </si>
  <si>
    <t>Setting</t>
  </si>
  <si>
    <t>Value</t>
  </si>
  <si>
    <t>Reorder Threshold</t>
  </si>
  <si>
    <t>Reorder Flag fires when Qty in Stock &lt;= this value</t>
  </si>
  <si>
    <t>File Version</t>
  </si>
  <si>
    <t>v2</t>
  </si>
  <si>
    <t>v2 = 2026-08-02 schema extension (Package Type / Net Weight (g) / Est. Remaining (g) / Est. Remaining % added)</t>
  </si>
  <si>
    <t>Generated</t>
  </si>
  <si>
    <t>2026-08-05</t>
  </si>
  <si>
    <t>Date this file was last generated by build_inventory.py</t>
  </si>
  <si>
    <t>Scope Note</t>
  </si>
  <si>
    <t>Covers on-hand spool inventory only, across all 11 brand catalogs. Catalog reference data (colors, hex, SKUs, tiers) lives in the per-brand workbooks.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</si>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</sst>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7F6000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2"/>
      <color rgb="FFFFFFFF"/>
      <name val="Arial"/>
    </font>
    <font>
      <i/>
      <sz val="10"/>
      <color rgb="FF000000"/>
      <name val="Arial"/>
    </font>
    <font>
      <sz val="10"/>
      <color rgb="FF7F6000"/>
      <name val="Arial"/>
    </font>
  </fonts>
  <fills count="2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D1D3D5"/>
      </patternFill>
    </fill>
    <fill>
      <patternFill patternType="solid">
        <fgColor rgb="FF847D48"/>
      </patternFill>
    </fill>
    <fill>
      <patternFill patternType="solid">
        <fgColor rgb="FF00B1B7"/>
      </patternFill>
    </fill>
    <fill>
      <patternFill patternType="solid">
        <fgColor rgb="FFFF9016"/>
      </patternFill>
    </fill>
    <fill>
      <patternFill patternType="solid">
        <fgColor rgb="FF6F5034"/>
      </patternFill>
    </fill>
    <fill>
      <patternFill patternType="solid">
        <fgColor rgb="FFEC008C"/>
      </patternFill>
    </fill>
    <fill>
      <patternFill patternType="solid">
        <fgColor rgb="FF545454"/>
      </patternFill>
    </fill>
    <fill>
      <patternFill patternType="solid">
        <fgColor rgb="FFFEC600"/>
      </patternFill>
    </fill>
    <fill>
      <patternFill patternType="solid">
        <fgColor rgb="FF00AE42"/>
      </patternFill>
    </fill>
    <fill>
      <patternFill patternType="solid">
        <fgColor rgb="FF3F8E43"/>
      </patternFill>
    </fill>
    <fill>
      <patternFill patternType="solid">
        <fgColor rgb="FFC12E1F"/>
      </patternFill>
    </fill>
    <fill>
      <patternFill patternType="solid">
        <fgColor rgb="FF001489"/>
      </patternFill>
    </fill>
    <fill>
      <patternFill patternType="solid">
        <fgColor rgb="FFFFFFFF"/>
      </patternFill>
    </fill>
    <fill>
      <patternFill patternType="solid">
        <fgColor rgb="FF999999"/>
      </patternFill>
    </fill>
    <fill>
      <patternFill patternType="solid">
        <fgColor rgb="FF000000"/>
      </patternFill>
    </fill>
    <fill>
      <patternFill patternType="solid">
        <fgColor rgb="FFC2B29A"/>
      </patternFill>
    </fill>
    <fill>
      <patternFill patternType="solid">
        <fgColor rgb="FF362111"/>
      </patternFill>
    </fill>
    <fill>
      <patternFill patternType="solid">
        <fgColor rgb="FF1729AB"/>
      </patternFill>
    </fill>
    <fill>
      <patternFill patternType="solid">
        <fgColor rgb="FFEEE7D4"/>
      </patternFill>
    </fill>
    <fill>
      <patternFill patternType="solid">
        <fgColor rgb="FF5A6D3D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 vertical="center" wrapText="1"/>
    </xf>
    <xf numFmtId="0" fontId="5" fillId="24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left" vertical="center" wrapText="1"/>
    </xf>
    <xf numFmtId="3" fontId="0" fillId="0" borderId="0" xfId="0" applyNumberFormat="1"/>
    <xf numFmtId="0" fontId="8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9C5700"/>
        <name val="Arial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21"/>
  <sheetViews>
    <sheetView workbookViewId="0">
      <selection sqref="A1:F1"/>
    </sheetView>
  </sheetViews>
  <sheetFormatPr defaultRowHeight="15" x14ac:dyDescent="0.25"/>
  <cols>
    <col min="1" max="1" width="22" customWidth="1"/>
    <col min="2" max="6" width="16" customWidth="1"/>
  </cols>
  <sheetData>
    <row r="1" spans="1:6" ht="30" customHeight="1" x14ac:dyDescent="0.25">
      <c r="A1" s="38" t="s">
        <v>0</v>
      </c>
      <c r="B1" s="35"/>
      <c r="C1" s="35"/>
      <c r="D1" s="35"/>
      <c r="E1" s="35"/>
      <c r="F1" s="35"/>
    </row>
    <row r="3" spans="1:6" ht="18" customHeight="1" x14ac:dyDescent="0.25">
      <c r="A3" s="39" t="s">
        <v>1</v>
      </c>
      <c r="B3" s="35"/>
      <c r="C3" s="35"/>
      <c r="D3" s="35"/>
      <c r="E3" s="35"/>
      <c r="F3" s="35"/>
    </row>
    <row r="4" spans="1:6" ht="20.100000000000001" customHeight="1" x14ac:dyDescent="0.25">
      <c r="A4" s="1" t="s">
        <v>2</v>
      </c>
      <c r="B4" s="36">
        <f>SUM(Inventory!N3:N77)</f>
        <v>38</v>
      </c>
      <c r="C4" s="35"/>
    </row>
    <row r="5" spans="1:6" ht="20.100000000000001" customHeight="1" x14ac:dyDescent="0.25">
      <c r="A5" s="1" t="s">
        <v>3</v>
      </c>
      <c r="B5" s="37">
        <f>SUMPRODUCT(IF(Inventory!M3:M77="",0,Inventory!M3:M77)*IF(Inventory!N3:N77="",0,Inventory!N3:N77))</f>
        <v>0</v>
      </c>
      <c r="C5" s="35"/>
    </row>
    <row r="6" spans="1:6" ht="20.100000000000001" customHeight="1" x14ac:dyDescent="0.25">
      <c r="A6" s="1" t="s">
        <v>4</v>
      </c>
      <c r="B6" s="36">
        <f>COUNTIF(Inventory!O3:O77,"*REORDER*")</f>
        <v>16</v>
      </c>
      <c r="C6" s="35"/>
    </row>
    <row r="7" spans="1:6" ht="20.100000000000001" customHeight="1" x14ac:dyDescent="0.25">
      <c r="A7" s="1" t="s">
        <v>5</v>
      </c>
      <c r="B7" s="36">
        <f>Config!$B$3</f>
        <v>1</v>
      </c>
      <c r="C7" s="35"/>
    </row>
    <row r="9" spans="1:6" ht="18" customHeight="1" x14ac:dyDescent="0.25">
      <c r="A9" s="39" t="s">
        <v>6</v>
      </c>
      <c r="B9" s="35"/>
      <c r="C9" s="35"/>
      <c r="D9" s="35"/>
      <c r="E9" s="35"/>
      <c r="F9" s="35"/>
    </row>
    <row r="10" spans="1:6" ht="21.95" customHeight="1" x14ac:dyDescent="0.25">
      <c r="A10" s="3" t="s">
        <v>7</v>
      </c>
      <c r="B10" s="3" t="s">
        <v>8</v>
      </c>
      <c r="C10" s="3" t="s">
        <v>9</v>
      </c>
    </row>
    <row r="11" spans="1:6" ht="18" customHeight="1" x14ac:dyDescent="0.25">
      <c r="A11" s="4" t="s">
        <v>10</v>
      </c>
      <c r="B11" s="5">
        <f>IFERROR(SUMIF(Inventory!A3:A77,A11,Inventory!N3:N77),0)</f>
        <v>0</v>
      </c>
      <c r="C11" s="6">
        <f>IFERROR(SUMPRODUCT((Inventory!A3:A77=A11)*IF(Inventory!M3:M77="",0,Inventory!M3:M77)*IF(Inventory!N3:N77="",0,Inventory!N3:N77)),0)</f>
        <v>0</v>
      </c>
    </row>
    <row r="12" spans="1:6" ht="18" customHeight="1" x14ac:dyDescent="0.25">
      <c r="A12" s="4" t="s">
        <v>11</v>
      </c>
      <c r="B12" s="5">
        <f>IFERROR(SUMIF(Inventory!A3:A77,A12,Inventory!N3:N77),0)</f>
        <v>16</v>
      </c>
      <c r="C12" s="6">
        <f>IFERROR(SUMPRODUCT((Inventory!A3:A77=A12)*IF(Inventory!M3:M77="",0,Inventory!M3:M77)*IF(Inventory!N3:N77="",0,Inventory!N3:N77)),0)</f>
        <v>0</v>
      </c>
    </row>
    <row r="13" spans="1:6" ht="18" customHeight="1" x14ac:dyDescent="0.25">
      <c r="A13" s="4" t="s">
        <v>12</v>
      </c>
      <c r="B13" s="5">
        <f>IFERROR(SUMIF(Inventory!A3:A77,A13,Inventory!N3:N77),0)</f>
        <v>0</v>
      </c>
      <c r="C13" s="6">
        <f>IFERROR(SUMPRODUCT((Inventory!A3:A77=A13)*IF(Inventory!M3:M77="",0,Inventory!M3:M77)*IF(Inventory!N3:N77="",0,Inventory!N3:N77)),0)</f>
        <v>0</v>
      </c>
    </row>
    <row r="14" spans="1:6" ht="18" customHeight="1" x14ac:dyDescent="0.25">
      <c r="A14" s="4" t="s">
        <v>13</v>
      </c>
      <c r="B14" s="5">
        <f>IFERROR(SUMIF(Inventory!A3:A77,A14,Inventory!N3:N77),0)</f>
        <v>0</v>
      </c>
      <c r="C14" s="6">
        <f>IFERROR(SUMPRODUCT((Inventory!A3:A77=A14)*IF(Inventory!M3:M77="",0,Inventory!M3:M77)*IF(Inventory!N3:N77="",0,Inventory!N3:N77)),0)</f>
        <v>0</v>
      </c>
    </row>
    <row r="15" spans="1:6" ht="18" customHeight="1" x14ac:dyDescent="0.25">
      <c r="A15" s="4" t="s">
        <v>14</v>
      </c>
      <c r="B15" s="5">
        <f>IFERROR(SUMIF(Inventory!A3:A77,A15,Inventory!N3:N77),0)</f>
        <v>0</v>
      </c>
      <c r="C15" s="6">
        <f>IFERROR(SUMPRODUCT((Inventory!A3:A77=A15)*IF(Inventory!M3:M77="",0,Inventory!M3:M77)*IF(Inventory!N3:N77="",0,Inventory!N3:N77)),0)</f>
        <v>0</v>
      </c>
    </row>
    <row r="16" spans="1:6" ht="18" customHeight="1" x14ac:dyDescent="0.25">
      <c r="A16" s="4" t="s">
        <v>15</v>
      </c>
      <c r="B16" s="5">
        <f>IFERROR(SUMIF(Inventory!A3:A77,A16,Inventory!N3:N77),0)</f>
        <v>0</v>
      </c>
      <c r="C16" s="6">
        <f>IFERROR(SUMPRODUCT((Inventory!A3:A77=A16)*IF(Inventory!M3:M77="",0,Inventory!M3:M77)*IF(Inventory!N3:N77="",0,Inventory!N3:N77)),0)</f>
        <v>0</v>
      </c>
    </row>
    <row r="17" spans="1:3" ht="18" customHeight="1" x14ac:dyDescent="0.25">
      <c r="A17" s="4" t="s">
        <v>16</v>
      </c>
      <c r="B17" s="5">
        <f>IFERROR(SUMIF(Inventory!A3:A77,A17,Inventory!N3:N77),0)</f>
        <v>0</v>
      </c>
      <c r="C17" s="6">
        <f>IFERROR(SUMPRODUCT((Inventory!A3:A77=A17)*IF(Inventory!M3:M77="",0,Inventory!M3:M77)*IF(Inventory!N3:N77="",0,Inventory!N3:N77)),0)</f>
        <v>0</v>
      </c>
    </row>
    <row r="18" spans="1:3" ht="18" customHeight="1" x14ac:dyDescent="0.25">
      <c r="A18" s="4" t="s">
        <v>17</v>
      </c>
      <c r="B18" s="5">
        <f>IFERROR(SUMIF(Inventory!A3:A77,A18,Inventory!N3:N77),0)</f>
        <v>0</v>
      </c>
      <c r="C18" s="6">
        <f>IFERROR(SUMPRODUCT((Inventory!A3:A77=A18)*IF(Inventory!M3:M77="",0,Inventory!M3:M77)*IF(Inventory!N3:N77="",0,Inventory!N3:N77)),0)</f>
        <v>0</v>
      </c>
    </row>
    <row r="19" spans="1:3" ht="18" customHeight="1" x14ac:dyDescent="0.25">
      <c r="A19" s="4" t="s">
        <v>18</v>
      </c>
      <c r="B19" s="5">
        <f>IFERROR(SUMIF(Inventory!A3:A77,A19,Inventory!N3:N77),0)</f>
        <v>22</v>
      </c>
      <c r="C19" s="6">
        <f>IFERROR(SUMPRODUCT((Inventory!A3:A77=A19)*IF(Inventory!M3:M77="",0,Inventory!M3:M77)*IF(Inventory!N3:N77="",0,Inventory!N3:N77)),0)</f>
        <v>0</v>
      </c>
    </row>
    <row r="20" spans="1:3" ht="18" customHeight="1" x14ac:dyDescent="0.25">
      <c r="A20" s="4" t="s">
        <v>19</v>
      </c>
      <c r="B20" s="5">
        <f>IFERROR(SUMIF(Inventory!A3:A77,A20,Inventory!N3:N77),0)</f>
        <v>0</v>
      </c>
      <c r="C20" s="6">
        <f>IFERROR(SUMPRODUCT((Inventory!A3:A77=A20)*IF(Inventory!M3:M77="",0,Inventory!M3:M77)*IF(Inventory!N3:N77="",0,Inventory!N3:N77)),0)</f>
        <v>0</v>
      </c>
    </row>
    <row r="21" spans="1:3" ht="18" customHeight="1" x14ac:dyDescent="0.25">
      <c r="A21" s="4" t="s">
        <v>20</v>
      </c>
      <c r="B21" s="5">
        <f>IFERROR(SUMIF(Inventory!A3:A77,A21,Inventory!N3:N77),0)</f>
        <v>0</v>
      </c>
      <c r="C21" s="6">
        <f>IFERROR(SUMPRODUCT((Inventory!A3:A77=A21)*IF(Inventory!M3:M77="",0,Inventory!M3:M77)*IF(Inventory!N3:N77="",0,Inventory!N3:N77)),0)</f>
        <v>0</v>
      </c>
    </row>
  </sheetData>
  <mergeCells count="7">
    <mergeCell ref="B6:C6"/>
    <mergeCell ref="B7:C7"/>
    <mergeCell ref="B5:C5"/>
    <mergeCell ref="A1:F1"/>
    <mergeCell ref="A9:F9"/>
    <mergeCell ref="A3:F3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Y77"/>
  <sheetViews>
    <sheetView tabSelected="1" workbookViewId="0">
      <pane xSplit="2" ySplit="2" topLeftCell="P3" activePane="bottomRight" state="frozen"/>
      <selection pane="topRight"/>
      <selection pane="bottomLeft"/>
      <selection pane="bottomRight" activeCell="U5" sqref="U5"/>
    </sheetView>
  </sheetViews>
  <sheetFormatPr defaultRowHeight="15" x14ac:dyDescent="0.25"/>
  <cols>
    <col min="1" max="1" width="16" customWidth="1"/>
    <col min="2" max="2" width="18" customWidth="1"/>
    <col min="3" max="3" width="14" customWidth="1"/>
    <col min="4" max="4" width="24" customWidth="1"/>
    <col min="5" max="5" width="18" customWidth="1"/>
    <col min="6" max="7" width="10" customWidth="1"/>
    <col min="8" max="8" width="9" customWidth="1"/>
    <col min="9" max="9" width="18" customWidth="1"/>
    <col min="10" max="10" width="14" customWidth="1"/>
    <col min="11" max="11" width="20" customWidth="1"/>
    <col min="12" max="13" width="12" customWidth="1"/>
    <col min="14" max="14" width="16" customWidth="1"/>
    <col min="15" max="16" width="14" customWidth="1"/>
    <col min="17" max="17" width="12" customWidth="1"/>
    <col min="18" max="19" width="14" customWidth="1"/>
    <col min="20" max="20" width="12" customWidth="1"/>
    <col min="21" max="21" width="14" customWidth="1"/>
    <col min="22" max="22" width="16" customWidth="1"/>
    <col min="23" max="23" width="14" customWidth="1"/>
    <col min="24" max="24" width="220.85546875" bestFit="1" customWidth="1"/>
    <col min="25" max="25" width="14" customWidth="1"/>
  </cols>
  <sheetData>
    <row r="1" spans="1:25" ht="26.1" customHeight="1" x14ac:dyDescent="0.25">
      <c r="A1" s="34" t="s">
        <v>21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27.95" customHeight="1" x14ac:dyDescent="0.25">
      <c r="A2" s="3" t="s">
        <v>7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  <c r="X2" s="3" t="s">
        <v>44</v>
      </c>
      <c r="Y2" s="3" t="s">
        <v>9</v>
      </c>
    </row>
    <row r="3" spans="1:25" ht="20.100000000000001" customHeight="1" x14ac:dyDescent="0.25">
      <c r="A3" s="4" t="s">
        <v>18</v>
      </c>
      <c r="B3" s="7" t="s">
        <v>45</v>
      </c>
      <c r="C3" s="4" t="s">
        <v>46</v>
      </c>
      <c r="D3" s="4" t="s">
        <v>47</v>
      </c>
      <c r="E3" s="4" t="s">
        <v>48</v>
      </c>
      <c r="F3" s="8"/>
      <c r="G3" s="4" t="s">
        <v>49</v>
      </c>
      <c r="H3" s="7" t="s">
        <v>50</v>
      </c>
      <c r="I3" s="4"/>
      <c r="J3" s="4"/>
      <c r="K3" s="4"/>
      <c r="L3" s="9"/>
      <c r="M3" s="9"/>
      <c r="N3" s="5">
        <v>1</v>
      </c>
      <c r="O3" s="7" t="str">
        <f>IF(OR(N3="",Config!$B$3=""),"",IF(N3&lt;=Config!$B$3,"⚠ REORDER",""))</f>
        <v>⚠ REORDER</v>
      </c>
      <c r="P3" s="7" t="s">
        <v>51</v>
      </c>
      <c r="Q3" s="7" t="s">
        <v>52</v>
      </c>
      <c r="R3" s="7" t="s">
        <v>53</v>
      </c>
      <c r="S3" s="4"/>
      <c r="T3" s="7" t="s">
        <v>54</v>
      </c>
      <c r="U3" s="5">
        <v>1000</v>
      </c>
      <c r="V3" s="5">
        <v>102</v>
      </c>
      <c r="W3" s="10">
        <f t="shared" ref="W3:W34" si="0">IF(V3="","",IF(U3="","",V3/U3))</f>
        <v>0.10199999999999999</v>
      </c>
      <c r="X3" s="4" t="s">
        <v>55</v>
      </c>
      <c r="Y3" s="9">
        <f t="shared" ref="Y3:Y34" si="1">IF(OR(M3="",N3=""),0,M3*N3)</f>
        <v>0</v>
      </c>
    </row>
    <row r="4" spans="1:25" ht="20.100000000000001" customHeight="1" x14ac:dyDescent="0.25">
      <c r="A4" s="4" t="s">
        <v>11</v>
      </c>
      <c r="B4" s="7" t="s">
        <v>56</v>
      </c>
      <c r="C4" s="4" t="s">
        <v>57</v>
      </c>
      <c r="D4" s="4" t="s">
        <v>57</v>
      </c>
      <c r="E4" s="4" t="s">
        <v>58</v>
      </c>
      <c r="F4" s="11"/>
      <c r="G4" s="4" t="s">
        <v>59</v>
      </c>
      <c r="H4" s="7" t="s">
        <v>50</v>
      </c>
      <c r="I4" s="4"/>
      <c r="J4" s="4"/>
      <c r="K4" s="4"/>
      <c r="L4" s="9"/>
      <c r="M4" s="9"/>
      <c r="N4" s="5">
        <v>1</v>
      </c>
      <c r="O4" s="7" t="str">
        <f>IF(OR(N4="",Config!$B$3=""),"",IF(N4&lt;=Config!$B$3,"⚠ REORDER",""))</f>
        <v>⚠ REORDER</v>
      </c>
      <c r="P4" s="7" t="s">
        <v>51</v>
      </c>
      <c r="Q4" s="7" t="s">
        <v>52</v>
      </c>
      <c r="R4" s="7" t="s">
        <v>53</v>
      </c>
      <c r="S4" s="4"/>
      <c r="T4" s="7" t="s">
        <v>54</v>
      </c>
      <c r="U4" s="5">
        <v>970</v>
      </c>
      <c r="V4" s="5"/>
      <c r="W4" s="10" t="str">
        <f t="shared" si="0"/>
        <v/>
      </c>
      <c r="X4" s="4"/>
      <c r="Y4" s="9">
        <f t="shared" si="1"/>
        <v>0</v>
      </c>
    </row>
    <row r="5" spans="1:25" ht="20.100000000000001" customHeight="1" x14ac:dyDescent="0.25">
      <c r="A5" s="4" t="s">
        <v>11</v>
      </c>
      <c r="B5" s="7" t="s">
        <v>56</v>
      </c>
      <c r="C5" s="4" t="s">
        <v>57</v>
      </c>
      <c r="D5" s="4" t="s">
        <v>57</v>
      </c>
      <c r="E5" s="4" t="s">
        <v>58</v>
      </c>
      <c r="F5" s="11"/>
      <c r="G5" s="4" t="s">
        <v>59</v>
      </c>
      <c r="H5" s="7" t="s">
        <v>50</v>
      </c>
      <c r="I5" s="4"/>
      <c r="J5" s="4"/>
      <c r="K5" s="4"/>
      <c r="L5" s="9"/>
      <c r="M5" s="9"/>
      <c r="N5" s="5">
        <v>2</v>
      </c>
      <c r="O5" s="7" t="str">
        <f>IF(OR(N5="",Config!$B$3=""),"",IF(N5&lt;=Config!$B$3,"⚠ REORDER",""))</f>
        <v/>
      </c>
      <c r="P5" s="7" t="s">
        <v>60</v>
      </c>
      <c r="Q5" s="7" t="s">
        <v>61</v>
      </c>
      <c r="R5" s="7" t="s">
        <v>53</v>
      </c>
      <c r="S5" s="4"/>
      <c r="T5" s="7" t="s">
        <v>62</v>
      </c>
      <c r="U5" s="5">
        <v>1000</v>
      </c>
      <c r="V5" s="5"/>
      <c r="W5" s="10" t="str">
        <f t="shared" si="0"/>
        <v/>
      </c>
      <c r="X5" s="4"/>
      <c r="Y5" s="9">
        <f t="shared" si="1"/>
        <v>0</v>
      </c>
    </row>
    <row r="6" spans="1:25" ht="20.100000000000001" customHeight="1" x14ac:dyDescent="0.25">
      <c r="A6" s="4" t="s">
        <v>11</v>
      </c>
      <c r="B6" s="7" t="s">
        <v>63</v>
      </c>
      <c r="C6" s="4" t="s">
        <v>57</v>
      </c>
      <c r="D6" s="4" t="s">
        <v>57</v>
      </c>
      <c r="E6" s="4" t="s">
        <v>64</v>
      </c>
      <c r="F6" s="12"/>
      <c r="G6" s="4" t="s">
        <v>65</v>
      </c>
      <c r="H6" s="7" t="s">
        <v>50</v>
      </c>
      <c r="I6" s="4"/>
      <c r="J6" s="4"/>
      <c r="K6" s="4"/>
      <c r="L6" s="9"/>
      <c r="M6" s="9"/>
      <c r="N6" s="5">
        <v>1</v>
      </c>
      <c r="O6" s="7" t="str">
        <f>IF(OR(N6="",Config!$B$3=""),"",IF(N6&lt;=Config!$B$3,"⚠ REORDER",""))</f>
        <v>⚠ REORDER</v>
      </c>
      <c r="P6" s="7" t="s">
        <v>60</v>
      </c>
      <c r="Q6" s="7" t="s">
        <v>61</v>
      </c>
      <c r="R6" s="7" t="s">
        <v>53</v>
      </c>
      <c r="S6" s="4"/>
      <c r="T6" s="7" t="s">
        <v>62</v>
      </c>
      <c r="U6" s="5">
        <v>1000</v>
      </c>
      <c r="V6" s="5"/>
      <c r="W6" s="10" t="str">
        <f t="shared" si="0"/>
        <v/>
      </c>
      <c r="X6" s="4"/>
      <c r="Y6" s="9">
        <f t="shared" si="1"/>
        <v>0</v>
      </c>
    </row>
    <row r="7" spans="1:25" ht="20.100000000000001" customHeight="1" x14ac:dyDescent="0.25">
      <c r="A7" s="4" t="s">
        <v>11</v>
      </c>
      <c r="B7" s="7" t="s">
        <v>66</v>
      </c>
      <c r="C7" s="4" t="s">
        <v>57</v>
      </c>
      <c r="D7" s="4" t="s">
        <v>57</v>
      </c>
      <c r="E7" s="4" t="s">
        <v>67</v>
      </c>
      <c r="F7" s="13"/>
      <c r="G7" s="4" t="s">
        <v>68</v>
      </c>
      <c r="H7" s="7" t="s">
        <v>50</v>
      </c>
      <c r="I7" s="4"/>
      <c r="J7" s="4"/>
      <c r="K7" s="4"/>
      <c r="L7" s="9"/>
      <c r="M7" s="9"/>
      <c r="N7" s="5">
        <v>2</v>
      </c>
      <c r="O7" s="7" t="str">
        <f>IF(OR(N7="",Config!$B$3=""),"",IF(N7&lt;=Config!$B$3,"⚠ REORDER",""))</f>
        <v/>
      </c>
      <c r="P7" s="7" t="s">
        <v>60</v>
      </c>
      <c r="Q7" s="7" t="s">
        <v>61</v>
      </c>
      <c r="R7" s="7" t="s">
        <v>53</v>
      </c>
      <c r="S7" s="4"/>
      <c r="T7" s="7" t="s">
        <v>62</v>
      </c>
      <c r="U7" s="5">
        <v>1000</v>
      </c>
      <c r="V7" s="5"/>
      <c r="W7" s="10" t="str">
        <f t="shared" si="0"/>
        <v/>
      </c>
      <c r="X7" s="4"/>
      <c r="Y7" s="9">
        <f t="shared" si="1"/>
        <v>0</v>
      </c>
    </row>
    <row r="8" spans="1:25" ht="20.100000000000001" customHeight="1" x14ac:dyDescent="0.25">
      <c r="A8" s="4" t="s">
        <v>11</v>
      </c>
      <c r="B8" s="7" t="s">
        <v>69</v>
      </c>
      <c r="C8" s="4" t="s">
        <v>57</v>
      </c>
      <c r="D8" s="4" t="s">
        <v>57</v>
      </c>
      <c r="E8" s="4" t="s">
        <v>70</v>
      </c>
      <c r="F8" s="14"/>
      <c r="G8" s="4" t="s">
        <v>71</v>
      </c>
      <c r="H8" s="7" t="s">
        <v>50</v>
      </c>
      <c r="I8" s="4"/>
      <c r="J8" s="4"/>
      <c r="K8" s="4"/>
      <c r="L8" s="9"/>
      <c r="M8" s="9"/>
      <c r="N8" s="5">
        <v>1</v>
      </c>
      <c r="O8" s="7" t="str">
        <f>IF(OR(N8="",Config!$B$3=""),"",IF(N8&lt;=Config!$B$3,"⚠ REORDER",""))</f>
        <v>⚠ REORDER</v>
      </c>
      <c r="P8" s="7" t="s">
        <v>60</v>
      </c>
      <c r="Q8" s="7" t="s">
        <v>61</v>
      </c>
      <c r="R8" s="7" t="s">
        <v>53</v>
      </c>
      <c r="S8" s="4"/>
      <c r="T8" s="7" t="s">
        <v>62</v>
      </c>
      <c r="U8" s="5">
        <v>1000</v>
      </c>
      <c r="V8" s="5"/>
      <c r="W8" s="10" t="str">
        <f t="shared" si="0"/>
        <v/>
      </c>
      <c r="X8" s="4"/>
      <c r="Y8" s="9">
        <f t="shared" si="1"/>
        <v>0</v>
      </c>
    </row>
    <row r="9" spans="1:25" ht="20.100000000000001" customHeight="1" x14ac:dyDescent="0.25">
      <c r="A9" s="4" t="s">
        <v>11</v>
      </c>
      <c r="B9" s="7" t="s">
        <v>72</v>
      </c>
      <c r="C9" s="4" t="s">
        <v>57</v>
      </c>
      <c r="D9" s="4" t="s">
        <v>57</v>
      </c>
      <c r="E9" s="4" t="s">
        <v>73</v>
      </c>
      <c r="F9" s="15"/>
      <c r="G9" s="4" t="s">
        <v>74</v>
      </c>
      <c r="H9" s="7" t="s">
        <v>50</v>
      </c>
      <c r="I9" s="4"/>
      <c r="J9" s="4"/>
      <c r="K9" s="4"/>
      <c r="L9" s="9"/>
      <c r="M9" s="9"/>
      <c r="N9" s="5">
        <v>1</v>
      </c>
      <c r="O9" s="7" t="str">
        <f>IF(OR(N9="",Config!$B$3=""),"",IF(N9&lt;=Config!$B$3,"⚠ REORDER",""))</f>
        <v>⚠ REORDER</v>
      </c>
      <c r="P9" s="7" t="s">
        <v>60</v>
      </c>
      <c r="Q9" s="7" t="s">
        <v>61</v>
      </c>
      <c r="R9" s="7" t="s">
        <v>53</v>
      </c>
      <c r="S9" s="4"/>
      <c r="T9" s="7" t="s">
        <v>62</v>
      </c>
      <c r="U9" s="5">
        <v>1000</v>
      </c>
      <c r="V9" s="5"/>
      <c r="W9" s="10" t="str">
        <f t="shared" si="0"/>
        <v/>
      </c>
      <c r="X9" s="4"/>
      <c r="Y9" s="9">
        <f t="shared" si="1"/>
        <v>0</v>
      </c>
    </row>
    <row r="10" spans="1:25" ht="20.100000000000001" customHeight="1" x14ac:dyDescent="0.25">
      <c r="A10" s="4" t="s">
        <v>11</v>
      </c>
      <c r="B10" s="7" t="s">
        <v>75</v>
      </c>
      <c r="C10" s="4" t="s">
        <v>57</v>
      </c>
      <c r="D10" s="4" t="s">
        <v>57</v>
      </c>
      <c r="E10" s="4" t="s">
        <v>76</v>
      </c>
      <c r="F10" s="16"/>
      <c r="G10" s="4" t="s">
        <v>77</v>
      </c>
      <c r="H10" s="7" t="s">
        <v>50</v>
      </c>
      <c r="I10" s="4"/>
      <c r="J10" s="4"/>
      <c r="K10" s="4"/>
      <c r="L10" s="9"/>
      <c r="M10" s="9"/>
      <c r="N10" s="5">
        <v>1</v>
      </c>
      <c r="O10" s="7" t="str">
        <f>IF(OR(N10="",Config!$B$3=""),"",IF(N10&lt;=Config!$B$3,"⚠ REORDER",""))</f>
        <v>⚠ REORDER</v>
      </c>
      <c r="P10" s="7" t="s">
        <v>60</v>
      </c>
      <c r="Q10" s="7" t="s">
        <v>61</v>
      </c>
      <c r="R10" s="7" t="s">
        <v>53</v>
      </c>
      <c r="S10" s="4"/>
      <c r="T10" s="7" t="s">
        <v>62</v>
      </c>
      <c r="U10" s="5">
        <v>1000</v>
      </c>
      <c r="V10" s="5"/>
      <c r="W10" s="10" t="str">
        <f t="shared" si="0"/>
        <v/>
      </c>
      <c r="X10" s="4"/>
      <c r="Y10" s="9">
        <f t="shared" si="1"/>
        <v>0</v>
      </c>
    </row>
    <row r="11" spans="1:25" ht="20.100000000000001" customHeight="1" x14ac:dyDescent="0.25">
      <c r="A11" s="4" t="s">
        <v>11</v>
      </c>
      <c r="B11" s="7" t="s">
        <v>78</v>
      </c>
      <c r="C11" s="4" t="s">
        <v>57</v>
      </c>
      <c r="D11" s="4" t="s">
        <v>57</v>
      </c>
      <c r="E11" s="4" t="s">
        <v>79</v>
      </c>
      <c r="F11" s="17"/>
      <c r="G11" s="4" t="s">
        <v>80</v>
      </c>
      <c r="H11" s="7" t="s">
        <v>50</v>
      </c>
      <c r="I11" s="4"/>
      <c r="J11" s="4"/>
      <c r="K11" s="4"/>
      <c r="L11" s="9"/>
      <c r="M11" s="9"/>
      <c r="N11" s="5">
        <v>1</v>
      </c>
      <c r="O11" s="7" t="str">
        <f>IF(OR(N11="",Config!$B$3=""),"",IF(N11&lt;=Config!$B$3,"⚠ REORDER",""))</f>
        <v>⚠ REORDER</v>
      </c>
      <c r="P11" s="7" t="s">
        <v>60</v>
      </c>
      <c r="Q11" s="7" t="s">
        <v>61</v>
      </c>
      <c r="R11" s="7" t="s">
        <v>53</v>
      </c>
      <c r="S11" s="4"/>
      <c r="T11" s="7" t="s">
        <v>62</v>
      </c>
      <c r="U11" s="5">
        <v>1000</v>
      </c>
      <c r="V11" s="5"/>
      <c r="W11" s="10" t="str">
        <f t="shared" si="0"/>
        <v/>
      </c>
      <c r="X11" s="4"/>
      <c r="Y11" s="9">
        <f t="shared" si="1"/>
        <v>0</v>
      </c>
    </row>
    <row r="12" spans="1:25" ht="20.100000000000001" customHeight="1" x14ac:dyDescent="0.25">
      <c r="A12" s="4" t="s">
        <v>11</v>
      </c>
      <c r="B12" s="7" t="s">
        <v>81</v>
      </c>
      <c r="C12" s="4" t="s">
        <v>57</v>
      </c>
      <c r="D12" s="4" t="s">
        <v>57</v>
      </c>
      <c r="E12" s="4" t="s">
        <v>82</v>
      </c>
      <c r="F12" s="18"/>
      <c r="G12" s="4" t="s">
        <v>83</v>
      </c>
      <c r="H12" s="7" t="s">
        <v>50</v>
      </c>
      <c r="I12" s="4"/>
      <c r="J12" s="4"/>
      <c r="K12" s="4"/>
      <c r="L12" s="9"/>
      <c r="M12" s="9"/>
      <c r="N12" s="5">
        <v>1</v>
      </c>
      <c r="O12" s="7" t="str">
        <f>IF(OR(N12="",Config!$B$3=""),"",IF(N12&lt;=Config!$B$3,"⚠ REORDER",""))</f>
        <v>⚠ REORDER</v>
      </c>
      <c r="P12" s="7" t="s">
        <v>60</v>
      </c>
      <c r="Q12" s="7" t="s">
        <v>61</v>
      </c>
      <c r="R12" s="7" t="s">
        <v>53</v>
      </c>
      <c r="S12" s="4"/>
      <c r="T12" s="7" t="s">
        <v>62</v>
      </c>
      <c r="U12" s="5">
        <v>1000</v>
      </c>
      <c r="V12" s="5"/>
      <c r="W12" s="10" t="str">
        <f t="shared" si="0"/>
        <v/>
      </c>
      <c r="X12" s="4"/>
      <c r="Y12" s="9">
        <f t="shared" si="1"/>
        <v>0</v>
      </c>
    </row>
    <row r="13" spans="1:25" ht="20.100000000000001" customHeight="1" x14ac:dyDescent="0.25">
      <c r="A13" s="4" t="s">
        <v>11</v>
      </c>
      <c r="B13" s="7" t="s">
        <v>84</v>
      </c>
      <c r="C13" s="4" t="s">
        <v>57</v>
      </c>
      <c r="D13" s="4" t="s">
        <v>57</v>
      </c>
      <c r="E13" s="4" t="s">
        <v>85</v>
      </c>
      <c r="F13" s="19"/>
      <c r="G13" s="4" t="s">
        <v>86</v>
      </c>
      <c r="H13" s="7" t="s">
        <v>50</v>
      </c>
      <c r="I13" s="4"/>
      <c r="J13" s="4"/>
      <c r="K13" s="4"/>
      <c r="L13" s="9"/>
      <c r="M13" s="9"/>
      <c r="N13" s="5">
        <v>1</v>
      </c>
      <c r="O13" s="7" t="str">
        <f>IF(OR(N13="",Config!$B$3=""),"",IF(N13&lt;=Config!$B$3,"⚠ REORDER",""))</f>
        <v>⚠ REORDER</v>
      </c>
      <c r="P13" s="7" t="s">
        <v>60</v>
      </c>
      <c r="Q13" s="7" t="s">
        <v>61</v>
      </c>
      <c r="R13" s="7" t="s">
        <v>53</v>
      </c>
      <c r="S13" s="4"/>
      <c r="T13" s="7" t="s">
        <v>62</v>
      </c>
      <c r="U13" s="5">
        <v>1000</v>
      </c>
      <c r="V13" s="5"/>
      <c r="W13" s="10" t="str">
        <f t="shared" si="0"/>
        <v/>
      </c>
      <c r="X13" s="4"/>
      <c r="Y13" s="9">
        <f t="shared" si="1"/>
        <v>0</v>
      </c>
    </row>
    <row r="14" spans="1:25" ht="20.100000000000001" customHeight="1" x14ac:dyDescent="0.25">
      <c r="A14" s="4" t="s">
        <v>11</v>
      </c>
      <c r="B14" s="7" t="s">
        <v>87</v>
      </c>
      <c r="C14" s="4" t="s">
        <v>57</v>
      </c>
      <c r="D14" s="4" t="s">
        <v>57</v>
      </c>
      <c r="E14" s="4" t="s">
        <v>88</v>
      </c>
      <c r="F14" s="20"/>
      <c r="G14" s="4" t="s">
        <v>89</v>
      </c>
      <c r="H14" s="7" t="s">
        <v>50</v>
      </c>
      <c r="I14" s="4"/>
      <c r="J14" s="4"/>
      <c r="K14" s="4"/>
      <c r="L14" s="9"/>
      <c r="M14" s="9"/>
      <c r="N14" s="5">
        <v>1</v>
      </c>
      <c r="O14" s="7" t="str">
        <f>IF(OR(N14="",Config!$B$3=""),"",IF(N14&lt;=Config!$B$3,"⚠ REORDER",""))</f>
        <v>⚠ REORDER</v>
      </c>
      <c r="P14" s="7" t="s">
        <v>60</v>
      </c>
      <c r="Q14" s="7" t="s">
        <v>61</v>
      </c>
      <c r="R14" s="7" t="s">
        <v>53</v>
      </c>
      <c r="S14" s="4"/>
      <c r="T14" s="7" t="s">
        <v>62</v>
      </c>
      <c r="U14" s="5">
        <v>1000</v>
      </c>
      <c r="V14" s="5"/>
      <c r="W14" s="10" t="str">
        <f t="shared" si="0"/>
        <v/>
      </c>
      <c r="X14" s="4"/>
      <c r="Y14" s="9">
        <f t="shared" si="1"/>
        <v>0</v>
      </c>
    </row>
    <row r="15" spans="1:25" ht="20.100000000000001" customHeight="1" x14ac:dyDescent="0.25">
      <c r="A15" s="4" t="s">
        <v>11</v>
      </c>
      <c r="B15" s="7" t="s">
        <v>90</v>
      </c>
      <c r="C15" s="4" t="s">
        <v>57</v>
      </c>
      <c r="D15" s="4" t="s">
        <v>57</v>
      </c>
      <c r="E15" s="4" t="s">
        <v>91</v>
      </c>
      <c r="F15" s="21"/>
      <c r="G15" s="4" t="s">
        <v>92</v>
      </c>
      <c r="H15" s="7" t="s">
        <v>50</v>
      </c>
      <c r="I15" s="4"/>
      <c r="J15" s="4"/>
      <c r="K15" s="4"/>
      <c r="L15" s="9"/>
      <c r="M15" s="9"/>
      <c r="N15" s="5">
        <v>1</v>
      </c>
      <c r="O15" s="7" t="str">
        <f>IF(OR(N15="",Config!$B$3=""),"",IF(N15&lt;=Config!$B$3,"⚠ REORDER",""))</f>
        <v>⚠ REORDER</v>
      </c>
      <c r="P15" s="7" t="s">
        <v>60</v>
      </c>
      <c r="Q15" s="7" t="s">
        <v>61</v>
      </c>
      <c r="R15" s="7" t="s">
        <v>53</v>
      </c>
      <c r="S15" s="4"/>
      <c r="T15" s="7" t="s">
        <v>62</v>
      </c>
      <c r="U15" s="5">
        <v>1000</v>
      </c>
      <c r="V15" s="5"/>
      <c r="W15" s="10" t="str">
        <f t="shared" si="0"/>
        <v/>
      </c>
      <c r="X15" s="4"/>
      <c r="Y15" s="9">
        <f t="shared" si="1"/>
        <v>0</v>
      </c>
    </row>
    <row r="16" spans="1:25" ht="20.100000000000001" customHeight="1" x14ac:dyDescent="0.25">
      <c r="A16" s="4" t="s">
        <v>11</v>
      </c>
      <c r="B16" s="7" t="s">
        <v>93</v>
      </c>
      <c r="C16" s="4" t="s">
        <v>94</v>
      </c>
      <c r="D16" s="4" t="s">
        <v>94</v>
      </c>
      <c r="E16" s="4" t="s">
        <v>95</v>
      </c>
      <c r="F16" s="22"/>
      <c r="G16" s="4" t="s">
        <v>96</v>
      </c>
      <c r="H16" s="7" t="s">
        <v>50</v>
      </c>
      <c r="I16" s="4"/>
      <c r="J16" s="4"/>
      <c r="K16" s="4"/>
      <c r="L16" s="9"/>
      <c r="M16" s="9"/>
      <c r="N16" s="5">
        <v>1</v>
      </c>
      <c r="O16" s="7" t="str">
        <f>IF(OR(N16="",Config!$B$3=""),"",IF(N16&lt;=Config!$B$3,"⚠ REORDER",""))</f>
        <v>⚠ REORDER</v>
      </c>
      <c r="P16" s="7" t="s">
        <v>60</v>
      </c>
      <c r="Q16" s="7" t="s">
        <v>61</v>
      </c>
      <c r="R16" s="7" t="s">
        <v>53</v>
      </c>
      <c r="S16" s="4"/>
      <c r="T16" s="7" t="s">
        <v>54</v>
      </c>
      <c r="U16" s="5">
        <v>1000</v>
      </c>
      <c r="V16" s="5"/>
      <c r="W16" s="10" t="str">
        <f t="shared" si="0"/>
        <v/>
      </c>
      <c r="X16" s="4"/>
      <c r="Y16" s="9">
        <f t="shared" si="1"/>
        <v>0</v>
      </c>
    </row>
    <row r="17" spans="1:25" ht="20.100000000000001" customHeight="1" x14ac:dyDescent="0.25">
      <c r="A17" s="4" t="s">
        <v>11</v>
      </c>
      <c r="B17" s="7" t="s">
        <v>97</v>
      </c>
      <c r="C17" s="4" t="s">
        <v>94</v>
      </c>
      <c r="D17" s="4" t="s">
        <v>94</v>
      </c>
      <c r="E17" s="4" t="s">
        <v>48</v>
      </c>
      <c r="F17" s="23"/>
      <c r="G17" s="4" t="s">
        <v>98</v>
      </c>
      <c r="H17" s="7" t="s">
        <v>50</v>
      </c>
      <c r="I17" s="4"/>
      <c r="J17" s="4"/>
      <c r="K17" s="4"/>
      <c r="L17" s="9"/>
      <c r="M17" s="9"/>
      <c r="N17" s="5">
        <v>1</v>
      </c>
      <c r="O17" s="7" t="str">
        <f>IF(OR(N17="",Config!$B$3=""),"",IF(N17&lt;=Config!$B$3,"⚠ REORDER",""))</f>
        <v>⚠ REORDER</v>
      </c>
      <c r="P17" s="7" t="s">
        <v>60</v>
      </c>
      <c r="Q17" s="7" t="s">
        <v>61</v>
      </c>
      <c r="R17" s="7" t="s">
        <v>53</v>
      </c>
      <c r="S17" s="4"/>
      <c r="T17" s="7" t="s">
        <v>54</v>
      </c>
      <c r="U17" s="5">
        <v>1000</v>
      </c>
      <c r="V17" s="5"/>
      <c r="W17" s="10" t="str">
        <f t="shared" si="0"/>
        <v/>
      </c>
      <c r="X17" s="4"/>
      <c r="Y17" s="9">
        <f t="shared" si="1"/>
        <v>0</v>
      </c>
    </row>
    <row r="18" spans="1:25" ht="20.100000000000001" customHeight="1" x14ac:dyDescent="0.25">
      <c r="A18" s="4" t="s">
        <v>18</v>
      </c>
      <c r="B18" s="7" t="s">
        <v>99</v>
      </c>
      <c r="C18" s="4" t="s">
        <v>46</v>
      </c>
      <c r="D18" s="4" t="s">
        <v>47</v>
      </c>
      <c r="E18" s="4" t="s">
        <v>100</v>
      </c>
      <c r="F18" s="24"/>
      <c r="G18" s="4" t="s">
        <v>101</v>
      </c>
      <c r="H18" s="7" t="s">
        <v>50</v>
      </c>
      <c r="I18" s="4"/>
      <c r="J18" s="4"/>
      <c r="K18" s="4"/>
      <c r="L18" s="9"/>
      <c r="M18" s="9"/>
      <c r="N18" s="5">
        <v>3</v>
      </c>
      <c r="O18" s="7" t="str">
        <f>IF(OR(N18="",Config!$B$3=""),"",IF(N18&lt;=Config!$B$3,"⚠ REORDER",""))</f>
        <v/>
      </c>
      <c r="P18" s="7" t="s">
        <v>60</v>
      </c>
      <c r="Q18" s="7" t="s">
        <v>61</v>
      </c>
      <c r="R18" s="7" t="s">
        <v>53</v>
      </c>
      <c r="S18" s="4"/>
      <c r="T18" s="7" t="s">
        <v>54</v>
      </c>
      <c r="U18" s="5">
        <v>1000</v>
      </c>
      <c r="V18" s="5"/>
      <c r="W18" s="10" t="str">
        <f t="shared" si="0"/>
        <v/>
      </c>
      <c r="X18" s="4" t="s">
        <v>102</v>
      </c>
      <c r="Y18" s="9">
        <f t="shared" si="1"/>
        <v>0</v>
      </c>
    </row>
    <row r="19" spans="1:25" ht="20.100000000000001" customHeight="1" x14ac:dyDescent="0.25">
      <c r="A19" s="4" t="s">
        <v>18</v>
      </c>
      <c r="B19" s="7" t="s">
        <v>103</v>
      </c>
      <c r="C19" s="4" t="s">
        <v>46</v>
      </c>
      <c r="D19" s="4" t="s">
        <v>47</v>
      </c>
      <c r="E19" s="4" t="s">
        <v>104</v>
      </c>
      <c r="F19" s="25"/>
      <c r="G19" s="4" t="s">
        <v>105</v>
      </c>
      <c r="H19" s="7" t="s">
        <v>50</v>
      </c>
      <c r="I19" s="4"/>
      <c r="J19" s="4"/>
      <c r="K19" s="4"/>
      <c r="L19" s="9"/>
      <c r="M19" s="9"/>
      <c r="N19" s="5">
        <v>2</v>
      </c>
      <c r="O19" s="7" t="str">
        <f>IF(OR(N19="",Config!$B$3=""),"",IF(N19&lt;=Config!$B$3,"⚠ REORDER",""))</f>
        <v/>
      </c>
      <c r="P19" s="7" t="s">
        <v>60</v>
      </c>
      <c r="Q19" s="7" t="s">
        <v>61</v>
      </c>
      <c r="R19" s="7" t="s">
        <v>53</v>
      </c>
      <c r="S19" s="4"/>
      <c r="T19" s="7" t="s">
        <v>54</v>
      </c>
      <c r="U19" s="5">
        <v>1000</v>
      </c>
      <c r="V19" s="5"/>
      <c r="W19" s="10" t="str">
        <f t="shared" si="0"/>
        <v/>
      </c>
      <c r="X19" s="4"/>
      <c r="Y19" s="9">
        <f t="shared" si="1"/>
        <v>0</v>
      </c>
    </row>
    <row r="20" spans="1:25" ht="20.100000000000001" customHeight="1" x14ac:dyDescent="0.25">
      <c r="A20" s="4" t="s">
        <v>18</v>
      </c>
      <c r="B20" s="7" t="s">
        <v>106</v>
      </c>
      <c r="C20" s="4" t="s">
        <v>46</v>
      </c>
      <c r="D20" s="4" t="s">
        <v>47</v>
      </c>
      <c r="E20" s="4" t="s">
        <v>107</v>
      </c>
      <c r="F20" s="26"/>
      <c r="G20" s="4" t="s">
        <v>108</v>
      </c>
      <c r="H20" s="7" t="s">
        <v>50</v>
      </c>
      <c r="I20" s="4"/>
      <c r="J20" s="4"/>
      <c r="K20" s="4"/>
      <c r="L20" s="9"/>
      <c r="M20" s="9"/>
      <c r="N20" s="5">
        <v>2</v>
      </c>
      <c r="O20" s="7" t="str">
        <f>IF(OR(N20="",Config!$B$3=""),"",IF(N20&lt;=Config!$B$3,"⚠ REORDER",""))</f>
        <v/>
      </c>
      <c r="P20" s="7" t="s">
        <v>60</v>
      </c>
      <c r="Q20" s="7" t="s">
        <v>61</v>
      </c>
      <c r="R20" s="7" t="s">
        <v>53</v>
      </c>
      <c r="S20" s="4"/>
      <c r="T20" s="7" t="s">
        <v>54</v>
      </c>
      <c r="U20" s="5">
        <v>1000</v>
      </c>
      <c r="V20" s="5"/>
      <c r="W20" s="10" t="str">
        <f t="shared" si="0"/>
        <v/>
      </c>
      <c r="X20" s="4"/>
      <c r="Y20" s="9">
        <f t="shared" si="1"/>
        <v>0</v>
      </c>
    </row>
    <row r="21" spans="1:25" ht="20.100000000000001" customHeight="1" x14ac:dyDescent="0.25">
      <c r="A21" s="4" t="s">
        <v>18</v>
      </c>
      <c r="B21" s="7" t="s">
        <v>109</v>
      </c>
      <c r="C21" s="4" t="s">
        <v>46</v>
      </c>
      <c r="D21" s="4" t="s">
        <v>47</v>
      </c>
      <c r="E21" s="4" t="s">
        <v>110</v>
      </c>
      <c r="F21" s="27"/>
      <c r="G21" s="4" t="s">
        <v>111</v>
      </c>
      <c r="H21" s="7" t="s">
        <v>50</v>
      </c>
      <c r="I21" s="4"/>
      <c r="J21" s="4"/>
      <c r="K21" s="4"/>
      <c r="L21" s="9"/>
      <c r="M21" s="9"/>
      <c r="N21" s="5">
        <v>3</v>
      </c>
      <c r="O21" s="7" t="str">
        <f>IF(OR(N21="",Config!$B$3=""),"",IF(N21&lt;=Config!$B$3,"⚠ REORDER",""))</f>
        <v/>
      </c>
      <c r="P21" s="7" t="s">
        <v>60</v>
      </c>
      <c r="Q21" s="7" t="s">
        <v>61</v>
      </c>
      <c r="R21" s="7" t="s">
        <v>53</v>
      </c>
      <c r="S21" s="4"/>
      <c r="T21" s="7" t="s">
        <v>54</v>
      </c>
      <c r="U21" s="5">
        <v>1000</v>
      </c>
      <c r="V21" s="5"/>
      <c r="W21" s="10" t="str">
        <f t="shared" si="0"/>
        <v/>
      </c>
      <c r="X21" s="4"/>
      <c r="Y21" s="9">
        <f t="shared" si="1"/>
        <v>0</v>
      </c>
    </row>
    <row r="22" spans="1:25" ht="20.100000000000001" customHeight="1" x14ac:dyDescent="0.25">
      <c r="A22" s="4" t="s">
        <v>18</v>
      </c>
      <c r="B22" s="7" t="s">
        <v>112</v>
      </c>
      <c r="C22" s="4" t="s">
        <v>46</v>
      </c>
      <c r="D22" s="4" t="s">
        <v>47</v>
      </c>
      <c r="E22" s="4" t="s">
        <v>113</v>
      </c>
      <c r="F22" s="28"/>
      <c r="G22" s="4" t="s">
        <v>114</v>
      </c>
      <c r="H22" s="7" t="s">
        <v>50</v>
      </c>
      <c r="I22" s="4"/>
      <c r="J22" s="4"/>
      <c r="K22" s="4"/>
      <c r="L22" s="9"/>
      <c r="M22" s="9"/>
      <c r="N22" s="5">
        <v>2</v>
      </c>
      <c r="O22" s="7" t="str">
        <f>IF(OR(N22="",Config!$B$3=""),"",IF(N22&lt;=Config!$B$3,"⚠ REORDER",""))</f>
        <v/>
      </c>
      <c r="P22" s="7" t="s">
        <v>60</v>
      </c>
      <c r="Q22" s="7" t="s">
        <v>61</v>
      </c>
      <c r="R22" s="7" t="s">
        <v>53</v>
      </c>
      <c r="S22" s="4"/>
      <c r="T22" s="7" t="s">
        <v>54</v>
      </c>
      <c r="U22" s="5">
        <v>1000</v>
      </c>
      <c r="V22" s="5"/>
      <c r="W22" s="10" t="str">
        <f t="shared" si="0"/>
        <v/>
      </c>
      <c r="X22" s="4"/>
      <c r="Y22" s="9">
        <f t="shared" si="1"/>
        <v>0</v>
      </c>
    </row>
    <row r="23" spans="1:25" ht="20.100000000000001" customHeight="1" x14ac:dyDescent="0.25">
      <c r="A23" s="4" t="s">
        <v>18</v>
      </c>
      <c r="B23" s="7" t="s">
        <v>45</v>
      </c>
      <c r="C23" s="4" t="s">
        <v>46</v>
      </c>
      <c r="D23" s="4" t="s">
        <v>47</v>
      </c>
      <c r="E23" s="4" t="s">
        <v>48</v>
      </c>
      <c r="F23" s="23"/>
      <c r="G23" s="4" t="s">
        <v>98</v>
      </c>
      <c r="H23" s="7" t="s">
        <v>50</v>
      </c>
      <c r="I23" s="4"/>
      <c r="J23" s="4"/>
      <c r="K23" s="4"/>
      <c r="L23" s="9"/>
      <c r="M23" s="9"/>
      <c r="N23" s="5">
        <v>1</v>
      </c>
      <c r="O23" s="7" t="str">
        <f>IF(OR(N23="",Config!$B$3=""),"",IF(N23&lt;=Config!$B$3,"⚠ REORDER",""))</f>
        <v>⚠ REORDER</v>
      </c>
      <c r="P23" s="7" t="s">
        <v>60</v>
      </c>
      <c r="Q23" s="7" t="s">
        <v>61</v>
      </c>
      <c r="R23" s="7" t="s">
        <v>53</v>
      </c>
      <c r="S23" s="4"/>
      <c r="T23" s="7" t="s">
        <v>54</v>
      </c>
      <c r="U23" s="5">
        <v>1000</v>
      </c>
      <c r="V23" s="5"/>
      <c r="W23" s="10" t="str">
        <f t="shared" si="0"/>
        <v/>
      </c>
      <c r="X23" s="4"/>
      <c r="Y23" s="9">
        <f t="shared" si="1"/>
        <v>0</v>
      </c>
    </row>
    <row r="24" spans="1:25" ht="20.100000000000001" customHeight="1" x14ac:dyDescent="0.25">
      <c r="A24" s="4" t="s">
        <v>18</v>
      </c>
      <c r="B24" s="7" t="s">
        <v>115</v>
      </c>
      <c r="C24" s="4" t="s">
        <v>46</v>
      </c>
      <c r="D24" s="4" t="s">
        <v>47</v>
      </c>
      <c r="E24" s="4" t="s">
        <v>116</v>
      </c>
      <c r="F24" s="29"/>
      <c r="G24" s="4" t="s">
        <v>117</v>
      </c>
      <c r="H24" s="7" t="s">
        <v>50</v>
      </c>
      <c r="I24" s="4"/>
      <c r="J24" s="4"/>
      <c r="K24" s="4"/>
      <c r="L24" s="9"/>
      <c r="M24" s="9"/>
      <c r="N24" s="5">
        <v>1</v>
      </c>
      <c r="O24" s="7" t="str">
        <f>IF(OR(N24="",Config!$B$3=""),"",IF(N24&lt;=Config!$B$3,"⚠ REORDER",""))</f>
        <v>⚠ REORDER</v>
      </c>
      <c r="P24" s="7" t="s">
        <v>60</v>
      </c>
      <c r="Q24" s="7" t="s">
        <v>61</v>
      </c>
      <c r="R24" s="7" t="s">
        <v>53</v>
      </c>
      <c r="S24" s="4"/>
      <c r="T24" s="7" t="s">
        <v>54</v>
      </c>
      <c r="U24" s="5">
        <v>1000</v>
      </c>
      <c r="V24" s="5"/>
      <c r="W24" s="10" t="str">
        <f t="shared" si="0"/>
        <v/>
      </c>
      <c r="X24" s="4"/>
      <c r="Y24" s="9">
        <f t="shared" si="1"/>
        <v>0</v>
      </c>
    </row>
    <row r="25" spans="1:25" ht="20.100000000000001" customHeight="1" x14ac:dyDescent="0.25">
      <c r="A25" s="4" t="s">
        <v>18</v>
      </c>
      <c r="B25" s="7" t="s">
        <v>118</v>
      </c>
      <c r="C25" s="4" t="s">
        <v>119</v>
      </c>
      <c r="D25" s="4" t="s">
        <v>120</v>
      </c>
      <c r="E25" s="4" t="s">
        <v>121</v>
      </c>
      <c r="F25" s="30"/>
      <c r="G25" s="4" t="s">
        <v>122</v>
      </c>
      <c r="H25" s="7" t="s">
        <v>50</v>
      </c>
      <c r="I25" s="4"/>
      <c r="J25" s="4"/>
      <c r="K25" s="4"/>
      <c r="L25" s="9"/>
      <c r="M25" s="9"/>
      <c r="N25" s="5">
        <v>1</v>
      </c>
      <c r="O25" s="7" t="str">
        <f>IF(OR(N25="",Config!$B$3=""),"",IF(N25&lt;=Config!$B$3,"⚠ REORDER",""))</f>
        <v>⚠ REORDER</v>
      </c>
      <c r="P25" s="7" t="s">
        <v>60</v>
      </c>
      <c r="Q25" s="7" t="s">
        <v>61</v>
      </c>
      <c r="R25" s="7" t="s">
        <v>53</v>
      </c>
      <c r="S25" s="4"/>
      <c r="T25" s="7" t="s">
        <v>54</v>
      </c>
      <c r="U25" s="5">
        <v>1000</v>
      </c>
      <c r="V25" s="5"/>
      <c r="W25" s="10" t="str">
        <f t="shared" si="0"/>
        <v/>
      </c>
      <c r="X25" s="4" t="s">
        <v>123</v>
      </c>
      <c r="Y25" s="9">
        <f t="shared" si="1"/>
        <v>0</v>
      </c>
    </row>
    <row r="26" spans="1:25" ht="20.100000000000001" customHeight="1" x14ac:dyDescent="0.25">
      <c r="A26" s="4" t="s">
        <v>18</v>
      </c>
      <c r="B26" s="7" t="s">
        <v>124</v>
      </c>
      <c r="C26" s="4" t="s">
        <v>125</v>
      </c>
      <c r="D26" s="4" t="s">
        <v>126</v>
      </c>
      <c r="E26" s="4" t="s">
        <v>48</v>
      </c>
      <c r="F26" s="23"/>
      <c r="G26" s="4" t="s">
        <v>98</v>
      </c>
      <c r="H26" s="7" t="s">
        <v>50</v>
      </c>
      <c r="I26" s="4"/>
      <c r="J26" s="4"/>
      <c r="K26" s="4"/>
      <c r="L26" s="9"/>
      <c r="M26" s="9">
        <v>16.98</v>
      </c>
      <c r="N26" s="5">
        <v>2</v>
      </c>
      <c r="O26" s="7" t="str">
        <f>IF(OR(N26="",Config!$B$3=""),"",IF(N26&lt;=Config!$B$3,"⚠ REORDER",""))</f>
        <v/>
      </c>
      <c r="P26" s="7" t="s">
        <v>60</v>
      </c>
      <c r="Q26" s="7" t="s">
        <v>61</v>
      </c>
      <c r="R26" s="7" t="s">
        <v>53</v>
      </c>
      <c r="S26" s="4"/>
      <c r="T26" s="7" t="s">
        <v>54</v>
      </c>
      <c r="U26" s="5">
        <v>1000</v>
      </c>
      <c r="V26" s="5"/>
      <c r="W26" s="10" t="str">
        <f t="shared" si="0"/>
        <v/>
      </c>
      <c r="X26" s="4" t="s">
        <v>127</v>
      </c>
      <c r="Y26" s="9">
        <f t="shared" si="1"/>
        <v>33.96</v>
      </c>
    </row>
    <row r="27" spans="1:25" ht="20.100000000000001" customHeight="1" x14ac:dyDescent="0.25">
      <c r="A27" s="4" t="s">
        <v>18</v>
      </c>
      <c r="B27" s="7" t="s">
        <v>128</v>
      </c>
      <c r="C27" s="4" t="s">
        <v>125</v>
      </c>
      <c r="D27" s="4" t="s">
        <v>126</v>
      </c>
      <c r="E27" s="4" t="s">
        <v>104</v>
      </c>
      <c r="F27" s="25"/>
      <c r="G27" s="4" t="s">
        <v>105</v>
      </c>
      <c r="H27" s="7" t="s">
        <v>50</v>
      </c>
      <c r="I27" s="4"/>
      <c r="J27" s="4"/>
      <c r="K27" s="4"/>
      <c r="L27" s="9"/>
      <c r="M27" s="9">
        <v>10.83</v>
      </c>
      <c r="N27" s="5">
        <v>4</v>
      </c>
      <c r="O27" s="7" t="str">
        <f>IF(OR(N27="",Config!$B$3=""),"",IF(N27&lt;=Config!$B$3,"⚠ REORDER",""))</f>
        <v/>
      </c>
      <c r="P27" s="7" t="s">
        <v>60</v>
      </c>
      <c r="Q27" s="7" t="s">
        <v>61</v>
      </c>
      <c r="R27" s="7" t="s">
        <v>53</v>
      </c>
      <c r="S27" s="4"/>
      <c r="T27" s="7" t="s">
        <v>54</v>
      </c>
      <c r="U27" s="5">
        <v>1000</v>
      </c>
      <c r="V27" s="5"/>
      <c r="W27" s="10" t="str">
        <f t="shared" si="0"/>
        <v/>
      </c>
      <c r="X27" s="4" t="s">
        <v>129</v>
      </c>
      <c r="Y27" s="9">
        <f t="shared" si="1"/>
        <v>43.32</v>
      </c>
    </row>
    <row r="28" spans="1:25" x14ac:dyDescent="0.25">
      <c r="N28" s="31"/>
      <c r="O28" s="7" t="str">
        <f>IF(OR(N28="",Config!$B$3=""),"",IF(N28&lt;=Config!$B$3,"⚠ REORDER",""))</f>
        <v/>
      </c>
      <c r="U28" s="31"/>
      <c r="V28" s="31"/>
      <c r="W28" s="10" t="str">
        <f t="shared" si="0"/>
        <v/>
      </c>
      <c r="Y28" s="6">
        <f t="shared" si="1"/>
        <v>0</v>
      </c>
    </row>
    <row r="29" spans="1:25" x14ac:dyDescent="0.25">
      <c r="N29" s="31"/>
      <c r="O29" s="7" t="str">
        <f>IF(OR(N29="",Config!$B$3=""),"",IF(N29&lt;=Config!$B$3,"⚠ REORDER",""))</f>
        <v/>
      </c>
      <c r="U29" s="31"/>
      <c r="V29" s="31"/>
      <c r="W29" s="10" t="str">
        <f t="shared" si="0"/>
        <v/>
      </c>
      <c r="Y29" s="6">
        <f t="shared" si="1"/>
        <v>0</v>
      </c>
    </row>
    <row r="30" spans="1:25" x14ac:dyDescent="0.25">
      <c r="N30" s="31"/>
      <c r="O30" s="7" t="str">
        <f>IF(OR(N30="",Config!$B$3=""),"",IF(N30&lt;=Config!$B$3,"⚠ REORDER",""))</f>
        <v/>
      </c>
      <c r="U30" s="31"/>
      <c r="V30" s="31"/>
      <c r="W30" s="10" t="str">
        <f t="shared" si="0"/>
        <v/>
      </c>
      <c r="Y30" s="6">
        <f t="shared" si="1"/>
        <v>0</v>
      </c>
    </row>
    <row r="31" spans="1:25" x14ac:dyDescent="0.25">
      <c r="N31" s="31"/>
      <c r="O31" s="7" t="str">
        <f>IF(OR(N31="",Config!$B$3=""),"",IF(N31&lt;=Config!$B$3,"⚠ REORDER",""))</f>
        <v/>
      </c>
      <c r="U31" s="31"/>
      <c r="V31" s="31"/>
      <c r="W31" s="10" t="str">
        <f t="shared" si="0"/>
        <v/>
      </c>
      <c r="Y31" s="6">
        <f t="shared" si="1"/>
        <v>0</v>
      </c>
    </row>
    <row r="32" spans="1:25" x14ac:dyDescent="0.25">
      <c r="N32" s="31"/>
      <c r="O32" s="7" t="str">
        <f>IF(OR(N32="",Config!$B$3=""),"",IF(N32&lt;=Config!$B$3,"⚠ REORDER",""))</f>
        <v/>
      </c>
      <c r="U32" s="31"/>
      <c r="V32" s="31"/>
      <c r="W32" s="10" t="str">
        <f t="shared" si="0"/>
        <v/>
      </c>
      <c r="Y32" s="6">
        <f t="shared" si="1"/>
        <v>0</v>
      </c>
    </row>
    <row r="33" spans="14:25" x14ac:dyDescent="0.25">
      <c r="N33" s="31"/>
      <c r="O33" s="7" t="str">
        <f>IF(OR(N33="",Config!$B$3=""),"",IF(N33&lt;=Config!$B$3,"⚠ REORDER",""))</f>
        <v/>
      </c>
      <c r="U33" s="31"/>
      <c r="V33" s="31"/>
      <c r="W33" s="10" t="str">
        <f t="shared" si="0"/>
        <v/>
      </c>
      <c r="Y33" s="6">
        <f t="shared" si="1"/>
        <v>0</v>
      </c>
    </row>
    <row r="34" spans="14:25" x14ac:dyDescent="0.25">
      <c r="N34" s="31"/>
      <c r="O34" s="7" t="str">
        <f>IF(OR(N34="",Config!$B$3=""),"",IF(N34&lt;=Config!$B$3,"⚠ REORDER",""))</f>
        <v/>
      </c>
      <c r="U34" s="31"/>
      <c r="V34" s="31"/>
      <c r="W34" s="10" t="str">
        <f t="shared" si="0"/>
        <v/>
      </c>
      <c r="Y34" s="6">
        <f t="shared" si="1"/>
        <v>0</v>
      </c>
    </row>
    <row r="35" spans="14:25" x14ac:dyDescent="0.25">
      <c r="N35" s="31"/>
      <c r="O35" s="7" t="str">
        <f>IF(OR(N35="",Config!$B$3=""),"",IF(N35&lt;=Config!$B$3,"⚠ REORDER",""))</f>
        <v/>
      </c>
      <c r="U35" s="31"/>
      <c r="V35" s="31"/>
      <c r="W35" s="10" t="str">
        <f t="shared" ref="W35:W66" si="2">IF(V35="","",IF(U35="","",V35/U35))</f>
        <v/>
      </c>
      <c r="Y35" s="6">
        <f t="shared" ref="Y35:Y66" si="3">IF(OR(M35="",N35=""),0,M35*N35)</f>
        <v>0</v>
      </c>
    </row>
    <row r="36" spans="14:25" x14ac:dyDescent="0.25">
      <c r="N36" s="31"/>
      <c r="O36" s="7" t="str">
        <f>IF(OR(N36="",Config!$B$3=""),"",IF(N36&lt;=Config!$B$3,"⚠ REORDER",""))</f>
        <v/>
      </c>
      <c r="U36" s="31"/>
      <c r="V36" s="31"/>
      <c r="W36" s="10" t="str">
        <f t="shared" si="2"/>
        <v/>
      </c>
      <c r="Y36" s="6">
        <f t="shared" si="3"/>
        <v>0</v>
      </c>
    </row>
    <row r="37" spans="14:25" x14ac:dyDescent="0.25">
      <c r="N37" s="31"/>
      <c r="O37" s="7" t="str">
        <f>IF(OR(N37="",Config!$B$3=""),"",IF(N37&lt;=Config!$B$3,"⚠ REORDER",""))</f>
        <v/>
      </c>
      <c r="U37" s="31"/>
      <c r="V37" s="31"/>
      <c r="W37" s="10" t="str">
        <f t="shared" si="2"/>
        <v/>
      </c>
      <c r="Y37" s="6">
        <f t="shared" si="3"/>
        <v>0</v>
      </c>
    </row>
    <row r="38" spans="14:25" x14ac:dyDescent="0.25">
      <c r="N38" s="31"/>
      <c r="O38" s="7" t="str">
        <f>IF(OR(N38="",Config!$B$3=""),"",IF(N38&lt;=Config!$B$3,"⚠ REORDER",""))</f>
        <v/>
      </c>
      <c r="U38" s="31"/>
      <c r="V38" s="31"/>
      <c r="W38" s="10" t="str">
        <f t="shared" si="2"/>
        <v/>
      </c>
      <c r="Y38" s="6">
        <f t="shared" si="3"/>
        <v>0</v>
      </c>
    </row>
    <row r="39" spans="14:25" x14ac:dyDescent="0.25">
      <c r="N39" s="31"/>
      <c r="O39" s="7" t="str">
        <f>IF(OR(N39="",Config!$B$3=""),"",IF(N39&lt;=Config!$B$3,"⚠ REORDER",""))</f>
        <v/>
      </c>
      <c r="U39" s="31"/>
      <c r="V39" s="31"/>
      <c r="W39" s="10" t="str">
        <f t="shared" si="2"/>
        <v/>
      </c>
      <c r="Y39" s="6">
        <f t="shared" si="3"/>
        <v>0</v>
      </c>
    </row>
    <row r="40" spans="14:25" x14ac:dyDescent="0.25">
      <c r="N40" s="31"/>
      <c r="O40" s="7" t="str">
        <f>IF(OR(N40="",Config!$B$3=""),"",IF(N40&lt;=Config!$B$3,"⚠ REORDER",""))</f>
        <v/>
      </c>
      <c r="U40" s="31"/>
      <c r="V40" s="31"/>
      <c r="W40" s="10" t="str">
        <f t="shared" si="2"/>
        <v/>
      </c>
      <c r="Y40" s="6">
        <f t="shared" si="3"/>
        <v>0</v>
      </c>
    </row>
    <row r="41" spans="14:25" x14ac:dyDescent="0.25">
      <c r="N41" s="31"/>
      <c r="O41" s="7" t="str">
        <f>IF(OR(N41="",Config!$B$3=""),"",IF(N41&lt;=Config!$B$3,"⚠ REORDER",""))</f>
        <v/>
      </c>
      <c r="U41" s="31"/>
      <c r="V41" s="31"/>
      <c r="W41" s="10" t="str">
        <f t="shared" si="2"/>
        <v/>
      </c>
      <c r="Y41" s="6">
        <f t="shared" si="3"/>
        <v>0</v>
      </c>
    </row>
    <row r="42" spans="14:25" x14ac:dyDescent="0.25">
      <c r="N42" s="31"/>
      <c r="O42" s="7" t="str">
        <f>IF(OR(N42="",Config!$B$3=""),"",IF(N42&lt;=Config!$B$3,"⚠ REORDER",""))</f>
        <v/>
      </c>
      <c r="U42" s="31"/>
      <c r="V42" s="31"/>
      <c r="W42" s="10" t="str">
        <f t="shared" si="2"/>
        <v/>
      </c>
      <c r="Y42" s="6">
        <f t="shared" si="3"/>
        <v>0</v>
      </c>
    </row>
    <row r="43" spans="14:25" x14ac:dyDescent="0.25">
      <c r="N43" s="31"/>
      <c r="O43" s="7" t="str">
        <f>IF(OR(N43="",Config!$B$3=""),"",IF(N43&lt;=Config!$B$3,"⚠ REORDER",""))</f>
        <v/>
      </c>
      <c r="U43" s="31"/>
      <c r="V43" s="31"/>
      <c r="W43" s="10" t="str">
        <f t="shared" si="2"/>
        <v/>
      </c>
      <c r="Y43" s="6">
        <f t="shared" si="3"/>
        <v>0</v>
      </c>
    </row>
    <row r="44" spans="14:25" x14ac:dyDescent="0.25">
      <c r="N44" s="31"/>
      <c r="O44" s="7" t="str">
        <f>IF(OR(N44="",Config!$B$3=""),"",IF(N44&lt;=Config!$B$3,"⚠ REORDER",""))</f>
        <v/>
      </c>
      <c r="U44" s="31"/>
      <c r="V44" s="31"/>
      <c r="W44" s="10" t="str">
        <f t="shared" si="2"/>
        <v/>
      </c>
      <c r="Y44" s="6">
        <f t="shared" si="3"/>
        <v>0</v>
      </c>
    </row>
    <row r="45" spans="14:25" x14ac:dyDescent="0.25">
      <c r="N45" s="31"/>
      <c r="O45" s="7" t="str">
        <f>IF(OR(N45="",Config!$B$3=""),"",IF(N45&lt;=Config!$B$3,"⚠ REORDER",""))</f>
        <v/>
      </c>
      <c r="U45" s="31"/>
      <c r="V45" s="31"/>
      <c r="W45" s="10" t="str">
        <f t="shared" si="2"/>
        <v/>
      </c>
      <c r="Y45" s="6">
        <f t="shared" si="3"/>
        <v>0</v>
      </c>
    </row>
    <row r="46" spans="14:25" x14ac:dyDescent="0.25">
      <c r="N46" s="31"/>
      <c r="O46" s="7" t="str">
        <f>IF(OR(N46="",Config!$B$3=""),"",IF(N46&lt;=Config!$B$3,"⚠ REORDER",""))</f>
        <v/>
      </c>
      <c r="U46" s="31"/>
      <c r="V46" s="31"/>
      <c r="W46" s="10" t="str">
        <f t="shared" si="2"/>
        <v/>
      </c>
      <c r="Y46" s="6">
        <f t="shared" si="3"/>
        <v>0</v>
      </c>
    </row>
    <row r="47" spans="14:25" x14ac:dyDescent="0.25">
      <c r="N47" s="31"/>
      <c r="O47" s="7" t="str">
        <f>IF(OR(N47="",Config!$B$3=""),"",IF(N47&lt;=Config!$B$3,"⚠ REORDER",""))</f>
        <v/>
      </c>
      <c r="U47" s="31"/>
      <c r="V47" s="31"/>
      <c r="W47" s="10" t="str">
        <f t="shared" si="2"/>
        <v/>
      </c>
      <c r="Y47" s="6">
        <f t="shared" si="3"/>
        <v>0</v>
      </c>
    </row>
    <row r="48" spans="14:25" x14ac:dyDescent="0.25">
      <c r="N48" s="31"/>
      <c r="O48" s="7" t="str">
        <f>IF(OR(N48="",Config!$B$3=""),"",IF(N48&lt;=Config!$B$3,"⚠ REORDER",""))</f>
        <v/>
      </c>
      <c r="U48" s="31"/>
      <c r="V48" s="31"/>
      <c r="W48" s="10" t="str">
        <f t="shared" si="2"/>
        <v/>
      </c>
      <c r="Y48" s="6">
        <f t="shared" si="3"/>
        <v>0</v>
      </c>
    </row>
    <row r="49" spans="14:25" x14ac:dyDescent="0.25">
      <c r="N49" s="31"/>
      <c r="O49" s="7" t="str">
        <f>IF(OR(N49="",Config!$B$3=""),"",IF(N49&lt;=Config!$B$3,"⚠ REORDER",""))</f>
        <v/>
      </c>
      <c r="U49" s="31"/>
      <c r="V49" s="31"/>
      <c r="W49" s="10" t="str">
        <f t="shared" si="2"/>
        <v/>
      </c>
      <c r="Y49" s="6">
        <f t="shared" si="3"/>
        <v>0</v>
      </c>
    </row>
    <row r="50" spans="14:25" x14ac:dyDescent="0.25">
      <c r="N50" s="31"/>
      <c r="O50" s="7" t="str">
        <f>IF(OR(N50="",Config!$B$3=""),"",IF(N50&lt;=Config!$B$3,"⚠ REORDER",""))</f>
        <v/>
      </c>
      <c r="U50" s="31"/>
      <c r="V50" s="31"/>
      <c r="W50" s="10" t="str">
        <f t="shared" si="2"/>
        <v/>
      </c>
      <c r="Y50" s="6">
        <f t="shared" si="3"/>
        <v>0</v>
      </c>
    </row>
    <row r="51" spans="14:25" x14ac:dyDescent="0.25">
      <c r="N51" s="31"/>
      <c r="O51" s="7" t="str">
        <f>IF(OR(N51="",Config!$B$3=""),"",IF(N51&lt;=Config!$B$3,"⚠ REORDER",""))</f>
        <v/>
      </c>
      <c r="U51" s="31"/>
      <c r="V51" s="31"/>
      <c r="W51" s="10" t="str">
        <f t="shared" si="2"/>
        <v/>
      </c>
      <c r="Y51" s="6">
        <f t="shared" si="3"/>
        <v>0</v>
      </c>
    </row>
    <row r="52" spans="14:25" x14ac:dyDescent="0.25">
      <c r="N52" s="31"/>
      <c r="O52" s="7" t="str">
        <f>IF(OR(N52="",Config!$B$3=""),"",IF(N52&lt;=Config!$B$3,"⚠ REORDER",""))</f>
        <v/>
      </c>
      <c r="U52" s="31"/>
      <c r="V52" s="31"/>
      <c r="W52" s="10" t="str">
        <f t="shared" si="2"/>
        <v/>
      </c>
      <c r="Y52" s="6">
        <f t="shared" si="3"/>
        <v>0</v>
      </c>
    </row>
    <row r="53" spans="14:25" x14ac:dyDescent="0.25">
      <c r="N53" s="31"/>
      <c r="O53" s="7" t="str">
        <f>IF(OR(N53="",Config!$B$3=""),"",IF(N53&lt;=Config!$B$3,"⚠ REORDER",""))</f>
        <v/>
      </c>
      <c r="U53" s="31"/>
      <c r="V53" s="31"/>
      <c r="W53" s="10" t="str">
        <f t="shared" si="2"/>
        <v/>
      </c>
      <c r="Y53" s="6">
        <f t="shared" si="3"/>
        <v>0</v>
      </c>
    </row>
    <row r="54" spans="14:25" x14ac:dyDescent="0.25">
      <c r="N54" s="31"/>
      <c r="O54" s="7" t="str">
        <f>IF(OR(N54="",Config!$B$3=""),"",IF(N54&lt;=Config!$B$3,"⚠ REORDER",""))</f>
        <v/>
      </c>
      <c r="U54" s="31"/>
      <c r="V54" s="31"/>
      <c r="W54" s="10" t="str">
        <f t="shared" si="2"/>
        <v/>
      </c>
      <c r="Y54" s="6">
        <f t="shared" si="3"/>
        <v>0</v>
      </c>
    </row>
    <row r="55" spans="14:25" x14ac:dyDescent="0.25">
      <c r="N55" s="31"/>
      <c r="O55" s="7" t="str">
        <f>IF(OR(N55="",Config!$B$3=""),"",IF(N55&lt;=Config!$B$3,"⚠ REORDER",""))</f>
        <v/>
      </c>
      <c r="U55" s="31"/>
      <c r="V55" s="31"/>
      <c r="W55" s="10" t="str">
        <f t="shared" si="2"/>
        <v/>
      </c>
      <c r="Y55" s="6">
        <f t="shared" si="3"/>
        <v>0</v>
      </c>
    </row>
    <row r="56" spans="14:25" x14ac:dyDescent="0.25">
      <c r="N56" s="31"/>
      <c r="O56" s="7" t="str">
        <f>IF(OR(N56="",Config!$B$3=""),"",IF(N56&lt;=Config!$B$3,"⚠ REORDER",""))</f>
        <v/>
      </c>
      <c r="U56" s="31"/>
      <c r="V56" s="31"/>
      <c r="W56" s="10" t="str">
        <f t="shared" si="2"/>
        <v/>
      </c>
      <c r="Y56" s="6">
        <f t="shared" si="3"/>
        <v>0</v>
      </c>
    </row>
    <row r="57" spans="14:25" x14ac:dyDescent="0.25">
      <c r="N57" s="31"/>
      <c r="O57" s="7" t="str">
        <f>IF(OR(N57="",Config!$B$3=""),"",IF(N57&lt;=Config!$B$3,"⚠ REORDER",""))</f>
        <v/>
      </c>
      <c r="U57" s="31"/>
      <c r="V57" s="31"/>
      <c r="W57" s="10" t="str">
        <f t="shared" si="2"/>
        <v/>
      </c>
      <c r="Y57" s="6">
        <f t="shared" si="3"/>
        <v>0</v>
      </c>
    </row>
    <row r="58" spans="14:25" x14ac:dyDescent="0.25">
      <c r="N58" s="31"/>
      <c r="O58" s="7" t="str">
        <f>IF(OR(N58="",Config!$B$3=""),"",IF(N58&lt;=Config!$B$3,"⚠ REORDER",""))</f>
        <v/>
      </c>
      <c r="U58" s="31"/>
      <c r="V58" s="31"/>
      <c r="W58" s="10" t="str">
        <f t="shared" si="2"/>
        <v/>
      </c>
      <c r="Y58" s="6">
        <f t="shared" si="3"/>
        <v>0</v>
      </c>
    </row>
    <row r="59" spans="14:25" x14ac:dyDescent="0.25">
      <c r="N59" s="31"/>
      <c r="O59" s="7" t="str">
        <f>IF(OR(N59="",Config!$B$3=""),"",IF(N59&lt;=Config!$B$3,"⚠ REORDER",""))</f>
        <v/>
      </c>
      <c r="U59" s="31"/>
      <c r="V59" s="31"/>
      <c r="W59" s="10" t="str">
        <f t="shared" si="2"/>
        <v/>
      </c>
      <c r="Y59" s="6">
        <f t="shared" si="3"/>
        <v>0</v>
      </c>
    </row>
    <row r="60" spans="14:25" x14ac:dyDescent="0.25">
      <c r="N60" s="31"/>
      <c r="O60" s="7" t="str">
        <f>IF(OR(N60="",Config!$B$3=""),"",IF(N60&lt;=Config!$B$3,"⚠ REORDER",""))</f>
        <v/>
      </c>
      <c r="U60" s="31"/>
      <c r="V60" s="31"/>
      <c r="W60" s="10" t="str">
        <f t="shared" si="2"/>
        <v/>
      </c>
      <c r="Y60" s="6">
        <f t="shared" si="3"/>
        <v>0</v>
      </c>
    </row>
    <row r="61" spans="14:25" x14ac:dyDescent="0.25">
      <c r="N61" s="31"/>
      <c r="O61" s="7" t="str">
        <f>IF(OR(N61="",Config!$B$3=""),"",IF(N61&lt;=Config!$B$3,"⚠ REORDER",""))</f>
        <v/>
      </c>
      <c r="U61" s="31"/>
      <c r="V61" s="31"/>
      <c r="W61" s="10" t="str">
        <f t="shared" si="2"/>
        <v/>
      </c>
      <c r="Y61" s="6">
        <f t="shared" si="3"/>
        <v>0</v>
      </c>
    </row>
    <row r="62" spans="14:25" x14ac:dyDescent="0.25">
      <c r="N62" s="31"/>
      <c r="O62" s="7" t="str">
        <f>IF(OR(N62="",Config!$B$3=""),"",IF(N62&lt;=Config!$B$3,"⚠ REORDER",""))</f>
        <v/>
      </c>
      <c r="U62" s="31"/>
      <c r="V62" s="31"/>
      <c r="W62" s="10" t="str">
        <f t="shared" si="2"/>
        <v/>
      </c>
      <c r="Y62" s="6">
        <f t="shared" si="3"/>
        <v>0</v>
      </c>
    </row>
    <row r="63" spans="14:25" x14ac:dyDescent="0.25">
      <c r="N63" s="31"/>
      <c r="O63" s="7" t="str">
        <f>IF(OR(N63="",Config!$B$3=""),"",IF(N63&lt;=Config!$B$3,"⚠ REORDER",""))</f>
        <v/>
      </c>
      <c r="U63" s="31"/>
      <c r="V63" s="31"/>
      <c r="W63" s="10" t="str">
        <f t="shared" si="2"/>
        <v/>
      </c>
      <c r="Y63" s="6">
        <f t="shared" si="3"/>
        <v>0</v>
      </c>
    </row>
    <row r="64" spans="14:25" x14ac:dyDescent="0.25">
      <c r="N64" s="31"/>
      <c r="O64" s="7" t="str">
        <f>IF(OR(N64="",Config!$B$3=""),"",IF(N64&lt;=Config!$B$3,"⚠ REORDER",""))</f>
        <v/>
      </c>
      <c r="U64" s="31"/>
      <c r="V64" s="31"/>
      <c r="W64" s="10" t="str">
        <f t="shared" si="2"/>
        <v/>
      </c>
      <c r="Y64" s="6">
        <f t="shared" si="3"/>
        <v>0</v>
      </c>
    </row>
    <row r="65" spans="14:25" x14ac:dyDescent="0.25">
      <c r="N65" s="31"/>
      <c r="O65" s="7" t="str">
        <f>IF(OR(N65="",Config!$B$3=""),"",IF(N65&lt;=Config!$B$3,"⚠ REORDER",""))</f>
        <v/>
      </c>
      <c r="U65" s="31"/>
      <c r="V65" s="31"/>
      <c r="W65" s="10" t="str">
        <f t="shared" si="2"/>
        <v/>
      </c>
      <c r="Y65" s="6">
        <f t="shared" si="3"/>
        <v>0</v>
      </c>
    </row>
    <row r="66" spans="14:25" x14ac:dyDescent="0.25">
      <c r="N66" s="31"/>
      <c r="O66" s="7" t="str">
        <f>IF(OR(N66="",Config!$B$3=""),"",IF(N66&lt;=Config!$B$3,"⚠ REORDER",""))</f>
        <v/>
      </c>
      <c r="U66" s="31"/>
      <c r="V66" s="31"/>
      <c r="W66" s="10" t="str">
        <f t="shared" si="2"/>
        <v/>
      </c>
      <c r="Y66" s="6">
        <f t="shared" si="3"/>
        <v>0</v>
      </c>
    </row>
    <row r="67" spans="14:25" x14ac:dyDescent="0.25">
      <c r="N67" s="31"/>
      <c r="O67" s="7" t="str">
        <f>IF(OR(N67="",Config!$B$3=""),"",IF(N67&lt;=Config!$B$3,"⚠ REORDER",""))</f>
        <v/>
      </c>
      <c r="U67" s="31"/>
      <c r="V67" s="31"/>
      <c r="W67" s="10" t="str">
        <f t="shared" ref="W67:W77" si="4">IF(V67="","",IF(U67="","",V67/U67))</f>
        <v/>
      </c>
      <c r="Y67" s="6">
        <f t="shared" ref="Y67:Y77" si="5">IF(OR(M67="",N67=""),0,M67*N67)</f>
        <v>0</v>
      </c>
    </row>
    <row r="68" spans="14:25" x14ac:dyDescent="0.25">
      <c r="N68" s="31"/>
      <c r="O68" s="7" t="str">
        <f>IF(OR(N68="",Config!$B$3=""),"",IF(N68&lt;=Config!$B$3,"⚠ REORDER",""))</f>
        <v/>
      </c>
      <c r="U68" s="31"/>
      <c r="V68" s="31"/>
      <c r="W68" s="10" t="str">
        <f t="shared" si="4"/>
        <v/>
      </c>
      <c r="Y68" s="6">
        <f t="shared" si="5"/>
        <v>0</v>
      </c>
    </row>
    <row r="69" spans="14:25" x14ac:dyDescent="0.25">
      <c r="N69" s="31"/>
      <c r="O69" s="7" t="str">
        <f>IF(OR(N69="",Config!$B$3=""),"",IF(N69&lt;=Config!$B$3,"⚠ REORDER",""))</f>
        <v/>
      </c>
      <c r="U69" s="31"/>
      <c r="V69" s="31"/>
      <c r="W69" s="10" t="str">
        <f t="shared" si="4"/>
        <v/>
      </c>
      <c r="Y69" s="6">
        <f t="shared" si="5"/>
        <v>0</v>
      </c>
    </row>
    <row r="70" spans="14:25" x14ac:dyDescent="0.25">
      <c r="N70" s="31"/>
      <c r="O70" s="7" t="str">
        <f>IF(OR(N70="",Config!$B$3=""),"",IF(N70&lt;=Config!$B$3,"⚠ REORDER",""))</f>
        <v/>
      </c>
      <c r="U70" s="31"/>
      <c r="V70" s="31"/>
      <c r="W70" s="10" t="str">
        <f t="shared" si="4"/>
        <v/>
      </c>
      <c r="Y70" s="6">
        <f t="shared" si="5"/>
        <v>0</v>
      </c>
    </row>
    <row r="71" spans="14:25" x14ac:dyDescent="0.25">
      <c r="N71" s="31"/>
      <c r="O71" s="7" t="str">
        <f>IF(OR(N71="",Config!$B$3=""),"",IF(N71&lt;=Config!$B$3,"⚠ REORDER",""))</f>
        <v/>
      </c>
      <c r="U71" s="31"/>
      <c r="V71" s="31"/>
      <c r="W71" s="10" t="str">
        <f t="shared" si="4"/>
        <v/>
      </c>
      <c r="Y71" s="6">
        <f t="shared" si="5"/>
        <v>0</v>
      </c>
    </row>
    <row r="72" spans="14:25" x14ac:dyDescent="0.25">
      <c r="N72" s="31"/>
      <c r="O72" s="7" t="str">
        <f>IF(OR(N72="",Config!$B$3=""),"",IF(N72&lt;=Config!$B$3,"⚠ REORDER",""))</f>
        <v/>
      </c>
      <c r="U72" s="31"/>
      <c r="V72" s="31"/>
      <c r="W72" s="10" t="str">
        <f t="shared" si="4"/>
        <v/>
      </c>
      <c r="Y72" s="6">
        <f t="shared" si="5"/>
        <v>0</v>
      </c>
    </row>
    <row r="73" spans="14:25" x14ac:dyDescent="0.25">
      <c r="N73" s="31"/>
      <c r="O73" s="7" t="str">
        <f>IF(OR(N73="",Config!$B$3=""),"",IF(N73&lt;=Config!$B$3,"⚠ REORDER",""))</f>
        <v/>
      </c>
      <c r="U73" s="31"/>
      <c r="V73" s="31"/>
      <c r="W73" s="10" t="str">
        <f t="shared" si="4"/>
        <v/>
      </c>
      <c r="Y73" s="6">
        <f t="shared" si="5"/>
        <v>0</v>
      </c>
    </row>
    <row r="74" spans="14:25" x14ac:dyDescent="0.25">
      <c r="N74" s="31"/>
      <c r="O74" s="7" t="str">
        <f>IF(OR(N74="",Config!$B$3=""),"",IF(N74&lt;=Config!$B$3,"⚠ REORDER",""))</f>
        <v/>
      </c>
      <c r="U74" s="31"/>
      <c r="V74" s="31"/>
      <c r="W74" s="10" t="str">
        <f t="shared" si="4"/>
        <v/>
      </c>
      <c r="Y74" s="6">
        <f t="shared" si="5"/>
        <v>0</v>
      </c>
    </row>
    <row r="75" spans="14:25" x14ac:dyDescent="0.25">
      <c r="N75" s="31"/>
      <c r="O75" s="7" t="str">
        <f>IF(OR(N75="",Config!$B$3=""),"",IF(N75&lt;=Config!$B$3,"⚠ REORDER",""))</f>
        <v/>
      </c>
      <c r="U75" s="31"/>
      <c r="V75" s="31"/>
      <c r="W75" s="10" t="str">
        <f t="shared" si="4"/>
        <v/>
      </c>
      <c r="Y75" s="6">
        <f t="shared" si="5"/>
        <v>0</v>
      </c>
    </row>
    <row r="76" spans="14:25" x14ac:dyDescent="0.25">
      <c r="N76" s="31"/>
      <c r="O76" s="7" t="str">
        <f>IF(OR(N76="",Config!$B$3=""),"",IF(N76&lt;=Config!$B$3,"⚠ REORDER",""))</f>
        <v/>
      </c>
      <c r="U76" s="31"/>
      <c r="V76" s="31"/>
      <c r="W76" s="10" t="str">
        <f t="shared" si="4"/>
        <v/>
      </c>
      <c r="Y76" s="6">
        <f t="shared" si="5"/>
        <v>0</v>
      </c>
    </row>
    <row r="77" spans="14:25" x14ac:dyDescent="0.25">
      <c r="N77" s="31"/>
      <c r="O77" s="7" t="str">
        <f>IF(OR(N77="",Config!$B$3=""),"",IF(N77&lt;=Config!$B$3,"⚠ REORDER",""))</f>
        <v/>
      </c>
      <c r="U77" s="31"/>
      <c r="V77" s="31"/>
      <c r="W77" s="10" t="str">
        <f t="shared" si="4"/>
        <v/>
      </c>
      <c r="Y77" s="6">
        <f t="shared" si="5"/>
        <v>0</v>
      </c>
    </row>
  </sheetData>
  <autoFilter ref="A2:Y77" xr:uid="{00000000-0009-0000-0000-000001000000}"/>
  <mergeCells count="1">
    <mergeCell ref="A1:Y1"/>
  </mergeCells>
  <conditionalFormatting sqref="O3:O77">
    <cfRule type="containsText" dxfId="0" priority="1" operator="containsText" text="REORDER">
      <formula>NOT(ISERROR(SEARCH("REORDER",O3)))</formula>
    </cfRule>
  </conditionalFormatting>
  <dataValidations count="6">
    <dataValidation type="list" allowBlank="1" sqref="A3:A77" xr:uid="{00000000-0002-0000-0100-000000000000}">
      <formula1>"AzureFilm,Bambu Lab,Creality Hyper,Hatchbox,MatterHackers,Overture,Polymaker,Prusament,SUNLU,VoxelPLA,eSUN"</formula1>
    </dataValidation>
    <dataValidation type="list" allowBlank="1" sqref="P3:P77" xr:uid="{00000000-0002-0000-0100-000001000000}">
      <formula1>"Opened,Sealed"</formula1>
    </dataValidation>
    <dataValidation type="list" allowBlank="1" sqref="Q3:Q77" xr:uid="{00000000-0002-0000-0100-000002000000}">
      <formula1>"New,Good,Fair,Poor"</formula1>
    </dataValidation>
    <dataValidation type="list" allowBlank="1" sqref="R3:R77" xr:uid="{00000000-0002-0000-0100-000003000000}">
      <formula1>"Dry,OK,Damp,Wet"</formula1>
    </dataValidation>
    <dataValidation type="list" allowBlank="1" sqref="H3:H77" xr:uid="{00000000-0002-0000-0100-000004000000}">
      <formula1>"1.75mm,2.85mm"</formula1>
    </dataValidation>
    <dataValidation type="list" allowBlank="1" sqref="T3:T77" xr:uid="{00000000-0002-0000-0100-000005000000}">
      <formula1>"Spool,Refill"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C6"/>
  <sheetViews>
    <sheetView workbookViewId="0"/>
  </sheetViews>
  <sheetFormatPr defaultRowHeight="15" x14ac:dyDescent="0.25"/>
  <cols>
    <col min="1" max="1" width="20" customWidth="1"/>
    <col min="2" max="2" width="56" customWidth="1"/>
    <col min="3" max="3" width="70" customWidth="1"/>
  </cols>
  <sheetData>
    <row r="1" spans="1:3" ht="26.1" customHeight="1" x14ac:dyDescent="0.25">
      <c r="A1" s="40" t="s">
        <v>130</v>
      </c>
      <c r="B1" s="35"/>
      <c r="C1" s="35"/>
    </row>
    <row r="2" spans="1:3" ht="21.95" customHeight="1" x14ac:dyDescent="0.25">
      <c r="A2" s="3" t="s">
        <v>131</v>
      </c>
      <c r="B2" s="3" t="s">
        <v>132</v>
      </c>
      <c r="C2" s="3" t="s">
        <v>44</v>
      </c>
    </row>
    <row r="3" spans="1:3" ht="18" customHeight="1" x14ac:dyDescent="0.25">
      <c r="A3" s="1" t="s">
        <v>133</v>
      </c>
      <c r="B3" s="2">
        <v>1</v>
      </c>
      <c r="C3" s="32" t="s">
        <v>134</v>
      </c>
    </row>
    <row r="4" spans="1:3" ht="18" customHeight="1" x14ac:dyDescent="0.25">
      <c r="A4" s="1" t="s">
        <v>135</v>
      </c>
      <c r="B4" s="33" t="s">
        <v>136</v>
      </c>
      <c r="C4" s="32" t="s">
        <v>137</v>
      </c>
    </row>
    <row r="5" spans="1:3" ht="18" customHeight="1" x14ac:dyDescent="0.25">
      <c r="A5" s="1" t="s">
        <v>138</v>
      </c>
      <c r="B5" s="33" t="s">
        <v>139</v>
      </c>
      <c r="C5" s="32" t="s">
        <v>140</v>
      </c>
    </row>
    <row r="6" spans="1:3" ht="18" customHeight="1" x14ac:dyDescent="0.25">
      <c r="A6" s="1" t="s">
        <v>141</v>
      </c>
      <c r="B6" s="33" t="s">
        <v>142</v>
      </c>
      <c r="C6" s="32" t="s">
        <v>143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Inventory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Wayne Varnado</cp:lastModifiedBy>
  <dcterms:created xsi:type="dcterms:W3CDTF">2026-08-05T04:16:56Z</dcterms:created>
  <dcterms:modified xsi:type="dcterms:W3CDTF">2026-08-05T23:01:05Z</dcterms:modified>
</cp:coreProperties>
</file>