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varn\Downloads\"/>
    </mc:Choice>
  </mc:AlternateContent>
  <xr:revisionPtr revIDLastSave="0" documentId="13_ncr:1_{A0576F69-3695-4CE5-BBD0-A40891A8F2A2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Dashboard" sheetId="1" r:id="rId1"/>
    <sheet name="Catalog" sheetId="2" r:id="rId2"/>
    <sheet name="Material Guide" sheetId="3" r:id="rId3"/>
    <sheet name="Config" sheetId="4" r:id="rId4"/>
  </sheets>
  <definedNames>
    <definedName name="_xlnm._FilterDatabase" localSheetId="1" hidden="1">Catalog!$A$2:$T$703</definedName>
    <definedName name="_xlnm._FilterDatabase" localSheetId="2" hidden="1">'Material Guide'!$A$2:$H$63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8" i="1" l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A22" i="1"/>
  <c r="B19" i="1"/>
  <c r="B9" i="1"/>
  <c r="B8" i="1"/>
  <c r="B7" i="1"/>
  <c r="B6" i="1"/>
  <c r="B5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" authorId="0" shapeId="0" xr:uid="{00000000-0006-0000-0100-000001000000}">
      <text>
        <r>
          <rPr>
            <sz val="10"/>
            <rFont val="Arial"/>
            <family val="2"/>
          </rPr>
          <t>SKU / Part No.
Polymaker PolyLite PLA: confirmed manufacturer codes (PA02001–PA02029).
All other brands: internal reference codes.
See Config sheet → SKU Note for details.</t>
        </r>
      </text>
    </comment>
    <comment ref="E2" authorId="0" shapeId="0" xr:uid="{00000000-0006-0000-0100-000002000000}">
      <text>
        <r>
          <rPr>
            <sz val="10"/>
            <rFont val="Arial"/>
            <family val="2"/>
          </rPr>
  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 shapeId="0" xr:uid="{00000000-0006-0000-0100-000003000000}">
      <text>
        <r>
          <rPr>
            <sz val="10"/>
            <rFont val="Arial"/>
            <family val="2"/>
          </rPr>
          <t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 shapeId="0" xr:uid="{00000000-0006-0000-0100-000004000000}">
      <text>
        <r>
          <rPr>
            <sz val="10"/>
            <rFont val="Arial"/>
            <family val="2"/>
          </rPr>
          <t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 shapeId="0" xr:uid="{00000000-0006-0000-0100-000005000000}">
      <text>
        <r>
          <rPr>
            <sz val="10"/>
            <rFont val="Arial"/>
            <family val="2"/>
          </rPr>
          <t>AMS Lite Compatibility
✓  Compatible with AMS Lite unit
✗  Not compatible (open-frame; no ABS/ASA/PA support)
⚠  Compatible with conditions
Printers: A1, A1 mini</t>
        </r>
      </text>
    </comment>
    <comment ref="P2" authorId="0" shapeId="0" xr:uid="{00000000-0006-0000-0100-000006000000}">
      <text>
        <r>
          <rPr>
            <sz val="10"/>
            <rFont val="Arial"/>
            <family val="2"/>
          </rPr>
          <t>AMS 2 Pro Compatibility
✓  Compatible with AMS 2 Pro unit
✗  Not compatible
⚠  Compatible with conditions
Printers: H2D</t>
        </r>
      </text>
    </comment>
    <comment ref="Q2" authorId="0" shapeId="0" xr:uid="{00000000-0006-0000-0100-000007000000}">
      <text>
        <r>
          <rPr>
            <sz val="10"/>
            <rFont val="Arial"/>
            <family val="2"/>
          </rPr>
          <t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<sst xmlns="http://schemas.openxmlformats.org/spreadsheetml/2006/main" count="2912" uniqueCount="550">
  <si>
    <t>📦  Bambu Lab  —  Filament Reference  |  v3</t>
  </si>
  <si>
    <t xml:space="preserve">  CATALOG SUMMARY</t>
  </si>
  <si>
    <t>Total Catalog Entries (active)</t>
  </si>
  <si>
    <t>Tier S — Premium</t>
  </si>
  <si>
    <t>Tier A — Excellent</t>
  </si>
  <si>
    <t>Tier B — Good</t>
  </si>
  <si>
    <t>Tier C — Specialty</t>
  </si>
  <si>
    <t>Require AMS Adapter Ring</t>
  </si>
  <si>
    <t xml:space="preserve">  TIER LEGEND</t>
  </si>
  <si>
    <t xml:space="preserve">  S</t>
  </si>
  <si>
    <t>Premium — first-party or best-in-class; optimized profiles, top AMS reliability</t>
  </si>
  <si>
    <t xml:space="preserve">  A</t>
  </si>
  <si>
    <t>Excellent — high quality, tested profiles, reliable AMS performance</t>
  </si>
  <si>
    <t xml:space="preserve">  B</t>
  </si>
  <si>
    <t>Good — solid performer with minor caveats (e.g. needs adapter ring, temp adjustment)</t>
  </si>
  <si>
    <t xml:space="preserve">  C</t>
  </si>
  <si>
    <t>Specialty — limited AMS use, requires special setup, or niche material</t>
  </si>
  <si>
    <t xml:space="preserve">  INVENTORY</t>
  </si>
  <si>
    <t>On-hand spool inventory is tracked separately in Filament_Inventory.xlsx, not in this workbook.</t>
  </si>
  <si>
    <t>File Generated</t>
  </si>
  <si>
    <t xml:space="preserve">  AMS ADAPTER RING STATUS</t>
  </si>
  <si>
    <t xml:space="preserve">  BY MATERIAL TYPE</t>
  </si>
  <si>
    <t>Material Type</t>
  </si>
  <si>
    <t>Catalog Entries</t>
  </si>
  <si>
    <t>ABS</t>
  </si>
  <si>
    <t>ASA</t>
  </si>
  <si>
    <t>ASA-CF</t>
  </si>
  <si>
    <t>PA-CF</t>
  </si>
  <si>
    <t>PAHT-CF</t>
  </si>
  <si>
    <t>PC</t>
  </si>
  <si>
    <t>PETG Basic</t>
  </si>
  <si>
    <t>PETG Matte</t>
  </si>
  <si>
    <t>PETG Translucent</t>
  </si>
  <si>
    <t>PETG-CF</t>
  </si>
  <si>
    <t>PLA Aero</t>
  </si>
  <si>
    <t>PLA Basic</t>
  </si>
  <si>
    <t>PLA Glow</t>
  </si>
  <si>
    <t>PLA Lite</t>
  </si>
  <si>
    <t>PLA Marble</t>
  </si>
  <si>
    <t>PLA Matte</t>
  </si>
  <si>
    <t>PLA Metal</t>
  </si>
  <si>
    <t>PLA Silk</t>
  </si>
  <si>
    <t>PLA Sparkle</t>
  </si>
  <si>
    <t>PLA Translucent</t>
  </si>
  <si>
    <t>PLA-CF</t>
  </si>
  <si>
    <t>Support W</t>
  </si>
  <si>
    <t>TPU 95A</t>
  </si>
  <si>
    <t>Bambu Lab  —  Filament Catalog</t>
  </si>
  <si>
    <t>SKU / Part No.</t>
  </si>
  <si>
    <t>Product Name</t>
  </si>
  <si>
    <t>Color Name</t>
  </si>
  <si>
    <t>Color Swatch</t>
  </si>
  <si>
    <t>Hex Code</t>
  </si>
  <si>
    <t>Diameter</t>
  </si>
  <si>
    <t>Diameter Tolerance</t>
  </si>
  <si>
    <t>Spool Type</t>
  </si>
  <si>
    <t>AMS Adapter Required</t>
  </si>
  <si>
    <t>Print Temp Range</t>
  </si>
  <si>
    <t>Bed Temp Range</t>
  </si>
  <si>
    <t>Drying Temp / Time</t>
  </si>
  <si>
    <t>AMS X/P</t>
  </si>
  <si>
    <t>AMS Lite</t>
  </si>
  <si>
    <t>AMS 2 Pro</t>
  </si>
  <si>
    <t>AMS HT</t>
  </si>
  <si>
    <t>Tier</t>
  </si>
  <si>
    <t>Tier Rationale</t>
  </si>
  <si>
    <t>Notes</t>
  </si>
  <si>
    <t>BL-ABS-AZU</t>
  </si>
  <si>
    <t>Azure</t>
  </si>
  <si>
    <t>#489FDF</t>
  </si>
  <si>
    <t>1.75mm</t>
  </si>
  <si>
    <t>±0.03mm</t>
  </si>
  <si>
    <t>Plastic</t>
  </si>
  <si>
    <t>No</t>
  </si>
  <si>
    <t>240–270°C</t>
  </si>
  <si>
    <t>90–100°C</t>
  </si>
  <si>
    <t>65°C / 8h</t>
  </si>
  <si>
    <t>✓</t>
  </si>
  <si>
    <t>✗</t>
  </si>
  <si>
    <t>S</t>
  </si>
  <si>
    <t>First-party ABS; RFID profile; enclosure required; AMS Lite ✗</t>
  </si>
  <si>
    <t>Enclosure required (P1S/X1C/H2D); not for A1/A1 mini</t>
  </si>
  <si>
    <t>BL-ABS-GN</t>
  </si>
  <si>
    <t>Bambu Green</t>
  </si>
  <si>
    <t>#00AE42</t>
  </si>
  <si>
    <t>BL-ABS-BK</t>
  </si>
  <si>
    <t>Black</t>
  </si>
  <si>
    <t>#000000</t>
  </si>
  <si>
    <t>BL-ABS-BL</t>
  </si>
  <si>
    <t>Blue</t>
  </si>
  <si>
    <t>#0A2CA5</t>
  </si>
  <si>
    <t>BL-ABS-NVB</t>
  </si>
  <si>
    <t>Navy Blue</t>
  </si>
  <si>
    <t>#0C2340</t>
  </si>
  <si>
    <t>BL-ABS-OLV</t>
  </si>
  <si>
    <t>Olive</t>
  </si>
  <si>
    <t>#789D4A</t>
  </si>
  <si>
    <t>BL-ABS-OR</t>
  </si>
  <si>
    <t>Orange</t>
  </si>
  <si>
    <t>#FF6A13</t>
  </si>
  <si>
    <t>BL-ABS-PU</t>
  </si>
  <si>
    <t>Purple</t>
  </si>
  <si>
    <t>#AF1685</t>
  </si>
  <si>
    <t>BL-ABS-RD</t>
  </si>
  <si>
    <t>Red</t>
  </si>
  <si>
    <t>#D32941</t>
  </si>
  <si>
    <t>BL-ABS-SV</t>
  </si>
  <si>
    <t>Silver</t>
  </si>
  <si>
    <t>#87909A</t>
  </si>
  <si>
    <t>BL-ABS-TAN</t>
  </si>
  <si>
    <t>Tangerine Yellow</t>
  </si>
  <si>
    <t>#FFC72C</t>
  </si>
  <si>
    <t>BL-ABS-WH</t>
  </si>
  <si>
    <t>White</t>
  </si>
  <si>
    <t>#FFFFFF</t>
  </si>
  <si>
    <t>BL-ASA-GY</t>
  </si>
  <si>
    <t>Ash Grey</t>
  </si>
  <si>
    <t>#9B9EA0</t>
  </si>
  <si>
    <t>80°C / 8h</t>
  </si>
  <si>
    <t>First-party ASA; UV-resistant; enclosure required; AMS Lite ✗</t>
  </si>
  <si>
    <t>Enclosure required; UV-resistant outdoor use</t>
  </si>
  <si>
    <t>BL-ASA-GN</t>
  </si>
  <si>
    <t>BL-ASA-BK</t>
  </si>
  <si>
    <t>BL-ASA-BL</t>
  </si>
  <si>
    <t>#0A2989</t>
  </si>
  <si>
    <t>BL-ASA-RD</t>
  </si>
  <si>
    <t>BL-ASA-WH</t>
  </si>
  <si>
    <t>BL-ASACF-BK</t>
  </si>
  <si>
    <t>#111111</t>
  </si>
  <si>
    <t>260–280°C</t>
  </si>
  <si>
    <t>90–110°C</t>
  </si>
  <si>
    <t>A</t>
  </si>
  <si>
    <t>First-party CF composite; UV-resistant; stiff outdoor parts</t>
  </si>
  <si>
    <t>Abrasive + enclosure required; hardened nozzle required; AMS Lite ✗</t>
  </si>
  <si>
    <t>BL-PACF-BK</t>
  </si>
  <si>
    <t>45–65°C</t>
  </si>
  <si>
    <t>⚠</t>
  </si>
  <si>
    <t>First-party CF Nylon; extremely stiff and strong</t>
  </si>
  <si>
    <t>Abrasive + moisture-sensitive; hardened nozzle required; dry before every use</t>
  </si>
  <si>
    <t>BL-PAHTCF-BK</t>
  </si>
  <si>
    <t>#0D0D0D</t>
  </si>
  <si>
    <t>±0.05mm</t>
  </si>
  <si>
    <t>270–300°C</t>
  </si>
  <si>
    <t>80–100°C</t>
  </si>
  <si>
    <t>100°C / 24h</t>
  </si>
  <si>
    <t>B</t>
  </si>
  <si>
    <t>Current replacement for discontinued PA-CF; abrades PTFE path, back-spool preferred over AMS feed</t>
  </si>
  <si>
    <t>Deep-dive follow-up 2026-07-19; NEW LINE — replaces discontinued PA-CF/PA | FIXED 2026-08-25: was incorrectly marked discontinued=True, contradicting its own rationale as the current active replacement product</t>
  </si>
  <si>
    <t>BL-PC-BK</t>
  </si>
  <si>
    <t>PC (Polycarbonate)</t>
  </si>
  <si>
    <t>100–120°C</t>
  </si>
  <si>
    <t>First-party PC; RFID profile; extremely impact-resistant</t>
  </si>
  <si>
    <t>High-temp; enclosure required; AMS Lite ✗; moisture-sensitive — dry before use</t>
  </si>
  <si>
    <t>BL-PC-WH</t>
  </si>
  <si>
    <t>#F0EDE8</t>
  </si>
  <si>
    <t>BL-PETG-BK</t>
  </si>
  <si>
    <t>220–260°C</t>
  </si>
  <si>
    <t>70–85°C</t>
  </si>
  <si>
    <t>First-party PETG Basic (reformulated 2026); improved strength vs HF</t>
  </si>
  <si>
    <t>BL-PETG-DBG</t>
  </si>
  <si>
    <t>Dark Beige</t>
  </si>
  <si>
    <t>#DBC8B6</t>
  </si>
  <si>
    <t>BL-PETG-DBR</t>
  </si>
  <si>
    <t>Dark Brown</t>
  </si>
  <si>
    <t>#4F2C1D</t>
  </si>
  <si>
    <t>BL-PETG-GY</t>
  </si>
  <si>
    <t>Gray</t>
  </si>
  <si>
    <t>#7F7E83</t>
  </si>
  <si>
    <t>BL-PETG-GN</t>
  </si>
  <si>
    <t>Green</t>
  </si>
  <si>
    <t>#009639</t>
  </si>
  <si>
    <t>BL-PETG-MSB</t>
  </si>
  <si>
    <t>Misty Blue</t>
  </si>
  <si>
    <t>#688197</t>
  </si>
  <si>
    <t>BL-PETG-NVB</t>
  </si>
  <si>
    <t>#0086D6</t>
  </si>
  <si>
    <t>BL-PETG-OR</t>
  </si>
  <si>
    <t>#FF671F</t>
  </si>
  <si>
    <t>BL-PETG-PNG</t>
  </si>
  <si>
    <t>Pine Green</t>
  </si>
  <si>
    <t>#034638</t>
  </si>
  <si>
    <t>BL-PETG-RD</t>
  </si>
  <si>
    <t>#D6001C</t>
  </si>
  <si>
    <t>BL-PETG-RFB</t>
  </si>
  <si>
    <t>Reflex Blue</t>
  </si>
  <si>
    <t>#001489</t>
  </si>
  <si>
    <t>BL-PETG-WH</t>
  </si>
  <si>
    <t>BL-PETG-YL</t>
  </si>
  <si>
    <t>Yellow</t>
  </si>
  <si>
    <t>#FCE300</t>
  </si>
  <si>
    <t>BL-PETGM-AVG</t>
  </si>
  <si>
    <t>Avocado Green</t>
  </si>
  <si>
    <t>#999999</t>
  </si>
  <si>
    <t>230–260°C</t>
  </si>
  <si>
    <t>65–75°C</t>
  </si>
  <si>
    <t>C</t>
  </si>
  <si>
    <t>First-party PETG Matte, launched 2026-09-30 (store.bambulab.com, forum.bambulab.com announcement) — "prints like PLA, lasts like PETG"; RFID-tagged, matte finish, no support interface needed. All 8 official color names and Bambu color codes confirmed 2026-10-04 directly by Wayne (who ordered a physical spool of each): Black 35101, White 35100, Gray 35102, Lime 35500, Avocado Green 35501, Baby Blue 35600, Pink 35700, Violet 35702 — these codes follow the same numbering convention as this catalog's existing Bambu color-code SKUs (e.g. PETG Basic's 30600-series). Web sources at the time this line was added (all3dp.com, Bambu's forum announcement) had only named 4 of the 8 (Baby Blue, Avocado Green, Pink, Violet) and no hex codes anywhere, including Bambu's own hex-code PDF — still true as of this update. Hex remains an honest placeholder for all 8 pending either the PDF being updated or Wayne measuring the ordered physical spools.</t>
  </si>
  <si>
    <t>NEW LINE, added 2026-10-03, launched 2026-09-30 | Official Bambu color code 35501, confirmed by Wayne 2026-10-04 (ordered a physical spool) | Hex: unconfirmed placeholder — pending Bambu's hex PDF update or Wayne measuring the ordered spool | Measurement tracking — measured_hex: PENDING, measured_date: PENDING, measured_by: PENDING, readings_averaged: PENDING (fill in once the physical spool is measured, then move the hex up into the Hex Code column and bump Tier to S/A per the colorimeter-measured-outranks-nominal convention)</t>
  </si>
  <si>
    <t>BL-PETGM-BBL</t>
  </si>
  <si>
    <t>Baby Blue</t>
  </si>
  <si>
    <t>NEW LINE, added 2026-10-03, launched 2026-09-30 | Official Bambu color code 35600, confirmed by Wayne 2026-10-04 (ordered a physical spool) | Hex: unconfirmed placeholder — pending Bambu's hex PDF update or Wayne measuring the ordered spool | Measurement tracking — measured_hex: PENDING, measured_date: PENDING, measured_by: PENDING, readings_averaged: PENDING (fill in once the physical spool is measured, then move the hex up into the Hex Code column and bump Tier to S/A per the colorimeter-measured-outranks-nominal convention)</t>
  </si>
  <si>
    <t>BL-PETGM-BK</t>
  </si>
  <si>
    <t>NEW LINE, added 2026-10-03, launched 2026-09-30 | Official Bambu color code 35101, confirmed by Wayne 2026-10-04 (ordered a physical spool) | Hex: unconfirmed placeholder — pending Bambu's hex PDF update or Wayne measuring the ordered spool | Measurement tracking — measured_hex: PENDING, measured_date: PENDING, measured_by: PENDING, readings_averaged: PENDING (fill in once the physical spool is measured, then move the hex up into the Hex Code column and bump Tier to S/A per the colorimeter-measured-outranks-nominal convention)</t>
  </si>
  <si>
    <t>BL-PETGM-GY</t>
  </si>
  <si>
    <t>NEW LINE, added 2026-10-03, launched 2026-09-30 | Official Bambu color code 35102, confirmed by Wayne 2026-10-04 (ordered a physical spool) | Hex: unconfirmed placeholder — pending Bambu's hex PDF update or Wayne measuring the ordered spool | Measurement tracking — measured_hex: PENDING, measured_date: PENDING, measured_by: PENDING, readings_averaged: PENDING (fill in once the physical spool is measured, then move the hex up into the Hex Code column and bump Tier to S/A per the colorimeter-measured-outranks-nominal convention)</t>
  </si>
  <si>
    <t>BL-PETGM-LM</t>
  </si>
  <si>
    <t>Lime</t>
  </si>
  <si>
    <t>NEW LINE, added 2026-10-03, launched 2026-09-30 | Official Bambu color code 35500, confirmed by Wayne 2026-10-04 (ordered a physical spool) | Hex: unconfirmed placeholder — pending Bambu's hex PDF update or Wayne measuring the ordered spool | Measurement tracking — measured_hex: PENDING, measured_date: PENDING, measured_by: PENDING, readings_averaged: PENDING (fill in once the physical spool is measured, then move the hex up into the Hex Code column and bump Tier to S/A per the colorimeter-measured-outranks-nominal convention)</t>
  </si>
  <si>
    <t>BL-PETGM-PK</t>
  </si>
  <si>
    <t>Pink</t>
  </si>
  <si>
    <t>NEW LINE, added 2026-10-03, launched 2026-09-30 | Official Bambu color code 35700, confirmed by Wayne 2026-10-04 (ordered a physical spool) | Hex: unconfirmed placeholder — pending Bambu's hex PDF update or Wayne measuring the ordered spool | Measurement tracking — measured_hex: PENDING, measured_date: PENDING, measured_by: PENDING, readings_averaged: PENDING (fill in once the physical spool is measured, then move the hex up into the Hex Code column and bump Tier to S/A per the colorimeter-measured-outranks-nominal convention)</t>
  </si>
  <si>
    <t>BL-PETGM-VI</t>
  </si>
  <si>
    <t>Violet</t>
  </si>
  <si>
    <t>NEW LINE, added 2026-10-03, launched 2026-09-30 | Official Bambu color code 35702, confirmed by Wayne 2026-10-04 (ordered a physical spool) | Hex: unconfirmed placeholder — pending Bambu's hex PDF update or Wayne measuring the ordered spool | Measurement tracking — measured_hex: PENDING, measured_date: PENDING, measured_by: PENDING, readings_averaged: PENDING (fill in once the physical spool is measured, then move the hex up into the Hex Code column and bump Tier to S/A per the colorimeter-measured-outranks-nominal convention)</t>
  </si>
  <si>
    <t>BL-PETGM-WH</t>
  </si>
  <si>
    <t>NEW LINE, added 2026-10-03, launched 2026-09-30 | Official Bambu color code 35100, confirmed by Wayne 2026-10-04 (ordered a physical spool) | Hex: unconfirmed placeholder — pending Bambu's hex PDF update or Wayne measuring the ordered spool | Measurement tracking — measured_hex: PENDING, measured_date: PENDING, measured_by: PENDING, readings_averaged: PENDING (fill in once the physical spool is measured, then move the hex up into the Hex Code column and bump Tier to S/A per the colorimeter-measured-outranks-nominal convention)</t>
  </si>
  <si>
    <t>BL-PETGTR-CL</t>
  </si>
  <si>
    <t>Clear</t>
  </si>
  <si>
    <t>#E7F2F1</t>
  </si>
  <si>
    <t>Translucent PETG line, distinct from PLA Translucent; specs estimated from PETG Basic</t>
  </si>
  <si>
    <t>Deep-dive follow-up 2026-07-19; NEW LINE — confirmed via filamino.com guide | FIXED 2026-08-25: was incorrectly marked discontinued=True despite being documented as a currently-existing new line</t>
  </si>
  <si>
    <t>BL-PETGCF-BK</t>
  </si>
  <si>
    <t>First-party CF PETG; RFID profile; stiff and chemical-resistant</t>
  </si>
  <si>
    <t>Abrasive — hardened nozzle required</t>
  </si>
  <si>
    <t>BL-PETGCF-BRD</t>
  </si>
  <si>
    <t>Brick Red</t>
  </si>
  <si>
    <t>#9F332A</t>
  </si>
  <si>
    <t>BL-PETGCF-IBL</t>
  </si>
  <si>
    <t>Indigo Blue</t>
  </si>
  <si>
    <t>#324585</t>
  </si>
  <si>
    <t>BL-PETGCF-MGN</t>
  </si>
  <si>
    <t>Malachite Green</t>
  </si>
  <si>
    <t>#16B08E</t>
  </si>
  <si>
    <t>BL-PETGCF-TGY</t>
  </si>
  <si>
    <t>Titan Gray</t>
  </si>
  <si>
    <t>#6C7880</t>
  </si>
  <si>
    <t>BL-PETGCF-VPU</t>
  </si>
  <si>
    <t>Violet Purple</t>
  </si>
  <si>
    <t>#583061</t>
  </si>
  <si>
    <t>BL-PLAAERO-BK</t>
  </si>
  <si>
    <t>35–45°C</t>
  </si>
  <si>
    <t>45°C / 4h</t>
  </si>
  <si>
    <t>Lightweight foaming PLA; requires software settings adjustment; incompatible with AMS Lite</t>
  </si>
  <si>
    <t>Deep-dive follow-up 2026-07-19; NEW LINE — confirmed via wiki.bambulab.com | FIXED 2026-08-25: was incorrectly marked discontinued=True despite being documented as a currently-existing new line</t>
  </si>
  <si>
    <t>BL-PLAB-GN</t>
  </si>
  <si>
    <t>190–220°C</t>
  </si>
  <si>
    <t>55°C / 8h</t>
  </si>
  <si>
    <t>First-party PLA Basic; RFID profile; up to 258mm/s; all AMS variants</t>
  </si>
  <si>
    <t>BL-PLAB-BE</t>
  </si>
  <si>
    <t>Beige</t>
  </si>
  <si>
    <t>#F7E6DE</t>
  </si>
  <si>
    <t>BL-PLAB-BK</t>
  </si>
  <si>
    <t>BL-PLAB-BL</t>
  </si>
  <si>
    <t>BL-PLAB-BG</t>
  </si>
  <si>
    <t>Blue Grey</t>
  </si>
  <si>
    <t>#5B6579</t>
  </si>
  <si>
    <t>BL-PLAB-BRG</t>
  </si>
  <si>
    <t>Bright Green</t>
  </si>
  <si>
    <t>#BECF00</t>
  </si>
  <si>
    <t>BL-PLAB-BZ</t>
  </si>
  <si>
    <t>Bronze</t>
  </si>
  <si>
    <t>#847D48</t>
  </si>
  <si>
    <t>BL-PLAB-BR</t>
  </si>
  <si>
    <t>Brown</t>
  </si>
  <si>
    <t>#9D432C</t>
  </si>
  <si>
    <t>BL-PLAB-COB</t>
  </si>
  <si>
    <t>Cobalt Blue</t>
  </si>
  <si>
    <t>#0056B8</t>
  </si>
  <si>
    <t>BL-PLAB-CB</t>
  </si>
  <si>
    <t>Cocoa Brown</t>
  </si>
  <si>
    <t>#6F5034</t>
  </si>
  <si>
    <t>BL-PLAB-CY</t>
  </si>
  <si>
    <t>Cyan</t>
  </si>
  <si>
    <t>BL-PLAB-DG</t>
  </si>
  <si>
    <t>Dark Gray</t>
  </si>
  <si>
    <t>#545454</t>
  </si>
  <si>
    <t>BL-PLAB-GD</t>
  </si>
  <si>
    <t>Gold</t>
  </si>
  <si>
    <t>#E4BD68</t>
  </si>
  <si>
    <t>BL-PLAB-GY</t>
  </si>
  <si>
    <t>#8E9089</t>
  </si>
  <si>
    <t>BL-PLAB-HP</t>
  </si>
  <si>
    <t>Hot Pink</t>
  </si>
  <si>
    <t>#F5547C</t>
  </si>
  <si>
    <t>BL-PLAB-IP</t>
  </si>
  <si>
    <t>Indigo Purple</t>
  </si>
  <si>
    <t>#482960</t>
  </si>
  <si>
    <t>BL-PLAB-WH</t>
  </si>
  <si>
    <t>Jade White</t>
  </si>
  <si>
    <t>BL-PLAB-LG</t>
  </si>
  <si>
    <t>Light Gray</t>
  </si>
  <si>
    <t>#D1D3D5</t>
  </si>
  <si>
    <t>BL-PLAB-MA</t>
  </si>
  <si>
    <t>Magenta</t>
  </si>
  <si>
    <t>#EC008C</t>
  </si>
  <si>
    <t>BL-PLAB-MR</t>
  </si>
  <si>
    <t>Maroon Red</t>
  </si>
  <si>
    <t>#9D2235</t>
  </si>
  <si>
    <t>BL-PLAB-MG</t>
  </si>
  <si>
    <t>Mistletoe Green</t>
  </si>
  <si>
    <t>#3F8E43</t>
  </si>
  <si>
    <t>BL-PLAB-OR</t>
  </si>
  <si>
    <t>BL-PLAB-PK</t>
  </si>
  <si>
    <t>#F55A74</t>
  </si>
  <si>
    <t>BL-PLAB-PO</t>
  </si>
  <si>
    <t>Pumpkin Orange</t>
  </si>
  <si>
    <t>#FF9016</t>
  </si>
  <si>
    <t>BL-PLAB-PU</t>
  </si>
  <si>
    <t>#5E43B7</t>
  </si>
  <si>
    <t>BL-PLAB-RD</t>
  </si>
  <si>
    <t>#C12E1F</t>
  </si>
  <si>
    <t>BL-PLAB-SV</t>
  </si>
  <si>
    <t>#A6A9AA</t>
  </si>
  <si>
    <t>BL-PLAB-SY</t>
  </si>
  <si>
    <t>Sunflower Yellow</t>
  </si>
  <si>
    <t>#FEC600</t>
  </si>
  <si>
    <t>BL-PLAB-TQ</t>
  </si>
  <si>
    <t>Turquoise</t>
  </si>
  <si>
    <t>#00B1B7</t>
  </si>
  <si>
    <t>BL-PLAB-YL</t>
  </si>
  <si>
    <t>#F4EE2A</t>
  </si>
  <si>
    <t>BL-PLAGLO-BL</t>
  </si>
  <si>
    <t>Glow Blue</t>
  </si>
  <si>
    <t>#A0C8F0</t>
  </si>
  <si>
    <t>First-party glow-in-the-dark PLA; RFID profile</t>
  </si>
  <si>
    <t>Phosphorescent; charge under UV/daylight; hex shown as daylight color</t>
  </si>
  <si>
    <t>BL-PLAGLO-GN</t>
  </si>
  <si>
    <t>Glow Green</t>
  </si>
  <si>
    <t>#C8F080</t>
  </si>
  <si>
    <t>BL-PLALITE-BK</t>
  </si>
  <si>
    <t>190–230°C</t>
  </si>
  <si>
    <t>Lower-cost PLA line; specs estimated from PLA Basic, not individually TDS-confirmed</t>
  </si>
  <si>
    <t>BL-PLAMAR-BK</t>
  </si>
  <si>
    <t>#1A1A1A</t>
  </si>
  <si>
    <t>First-party marble composite; RFID profile; stone-textured finish</t>
  </si>
  <si>
    <t>Slightly abrasive composite — monitor nozzle wear</t>
  </si>
  <si>
    <t>BL-PLAMAR-WH</t>
  </si>
  <si>
    <t>#E8E4E0</t>
  </si>
  <si>
    <t>Slightly abrasive composite — monitor nozzle wear over long prints</t>
  </si>
  <si>
    <t>BL-PLAM-APG</t>
  </si>
  <si>
    <t>Apple Green</t>
  </si>
  <si>
    <t>#C2E189</t>
  </si>
  <si>
    <t>First-party PLA Matte; matte finish; RFID profile; all AMS variants</t>
  </si>
  <si>
    <t>BL-PLAM-ASH</t>
  </si>
  <si>
    <t>Ash Gray</t>
  </si>
  <si>
    <t>BL-PLAM-BNW</t>
  </si>
  <si>
    <t>Bone White</t>
  </si>
  <si>
    <t>#CBC6B8</t>
  </si>
  <si>
    <t>BL-PLAM-CAR</t>
  </si>
  <si>
    <t>Caramel</t>
  </si>
  <si>
    <t>#AE835B</t>
  </si>
  <si>
    <t>BL-PLAM-CHR</t>
  </si>
  <si>
    <t>Charcoal</t>
  </si>
  <si>
    <t>BL-PLAM-DBL</t>
  </si>
  <si>
    <t>Dark Blue</t>
  </si>
  <si>
    <t>#042F56</t>
  </si>
  <si>
    <t>BL-PLAM-DBR</t>
  </si>
  <si>
    <t>#7D6556</t>
  </si>
  <si>
    <t>BL-PLAM-DCH</t>
  </si>
  <si>
    <t>Dark Chocolate</t>
  </si>
  <si>
    <t>#4D3324</t>
  </si>
  <si>
    <t>BL-PLAM-DGN</t>
  </si>
  <si>
    <t>Dark Green</t>
  </si>
  <si>
    <t>#68724D</t>
  </si>
  <si>
    <t>BL-PLAM-DRD</t>
  </si>
  <si>
    <t>Dark Red</t>
  </si>
  <si>
    <t>#BB3D43</t>
  </si>
  <si>
    <t>BL-PLAM-DT</t>
  </si>
  <si>
    <t>Desert Tan</t>
  </si>
  <si>
    <t>#E8DBB7</t>
  </si>
  <si>
    <t>BL-PLAM-GRS</t>
  </si>
  <si>
    <t>Grass Green</t>
  </si>
  <si>
    <t>#61C680</t>
  </si>
  <si>
    <t>BL-PLAM-ICB</t>
  </si>
  <si>
    <t>Ice Blue</t>
  </si>
  <si>
    <t>#A3D8E1</t>
  </si>
  <si>
    <t>BL-PLAM-WH</t>
  </si>
  <si>
    <t>Ivory White</t>
  </si>
  <si>
    <t>BL-PLAM-LB</t>
  </si>
  <si>
    <t>Latte Brown</t>
  </si>
  <si>
    <t>#D3B7A7</t>
  </si>
  <si>
    <t>BL-PLAM-LMY</t>
  </si>
  <si>
    <t>Lemon Yellow</t>
  </si>
  <si>
    <t>#F7D959</t>
  </si>
  <si>
    <t>BL-PLAM-LIL</t>
  </si>
  <si>
    <t>Lilac Purple</t>
  </si>
  <si>
    <t>#AE96D4</t>
  </si>
  <si>
    <t>BL-PLAM-MND</t>
  </si>
  <si>
    <t>Mandarin Orange</t>
  </si>
  <si>
    <t>#F99963</t>
  </si>
  <si>
    <t>BL-PLAM-MAR</t>
  </si>
  <si>
    <t>Marine Blue</t>
  </si>
  <si>
    <t>#0078BF</t>
  </si>
  <si>
    <t>BL-PLAM-NAR</t>
  </si>
  <si>
    <t>Nardo Gray</t>
  </si>
  <si>
    <t>#757575</t>
  </si>
  <si>
    <t>BL-PLAM-PLM</t>
  </si>
  <si>
    <t>Plum</t>
  </si>
  <si>
    <t>#950051</t>
  </si>
  <si>
    <t>BL-PLAM-SAK</t>
  </si>
  <si>
    <t>Sakura Pink</t>
  </si>
  <si>
    <t>#E8AFCF</t>
  </si>
  <si>
    <t>BL-PLAM-SCR</t>
  </si>
  <si>
    <t>Scarlet Red</t>
  </si>
  <si>
    <t>#DE4343</t>
  </si>
  <si>
    <t>BL-PLAM-SKY</t>
  </si>
  <si>
    <t>Sky Blue</t>
  </si>
  <si>
    <t>#56B7E6</t>
  </si>
  <si>
    <t>BL-PLAM-TER</t>
  </si>
  <si>
    <t>Terracotta</t>
  </si>
  <si>
    <t>#B15533</t>
  </si>
  <si>
    <t>BL-PLAMETAL-GD</t>
  </si>
  <si>
    <t>#B8860B</t>
  </si>
  <si>
    <t>210–230°C</t>
  </si>
  <si>
    <t>Metallic-effect PLA; specs estimated from PLA Basic, not individually TDS-confirmed</t>
  </si>
  <si>
    <t>Deep-dive follow-up 2026-07-19; NEW LINE — confirmed via bambulab.com/en-us/filament/pla-list | FIXED 2026-08-25: was incorrectly marked discontinued=True despite being documented as a currently-existing new line</t>
  </si>
  <si>
    <t>BL-PLASIK-BK</t>
  </si>
  <si>
    <t>First-party silk PLA; RFID profile; metallic sheen finish</t>
  </si>
  <si>
    <t>More brittle than matte PLA</t>
  </si>
  <si>
    <t>BL-PLASIK-BZ</t>
  </si>
  <si>
    <t>#9C6B30</t>
  </si>
  <si>
    <t>BL-PLASIK-CP</t>
  </si>
  <si>
    <t>Copper</t>
  </si>
  <si>
    <t>#B87333</t>
  </si>
  <si>
    <t>BL-PLASIK-GD</t>
  </si>
  <si>
    <t>#C8982E</t>
  </si>
  <si>
    <t>More brittle than matte PLA; avoid very long AMS runs</t>
  </si>
  <si>
    <t>BL-PLASIK-SV</t>
  </si>
  <si>
    <t>#A8A9AD</t>
  </si>
  <si>
    <t>BL-PLASIK-WH</t>
  </si>
  <si>
    <t>#EEEEF0</t>
  </si>
  <si>
    <t>BL-PLASPAR-GD</t>
  </si>
  <si>
    <t>#C8A42A</t>
  </si>
  <si>
    <t>First-party metallic sparkle PLA; RFID profile</t>
  </si>
  <si>
    <t>Glitter-particle additive; slightly abrasive — monitor nozzle wear</t>
  </si>
  <si>
    <t>BL-PLASPAR-RD</t>
  </si>
  <si>
    <t>#B52020</t>
  </si>
  <si>
    <t>Glitter-particle additive; slightly abrasive</t>
  </si>
  <si>
    <t>BL-PLASPAR-SV</t>
  </si>
  <si>
    <t>#C0C0C0</t>
  </si>
  <si>
    <t>BL-PLAT-BL</t>
  </si>
  <si>
    <t>#0047BB</t>
  </si>
  <si>
    <t>First-party; translucent finish</t>
  </si>
  <si>
    <t>BL-PLAT-CPK</t>
  </si>
  <si>
    <t>Cherry Pink</t>
  </si>
  <si>
    <t>#F5B6CD</t>
  </si>
  <si>
    <t>BL-PLAT-ICB</t>
  </si>
  <si>
    <t>#B8CDE9</t>
  </si>
  <si>
    <t>BL-PLAT-LJD</t>
  </si>
  <si>
    <t>Light Jade</t>
  </si>
  <si>
    <t>#96D8AF</t>
  </si>
  <si>
    <t>BL-PLAT-MLY</t>
  </si>
  <si>
    <t>Mellow Yellow</t>
  </si>
  <si>
    <t>#F5DBAB</t>
  </si>
  <si>
    <t>BL-PLAT-OR</t>
  </si>
  <si>
    <t>#F74E02</t>
  </si>
  <si>
    <t>BL-PLAT-PU</t>
  </si>
  <si>
    <t>#8344B0</t>
  </si>
  <si>
    <t>BL-PLAT-RD</t>
  </si>
  <si>
    <t>#B50011</t>
  </si>
  <si>
    <t>BL-PLAT-TEA</t>
  </si>
  <si>
    <t>Teal</t>
  </si>
  <si>
    <t>#009FA1</t>
  </si>
  <si>
    <t>First-party; RFID profile; translucent finish</t>
  </si>
  <si>
    <t>BL-PLACF-BK</t>
  </si>
  <si>
    <t>220–250°C</t>
  </si>
  <si>
    <t>50–70°C</t>
  </si>
  <si>
    <t>First-party CF composite; RFID profile; rigid lightweight parts</t>
  </si>
  <si>
    <t>Abrasive — hardened nozzle (≥0.4mm) required; ≥0.6mm recommended</t>
  </si>
  <si>
    <t>BL-SUPW-WH</t>
  </si>
  <si>
    <t>#F5F5F5</t>
  </si>
  <si>
    <t>200–230°C</t>
  </si>
  <si>
    <t>First-party water-soluble support; dissolves in warm water</t>
  </si>
  <si>
    <t>Use with PLA prints; store sealed — absorbs moisture extremely quickly</t>
  </si>
  <si>
    <t>BL-TPU-YL</t>
  </si>
  <si>
    <t>TPU 95A for AMS</t>
  </si>
  <si>
    <t>Bambu Yellow</t>
  </si>
  <si>
    <t>#F5C518</t>
  </si>
  <si>
    <t>220–240°C</t>
  </si>
  <si>
    <t>Specially engineered for AMS HT; only TPU rated for AMS use</t>
  </si>
  <si>
    <t>AMS HT dedicated TPU outlet required only; AMS X/P and 2 Pro ✗; AMS Lite ✗</t>
  </si>
  <si>
    <t>BL-TPU-BK</t>
  </si>
  <si>
    <t>BL-TPU-WH</t>
  </si>
  <si>
    <t>PA</t>
  </si>
  <si>
    <t>BL-PA-BK</t>
  </si>
  <si>
    <t>PA (Nylon)</t>
  </si>
  <si>
    <t>260–270°C</t>
  </si>
  <si>
    <t>First-party Nylon; RFID profile; engineering-grade toughness</t>
  </si>
  <si>
    <t>[DISCONTINUED] Very moisture-sensitive — dry immediately before use; store with desiccant</t>
  </si>
  <si>
    <t>BL-PA-NAT</t>
  </si>
  <si>
    <t>Natural</t>
  </si>
  <si>
    <t>#EDE0CC</t>
  </si>
  <si>
    <t>PETG HF</t>
  </si>
  <si>
    <t>BL-PETHF-BK</t>
  </si>
  <si>
    <t>Legacy product (end-of-life 2026) — replaced by PETG Basic</t>
  </si>
  <si>
    <t>[DISCONTINUED] Legacy/end-of-life product — no restock expected; PETG Basic is the current replacement</t>
  </si>
  <si>
    <t>Support G</t>
  </si>
  <si>
    <t>BL-SUPG-WH</t>
  </si>
  <si>
    <t>#E8F0E8</t>
  </si>
  <si>
    <t>First-party glassy support; breaks away cleanly</t>
  </si>
  <si>
    <t>[DISCONTINUED] Pairs best with PETG Basic and ABS; leaves smoother surface than Support W</t>
  </si>
  <si>
    <t>Bambu Lab  —  Material Guide</t>
  </si>
  <si>
    <t>Material</t>
  </si>
  <si>
    <t>Enclosure Required</t>
  </si>
  <si>
    <t>AMS Compatible</t>
  </si>
  <si>
    <t>Drying Required</t>
  </si>
  <si>
    <t>Yes</t>
  </si>
  <si>
    <t>Recommended</t>
  </si>
  <si>
    <t>Up to 258mm/s; all AMS variants; easiest material to start with</t>
  </si>
  <si>
    <t>Matte finish; hides layer lines; slightly higher viscosity than PLA Basic</t>
  </si>
  <si>
    <t>Semi-translucent; great for light diffusion prints</t>
  </si>
  <si>
    <t>Reformulated 2026; better strength than PETG HF; 13 colors; must dry before use</t>
  </si>
  <si>
    <t>NEW LINE, launched 2026-09-30; "prints like PLA, lasts like PETG"; matte finish, no support interface needed; max speed &lt;250mm/s; all 8 colors + Bambu color codes confirmed 2026-10-04 by Wayne's own order, zero hex confirmed yet</t>
  </si>
  <si>
    <t>⚠ DISCONTINUED 2026 — no restock; switch to PETG Basic</t>
  </si>
  <si>
    <t>Requires P1S/X1C/H2D; AMS Lite ✗; fumes — ventilate</t>
  </si>
  <si>
    <t>UV-stable outdoor use; requires enclosure; AMS Lite ✗</t>
  </si>
  <si>
    <t>Abrasive; hardened nozzle required (≥0.4mm); ≥0.6mm recommended</t>
  </si>
  <si>
    <t>Abrasive; hardened nozzle required; chemical-resistant</t>
  </si>
  <si>
    <t>Metallic sheen; more brittle than matte PLA</t>
  </si>
  <si>
    <t>AMS HT required; AMS X/P and 2 Pro ⚠ only; AMS Lite ✗; very moisture-sensitive — dry immediately before use</t>
  </si>
  <si>
    <t>Abrasive + moisture-sensitive; hardened nozzle + drying mandatory; AMS Lite ✗</t>
  </si>
  <si>
    <t>AMS HT required; AMS X/P ⚠ only; high-temp; enclosure required; AMS Lite ✗</t>
  </si>
  <si>
    <t>Water-soluble; dissolves in warm water; store sealed</t>
  </si>
  <si>
    <t>Glassy breakaway support; pairs best with PETG Basic and ABS</t>
  </si>
  <si>
    <t>Abrasive; hardened nozzle required (≥0.4mm)</t>
  </si>
  <si>
    <t>AMS HT required; AMS X/P ⚠ only; abrasive + moisture-sensitive; hardened nozzle mandatory; AMS Lite ✗</t>
  </si>
  <si>
    <t>Stone-textured composite; slightly abrasive</t>
  </si>
  <si>
    <t>Metallic glitter; slightly abrasive — monitor nozzle wear</t>
  </si>
  <si>
    <t>Glow-in-dark; charge under UV; hex shown as daylight color</t>
  </si>
  <si>
    <t>Abrasive + UV-resistant; hardened nozzle + enclosure required; AMS Lite ✗</t>
  </si>
  <si>
    <t>AMS HT only (dedicated TPU outlet); external spool on all other printers</t>
  </si>
  <si>
    <t>⚙  Configuration</t>
  </si>
  <si>
    <t>Setting</t>
  </si>
  <si>
    <t>Value</t>
  </si>
  <si>
    <t>Brand</t>
  </si>
  <si>
    <t>Bambu Lab</t>
  </si>
  <si>
    <t>File Version</t>
  </si>
  <si>
    <t>v3</t>
  </si>
  <si>
    <t>Generated</t>
  </si>
  <si>
    <t>2026-10-04</t>
  </si>
  <si>
    <t>Date this file was last generated by generate_all.py</t>
  </si>
  <si>
    <t>SKU Note</t>
  </si>
  <si>
    <t>BL-XXXX reference codes — Bambu does not publish clean SKUs</t>
  </si>
  <si>
    <t>SKU column: confirmed mfr codes noted above; others are internal reference codes</t>
  </si>
  <si>
    <t>Hex Note</t>
  </si>
  <si>
    <t>Per-row confirmation status is tracked in each Catalog row's Notes column (manufacturer TDS-confirmed, official product-page confirmed, or unconfirmed placeholder). #999999 in the Hex Code column always means unconfirmed placeholder, not a real color.</t>
  </si>
  <si>
    <t>Approximate hex = visually representative; not manufacturer-confirmed</t>
  </si>
  <si>
    <t>Inventory Note</t>
  </si>
  <si>
    <t>This workbook covers catalog reference data only. On-hand spool inventory is tracked separately in Filament_Inventory.xlsx.</t>
  </si>
  <si>
    <t>Split from per-brand Inventory Tracker sheets, 2026-07-23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</si>
</sst>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7F6000"/>
      <name val="Arial"/>
      <charset val="1"/>
    </font>
    <font>
      <sz val="10"/>
      <color rgb="FF000000"/>
      <name val="Arial"/>
      <charset val="1"/>
    </font>
    <font>
      <b/>
      <sz val="10"/>
      <color rgb="FF276221"/>
      <name val="Arial"/>
      <charset val="1"/>
    </font>
    <font>
      <b/>
      <sz val="10"/>
      <color rgb="FF1F3864"/>
      <name val="Arial"/>
      <charset val="1"/>
    </font>
    <font>
      <b/>
      <sz val="10"/>
      <color rgb="FF9C0006"/>
      <name val="Arial"/>
      <charset val="1"/>
    </font>
    <font>
      <i/>
      <sz val="10"/>
      <color rgb="FF000000"/>
      <name val="Arial"/>
      <charset val="1"/>
    </font>
    <font>
      <b/>
      <sz val="13"/>
      <color rgb="FFFFFFFF"/>
      <name val="Arial"/>
      <charset val="1"/>
    </font>
    <font>
      <sz val="9"/>
      <color rgb="FF444444"/>
      <name val="Arial"/>
      <charset val="1"/>
    </font>
    <font>
      <strike/>
      <sz val="10"/>
      <color rgb="FF888888"/>
      <name val="Arial"/>
      <charset val="1"/>
    </font>
    <font>
      <sz val="10"/>
      <name val="Arial"/>
      <family val="2"/>
    </font>
    <font>
      <b/>
      <sz val="12"/>
      <color rgb="FFFFFFFF"/>
      <name val="Arial"/>
      <charset val="1"/>
    </font>
    <font>
      <sz val="10"/>
      <color rgb="FF7F6000"/>
      <name val="Arial"/>
      <charset val="1"/>
    </font>
  </fonts>
  <fills count="177">
    <fill>
      <patternFill patternType="none"/>
    </fill>
    <fill>
      <patternFill patternType="gray125"/>
    </fill>
    <fill>
      <patternFill patternType="darkGray">
        <fgColor rgb="FF082867"/>
        <bgColor rgb="FF0D4FA1"/>
      </patternFill>
    </fill>
    <fill>
      <patternFill patternType="darkGray">
        <fgColor rgb="FF0D4FA1"/>
        <bgColor rgb="FF654A74"/>
      </patternFill>
    </fill>
    <fill>
      <patternFill patternType="darkGray">
        <fgColor rgb="FFF3F3F3"/>
        <bgColor rgb="FFEFEFEF"/>
      </patternFill>
    </fill>
    <fill>
      <patternFill patternType="solid">
        <fgColor rgb="FFFFFFFF"/>
        <bgColor rgb="FFFEFDFD"/>
      </patternFill>
    </fill>
    <fill>
      <patternFill patternType="mediumGray">
        <fgColor rgb="FFFEE401"/>
        <bgColor rgb="FFFCCA05"/>
      </patternFill>
    </fill>
    <fill>
      <patternFill patternType="solid">
        <fgColor rgb="FF86CF5C"/>
        <bgColor rgb="FFD4C4B6"/>
      </patternFill>
    </fill>
    <fill>
      <patternFill patternType="solid">
        <fgColor rgb="FFBDD7EE"/>
        <bgColor rgb="FFB8CCE4"/>
      </patternFill>
    </fill>
    <fill>
      <patternFill patternType="solid">
        <fgColor rgb="FFF4B6C5"/>
        <bgColor rgb="FFFFC7CE"/>
      </patternFill>
    </fill>
    <fill>
      <patternFill patternType="solid">
        <fgColor rgb="FFFEEAA0"/>
        <bgColor rgb="FFFEF3E5"/>
      </patternFill>
    </fill>
    <fill>
      <patternFill patternType="darkGray">
        <fgColor rgb="FF709BCB"/>
        <bgColor rgb="FF009C83"/>
      </patternFill>
    </fill>
    <fill>
      <patternFill patternType="mediumGray">
        <fgColor rgb="FFEEF4FB"/>
        <bgColor rgb="FFE2F4F8"/>
      </patternFill>
    </fill>
    <fill>
      <patternFill patternType="solid">
        <fgColor rgb="FFEEF4FB"/>
        <bgColor rgb="FFF3F3F3"/>
      </patternFill>
    </fill>
    <fill>
      <patternFill patternType="solid">
        <fgColor rgb="FF009C83"/>
        <bgColor rgb="FF597863"/>
      </patternFill>
    </fill>
    <fill>
      <patternFill patternType="solid">
        <fgColor rgb="FFE5F4EE"/>
        <bgColor rgb="FFE2F4F8"/>
      </patternFill>
    </fill>
    <fill>
      <patternFill patternType="solid">
        <fgColor rgb="FF000000"/>
        <bgColor rgb="FF082867"/>
      </patternFill>
    </fill>
    <fill>
      <patternFill patternType="solid">
        <fgColor rgb="FFE2E2E2"/>
        <bgColor rgb="FFE1E7EA"/>
      </patternFill>
    </fill>
    <fill>
      <patternFill patternType="mediumGray">
        <fgColor rgb="FF082867"/>
        <bgColor rgb="FF0D4FA1"/>
      </patternFill>
    </fill>
    <fill>
      <patternFill patternType="darkGray">
        <fgColor rgb="FFE1E8F5"/>
        <bgColor rgb="FFE1E7EA"/>
      </patternFill>
    </fill>
    <fill>
      <patternFill patternType="darkGray">
        <fgColor rgb="FF082867"/>
        <bgColor rgb="FF000000"/>
      </patternFill>
    </fill>
    <fill>
      <patternFill patternType="mediumGray">
        <fgColor rgb="FFE1E7EA"/>
        <bgColor rgb="FFE2E2E2"/>
      </patternFill>
    </fill>
    <fill>
      <patternFill patternType="solid">
        <fgColor rgb="FF7A7E6C"/>
        <bgColor rgb="FF597863"/>
      </patternFill>
    </fill>
    <fill>
      <patternFill patternType="solid">
        <fgColor rgb="FFEFEFEF"/>
        <bgColor rgb="FFF0EEE9"/>
      </patternFill>
    </fill>
    <fill>
      <patternFill patternType="solid">
        <fgColor rgb="FFFE6009"/>
        <bgColor rgb="FFEA4C4A"/>
      </patternFill>
    </fill>
    <fill>
      <patternFill patternType="mediumGray">
        <fgColor rgb="FFFFECEC"/>
        <bgColor rgb="FFFEF3E5"/>
      </patternFill>
    </fill>
    <fill>
      <patternFill patternType="mediumGray">
        <fgColor rgb="FFDB0828"/>
        <bgColor rgb="FFA10311"/>
      </patternFill>
    </fill>
    <fill>
      <patternFill patternType="solid">
        <fgColor rgb="FFF4E3EE"/>
        <bgColor rgb="FFFBE0EC"/>
      </patternFill>
    </fill>
    <fill>
      <patternFill patternType="mediumGray">
        <fgColor rgb="FFDB0828"/>
        <bgColor rgb="FFEA4C4A"/>
      </patternFill>
    </fill>
    <fill>
      <patternFill patternType="darkGray">
        <fgColor rgb="FFFAE7E7"/>
        <bgColor rgb="FFF4E3EE"/>
      </patternFill>
    </fill>
    <fill>
      <patternFill patternType="mediumGray">
        <fgColor rgb="FF7A7E6C"/>
        <bgColor rgb="FFA3A0B7"/>
      </patternFill>
    </fill>
    <fill>
      <patternFill patternType="solid">
        <fgColor rgb="FFEFEFEF"/>
        <bgColor rgb="FFEDEFF1"/>
      </patternFill>
    </fill>
    <fill>
      <patternFill patternType="mediumGray">
        <fgColor rgb="FFFCCA05"/>
        <bgColor rgb="FFFAD062"/>
      </patternFill>
    </fill>
    <fill>
      <patternFill patternType="mediumGray">
        <fgColor rgb="FFFEFBE9"/>
        <bgColor rgb="FFFEF3E5"/>
      </patternFill>
    </fill>
    <fill>
      <patternFill patternType="solid">
        <fgColor rgb="FFA3A0B7"/>
        <bgColor rgb="FF709BCB"/>
      </patternFill>
    </fill>
    <fill>
      <patternFill patternType="solid">
        <fgColor rgb="FFF3F3F3"/>
        <bgColor rgb="FFF5F5F8"/>
      </patternFill>
    </fill>
    <fill>
      <patternFill patternType="darkGray">
        <fgColor rgb="FF082867"/>
        <bgColor rgb="FF0D4FA1"/>
      </patternFill>
    </fill>
    <fill>
      <patternFill patternType="mediumGray">
        <fgColor rgb="FFE1E7EA"/>
        <bgColor rgb="FFE1E8F5"/>
      </patternFill>
    </fill>
    <fill>
      <patternFill patternType="darkGray">
        <fgColor rgb="FF000000"/>
        <bgColor rgb="FF082867"/>
      </patternFill>
    </fill>
    <fill>
      <patternFill patternType="solid">
        <fgColor rgb="FFF0EEE9"/>
        <bgColor rgb="FFEFEFEF"/>
      </patternFill>
    </fill>
    <fill>
      <patternFill patternType="darkGray">
        <fgColor rgb="FFFEFDFD"/>
        <bgColor rgb="FFFDFAF8"/>
      </patternFill>
    </fill>
    <fill>
      <patternFill patternType="solid">
        <fgColor rgb="FFD4C4B6"/>
        <bgColor rgb="FFF4B6C5"/>
      </patternFill>
    </fill>
    <fill>
      <patternFill patternType="darkGray">
        <fgColor rgb="FFFDFAF8"/>
        <bgColor rgb="FFF9FCF7"/>
      </patternFill>
    </fill>
    <fill>
      <patternFill patternType="solid">
        <fgColor rgb="FF4F2C30"/>
        <bgColor rgb="FF654A74"/>
      </patternFill>
    </fill>
    <fill>
      <patternFill patternType="solid">
        <fgColor rgb="FFE9E6E3"/>
        <bgColor rgb="FFE2E2E2"/>
      </patternFill>
    </fill>
    <fill>
      <patternFill patternType="darkGray">
        <fgColor rgb="FF009C83"/>
        <bgColor rgb="FF295F21"/>
      </patternFill>
    </fill>
    <fill>
      <patternFill patternType="darkGray">
        <fgColor rgb="FF7A7E6C"/>
        <bgColor rgb="FF597863"/>
      </patternFill>
    </fill>
    <fill>
      <patternFill patternType="solid">
        <fgColor rgb="FFEDEFF1"/>
        <bgColor rgb="FFEFEFEF"/>
      </patternFill>
    </fill>
    <fill>
      <patternFill patternType="darkGray">
        <fgColor rgb="FF009C83"/>
        <bgColor rgb="FF0D4FA1"/>
      </patternFill>
    </fill>
    <fill>
      <patternFill patternType="solid">
        <fgColor rgb="FFE2F4F8"/>
        <bgColor rgb="FFE5F4EE"/>
      </patternFill>
    </fill>
    <fill>
      <patternFill patternType="solid">
        <fgColor rgb="FFFFECEC"/>
        <bgColor rgb="FFFAE7E7"/>
      </patternFill>
    </fill>
    <fill>
      <patternFill patternType="mediumGray">
        <fgColor rgb="FF082867"/>
        <bgColor rgb="FF295F21"/>
      </patternFill>
    </fill>
    <fill>
      <patternFill patternType="solid">
        <fgColor rgb="FFE1E7EA"/>
        <bgColor rgb="FFE1E8F5"/>
      </patternFill>
    </fill>
    <fill>
      <patternFill patternType="darkGray">
        <fgColor rgb="FFDB0828"/>
        <bgColor rgb="FFA10311"/>
      </patternFill>
    </fill>
    <fill>
      <patternFill patternType="solid">
        <fgColor rgb="FFFBE0EC"/>
        <bgColor rgb="FFF4E3EE"/>
      </patternFill>
    </fill>
    <fill>
      <patternFill patternType="solid">
        <fgColor rgb="FF082867"/>
        <bgColor rgb="FF0D4FA1"/>
      </patternFill>
    </fill>
    <fill>
      <patternFill patternType="darkGray">
        <fgColor rgb="FFE1E7EA"/>
        <bgColor rgb="FFE2E2E2"/>
      </patternFill>
    </fill>
    <fill>
      <patternFill patternType="solid">
        <fgColor rgb="FFFEE401"/>
        <bgColor rgb="FFFCCA05"/>
      </patternFill>
    </fill>
    <fill>
      <patternFill patternType="solid">
        <fgColor rgb="FFFEFBE9"/>
        <bgColor rgb="FFFEF3E5"/>
      </patternFill>
    </fill>
    <fill>
      <patternFill patternType="darkGray">
        <fgColor rgb="FFA3A0B7"/>
        <bgColor rgb="FF709BCB"/>
      </patternFill>
    </fill>
    <fill>
      <patternFill patternType="solid">
        <fgColor rgb="FFE5F4EE"/>
        <bgColor rgb="FFE2F4F8"/>
      </patternFill>
    </fill>
    <fill>
      <patternFill patternType="solid">
        <fgColor rgb="FFFEFDFD"/>
        <bgColor rgb="FFFFFFFF"/>
      </patternFill>
    </fill>
    <fill>
      <patternFill patternType="mediumGray">
        <fgColor rgb="FF924E01"/>
        <bgColor rgb="FFA10311"/>
      </patternFill>
    </fill>
    <fill>
      <patternFill patternType="darkGray">
        <fgColor rgb="FFF5E9E7"/>
        <bgColor rgb="FFF4E3EE"/>
      </patternFill>
    </fill>
    <fill>
      <patternFill patternType="mediumGray">
        <fgColor rgb="FF0D4FA1"/>
        <bgColor rgb="FF654A74"/>
      </patternFill>
    </fill>
    <fill>
      <patternFill patternType="mediumGray">
        <fgColor rgb="FFEBE8EF"/>
        <bgColor rgb="FFE1E8F5"/>
      </patternFill>
    </fill>
    <fill>
      <patternFill patternType="darkGray">
        <fgColor rgb="FF009C83"/>
        <bgColor rgb="FF709BCB"/>
      </patternFill>
    </fill>
    <fill>
      <patternFill patternType="darkGray">
        <fgColor rgb="FFE5F4EE"/>
        <bgColor rgb="FFE2F4F8"/>
      </patternFill>
    </fill>
    <fill>
      <patternFill patternType="darkGray">
        <fgColor rgb="FFEDEFF1"/>
        <bgColor rgb="FFEFEFEF"/>
      </patternFill>
    </fill>
    <fill>
      <patternFill patternType="mediumGray">
        <fgColor rgb="FF4F2C30"/>
        <bgColor rgb="FF654A74"/>
      </patternFill>
    </fill>
    <fill>
      <patternFill patternType="darkGray">
        <fgColor rgb="FFEBE8EF"/>
        <bgColor rgb="FFE9E6E3"/>
      </patternFill>
    </fill>
    <fill>
      <patternFill patternType="darkGray">
        <fgColor rgb="FFFAE7E7"/>
        <bgColor rgb="FFF5E9E7"/>
      </patternFill>
    </fill>
    <fill>
      <patternFill patternType="mediumGray">
        <fgColor rgb="FF597863"/>
        <bgColor rgb="FF654A74"/>
      </patternFill>
    </fill>
    <fill>
      <patternFill patternType="darkGray">
        <fgColor rgb="FFEDEFF1"/>
        <bgColor rgb="FFEBE8EF"/>
      </patternFill>
    </fill>
    <fill>
      <patternFill patternType="darkGray">
        <fgColor rgb="FFFCCA05"/>
        <bgColor rgb="FFFEE401"/>
      </patternFill>
    </fill>
    <fill>
      <patternFill patternType="darkGray">
        <fgColor rgb="FFFEFBE9"/>
        <bgColor rgb="FFFEF3E5"/>
      </patternFill>
    </fill>
    <fill>
      <patternFill patternType="darkGray">
        <fgColor rgb="FF7A7E6C"/>
        <bgColor rgb="FFAB7639"/>
      </patternFill>
    </fill>
    <fill>
      <patternFill patternType="solid">
        <fgColor rgb="FFF0EEE9"/>
        <bgColor rgb="FFEFEFEF"/>
      </patternFill>
    </fill>
    <fill>
      <patternFill patternType="darkGray">
        <fgColor rgb="FF924E01"/>
        <bgColor rgb="FF654A74"/>
      </patternFill>
    </fill>
    <fill>
      <patternFill patternType="solid">
        <fgColor rgb="FFF5E9E7"/>
        <bgColor rgb="FFFAE7E7"/>
      </patternFill>
    </fill>
    <fill>
      <patternFill patternType="solid">
        <fgColor rgb="FF0D4FA1"/>
        <bgColor rgb="FF082867"/>
      </patternFill>
    </fill>
    <fill>
      <patternFill patternType="solid">
        <fgColor rgb="FFE1E8F5"/>
        <bgColor rgb="FFE1E7EA"/>
      </patternFill>
    </fill>
    <fill>
      <patternFill patternType="mediumGray">
        <fgColor rgb="FF654A74"/>
        <bgColor rgb="FF924E01"/>
      </patternFill>
    </fill>
    <fill>
      <patternFill patternType="lightGray">
        <fgColor rgb="FFEBE8EF"/>
        <bgColor rgb="FFF0EEE9"/>
      </patternFill>
    </fill>
    <fill>
      <patternFill patternType="darkGray">
        <fgColor rgb="FF654A74"/>
        <bgColor rgb="FF597863"/>
      </patternFill>
    </fill>
    <fill>
      <patternFill patternType="solid">
        <fgColor rgb="FFEBE8EF"/>
        <bgColor rgb="FFE9E6E3"/>
      </patternFill>
    </fill>
    <fill>
      <patternFill patternType="darkGray">
        <fgColor rgb="FFFAD062"/>
        <bgColor rgb="FFD4C4B6"/>
      </patternFill>
    </fill>
    <fill>
      <patternFill patternType="mediumGray">
        <fgColor rgb="FFEFEFEF"/>
        <bgColor rgb="FFF3F3F3"/>
      </patternFill>
    </fill>
    <fill>
      <patternFill patternType="solid">
        <fgColor rgb="FFEA4C4A"/>
        <bgColor rgb="FFFE6009"/>
      </patternFill>
    </fill>
    <fill>
      <patternFill patternType="darkGray">
        <fgColor rgb="FFFFECEC"/>
        <bgColor rgb="FFFAE7E7"/>
      </patternFill>
    </fill>
    <fill>
      <patternFill patternType="darkGray">
        <fgColor rgb="FF4F2C30"/>
        <bgColor rgb="FF654A74"/>
      </patternFill>
    </fill>
    <fill>
      <patternFill patternType="lightGray">
        <fgColor rgb="FFE9E6E3"/>
        <bgColor rgb="FFEBE8EF"/>
      </patternFill>
    </fill>
    <fill>
      <patternFill patternType="mediumGray">
        <fgColor rgb="FFBDD7EE"/>
        <bgColor rgb="FFE2E2E2"/>
      </patternFill>
    </fill>
    <fill>
      <patternFill patternType="lightGray">
        <fgColor rgb="FFFDFAF8"/>
        <bgColor rgb="FFF9FCF7"/>
      </patternFill>
    </fill>
    <fill>
      <patternFill patternType="solid">
        <fgColor rgb="FFDB0828"/>
        <bgColor rgb="FFA10311"/>
      </patternFill>
    </fill>
    <fill>
      <patternFill patternType="mediumGray">
        <fgColor rgb="FFA10311"/>
        <bgColor rgb="FF924E01"/>
      </patternFill>
    </fill>
    <fill>
      <patternFill patternType="darkGray">
        <fgColor rgb="FFF4E3EE"/>
        <bgColor rgb="FFF5E9E7"/>
      </patternFill>
    </fill>
    <fill>
      <patternFill patternType="solid">
        <fgColor rgb="FF597863"/>
        <bgColor rgb="FF7A7E6C"/>
      </patternFill>
    </fill>
    <fill>
      <patternFill patternType="darkGray">
        <fgColor rgb="FFE5F4EE"/>
        <bgColor rgb="FFEDEFF1"/>
      </patternFill>
    </fill>
    <fill>
      <patternFill patternType="darkGray">
        <fgColor rgb="FFEF9619"/>
        <bgColor rgb="FFFE6009"/>
      </patternFill>
    </fill>
    <fill>
      <patternFill patternType="darkGray">
        <fgColor rgb="FFFEF3E5"/>
        <bgColor rgb="FFFFECEC"/>
      </patternFill>
    </fill>
    <fill>
      <patternFill patternType="darkGray">
        <fgColor rgb="FF654A74"/>
        <bgColor rgb="FF0D4FA1"/>
      </patternFill>
    </fill>
    <fill>
      <patternFill patternType="solid">
        <fgColor rgb="FFEBE8EF"/>
        <bgColor rgb="FFE1E8F5"/>
      </patternFill>
    </fill>
    <fill>
      <patternFill patternType="darkGray">
        <fgColor rgb="FFFAE7E7"/>
        <bgColor rgb="FFF5E9E7"/>
      </patternFill>
    </fill>
    <fill>
      <patternFill patternType="darkGray">
        <fgColor rgb="FFA3A0B7"/>
        <bgColor rgb="FFD4C4B6"/>
      </patternFill>
    </fill>
    <fill>
      <patternFill patternType="mediumGray">
        <fgColor rgb="FFF3F3F3"/>
        <bgColor rgb="FFF5F5F8"/>
      </patternFill>
    </fill>
    <fill>
      <patternFill patternType="solid">
        <fgColor rgb="FFFCCA05"/>
        <bgColor rgb="FFFEE401"/>
      </patternFill>
    </fill>
    <fill>
      <patternFill patternType="solid">
        <fgColor rgb="FF009C83"/>
        <bgColor rgb="FF709BCB"/>
      </patternFill>
    </fill>
    <fill>
      <patternFill patternType="darkGray">
        <fgColor rgb="FFE2F4F8"/>
        <bgColor rgb="FFE5F4EE"/>
      </patternFill>
    </fill>
    <fill>
      <patternFill patternType="darkGray">
        <fgColor rgb="FFFEE401"/>
        <bgColor rgb="FFFAD062"/>
      </patternFill>
    </fill>
    <fill>
      <patternFill patternType="solid">
        <fgColor rgb="FFFEFBE9"/>
        <bgColor rgb="FFF9FCF7"/>
      </patternFill>
    </fill>
    <fill>
      <patternFill patternType="darkGray">
        <fgColor rgb="FFA5D4EA"/>
        <bgColor rgb="FFB8CCE4"/>
      </patternFill>
    </fill>
    <fill>
      <patternFill patternType="darkGray">
        <fgColor rgb="FFF4FAFC"/>
        <bgColor rgb="FFF5F5F8"/>
      </patternFill>
    </fill>
    <fill>
      <patternFill patternType="darkGray">
        <fgColor rgb="FFC6EFC2"/>
        <bgColor rgb="FFFEEAA0"/>
      </patternFill>
    </fill>
    <fill>
      <patternFill patternType="mediumGray">
        <fgColor rgb="FFF9FCF7"/>
        <bgColor rgb="FFFEFBE9"/>
      </patternFill>
    </fill>
    <fill>
      <patternFill patternType="mediumGray">
        <fgColor rgb="FF000000"/>
        <bgColor rgb="FF082867"/>
      </patternFill>
    </fill>
    <fill>
      <patternFill patternType="darkGray">
        <fgColor rgb="FFE9E6E3"/>
        <bgColor rgb="FFE2E2E2"/>
      </patternFill>
    </fill>
    <fill>
      <patternFill patternType="mediumGray">
        <fgColor rgb="FFFDFAF8"/>
        <bgColor rgb="FFFEFDFD"/>
      </patternFill>
    </fill>
    <fill>
      <patternFill patternType="darkGray">
        <fgColor rgb="FFC6EFC2"/>
        <bgColor rgb="FFD4C4B6"/>
      </patternFill>
    </fill>
    <fill>
      <patternFill patternType="solid">
        <fgColor rgb="FFF9FCF7"/>
        <bgColor rgb="FFFDFAF8"/>
      </patternFill>
    </fill>
    <fill>
      <patternFill patternType="darkGray">
        <fgColor rgb="FFD4C4B6"/>
        <bgColor rgb="FFB8CCE4"/>
      </patternFill>
    </fill>
    <fill>
      <patternFill patternType="mediumGray">
        <fgColor rgb="FFF5F5F8"/>
        <bgColor rgb="FFF9FCF7"/>
      </patternFill>
    </fill>
    <fill>
      <patternFill patternType="darkGray">
        <fgColor rgb="FFAB7639"/>
        <bgColor rgb="FF7A7E6C"/>
      </patternFill>
    </fill>
    <fill>
      <patternFill patternType="solid">
        <fgColor rgb="FFF5EFE9"/>
        <bgColor rgb="FFF0EEE9"/>
      </patternFill>
    </fill>
    <fill>
      <patternFill patternType="darkGray">
        <fgColor rgb="FFF0EEE9"/>
        <bgColor rgb="FFEFEFEF"/>
      </patternFill>
    </fill>
    <fill>
      <patternFill patternType="solid">
        <fgColor rgb="FFE9E6E3"/>
        <bgColor rgb="FFEBE8EF"/>
      </patternFill>
    </fill>
    <fill>
      <patternFill patternType="darkGray">
        <fgColor rgb="FF597863"/>
        <bgColor rgb="FF7A7E6C"/>
      </patternFill>
    </fill>
    <fill>
      <patternFill patternType="mediumGray">
        <fgColor rgb="FFEA4C4A"/>
        <bgColor rgb="FF924E01"/>
      </patternFill>
    </fill>
    <fill>
      <patternFill patternType="darkGray">
        <fgColor rgb="FFF5E9E7"/>
        <bgColor rgb="FFFAE7E7"/>
      </patternFill>
    </fill>
    <fill>
      <patternFill patternType="solid">
        <fgColor rgb="FFE2E2E2"/>
        <bgColor rgb="FFE9E6E3"/>
      </patternFill>
    </fill>
    <fill>
      <patternFill patternType="darkGray">
        <fgColor rgb="FF86CF5C"/>
        <bgColor rgb="FF709BCB"/>
      </patternFill>
    </fill>
    <fill>
      <patternFill patternType="mediumGray">
        <fgColor rgb="FFE5F4EE"/>
        <bgColor rgb="FFEEF4FB"/>
      </patternFill>
    </fill>
    <fill>
      <patternFill patternType="solid">
        <fgColor rgb="FFA5D4EA"/>
        <bgColor rgb="FFB8CCE4"/>
      </patternFill>
    </fill>
    <fill>
      <patternFill patternType="solid">
        <fgColor rgb="FFF4FAFC"/>
        <bgColor rgb="FFF9FCF7"/>
      </patternFill>
    </fill>
    <fill>
      <patternFill patternType="darkGray">
        <fgColor rgb="FFD4C4B6"/>
        <bgColor rgb="FFF4B6C5"/>
      </patternFill>
    </fill>
    <fill>
      <patternFill patternType="mediumGray">
        <fgColor rgb="FFF5F5F8"/>
        <bgColor rgb="FFFDFAF8"/>
      </patternFill>
    </fill>
    <fill>
      <patternFill patternType="solid">
        <fgColor rgb="FFFAD062"/>
        <bgColor rgb="FFFEEAA0"/>
      </patternFill>
    </fill>
    <fill>
      <patternFill patternType="darkGray">
        <fgColor rgb="FFFEFBE9"/>
        <bgColor rgb="FFFDFAF8"/>
      </patternFill>
    </fill>
    <fill>
      <patternFill patternType="darkGray">
        <fgColor rgb="FFF5F5F8"/>
        <bgColor rgb="FFF3F3F3"/>
      </patternFill>
    </fill>
    <fill>
      <patternFill patternType="mediumGray">
        <fgColor rgb="FFEF9619"/>
        <bgColor rgb="FFF4B6C5"/>
      </patternFill>
    </fill>
    <fill>
      <patternFill patternType="mediumGray">
        <fgColor rgb="FF0D4FA1"/>
        <bgColor rgb="FF009C83"/>
      </patternFill>
    </fill>
    <fill>
      <patternFill patternType="mediumGray">
        <fgColor rgb="FFE1E8F5"/>
        <bgColor rgb="FFE2F4F8"/>
      </patternFill>
    </fill>
    <fill>
      <patternFill patternType="darkGray">
        <fgColor rgb="FFEFEFEF"/>
        <bgColor rgb="FFEDEFF1"/>
      </patternFill>
    </fill>
    <fill>
      <patternFill patternType="solid">
        <fgColor rgb="FFA10311"/>
        <bgColor rgb="FFDB0828"/>
      </patternFill>
    </fill>
    <fill>
      <patternFill patternType="darkGray">
        <fgColor rgb="FFF4E3EE"/>
        <bgColor rgb="FFFBE0EC"/>
      </patternFill>
    </fill>
    <fill>
      <patternFill patternType="solid">
        <fgColor rgb="FFF4B6C5"/>
        <bgColor rgb="FFD4C4B6"/>
      </patternFill>
    </fill>
    <fill>
      <patternFill patternType="solid">
        <fgColor rgb="FFFAE7E7"/>
        <bgColor rgb="FFF5E9E7"/>
      </patternFill>
    </fill>
    <fill>
      <patternFill patternType="solid">
        <fgColor rgb="FF709BCB"/>
        <bgColor rgb="FFA3A0B7"/>
      </patternFill>
    </fill>
    <fill>
      <patternFill patternType="darkGray">
        <fgColor rgb="FFEEF4FB"/>
        <bgColor rgb="FFE2F4F8"/>
      </patternFill>
    </fill>
    <fill>
      <patternFill patternType="mediumGray">
        <fgColor rgb="FF924E01"/>
        <bgColor rgb="FFAB7639"/>
      </patternFill>
    </fill>
    <fill>
      <patternFill patternType="darkGray">
        <fgColor rgb="FFAB7639"/>
        <bgColor rgb="FFEF9619"/>
      </patternFill>
    </fill>
    <fill>
      <patternFill patternType="darkGray">
        <fgColor rgb="FFAB7639"/>
        <bgColor rgb="FF924E01"/>
      </patternFill>
    </fill>
    <fill>
      <patternFill patternType="lightGray">
        <fgColor rgb="FFF0EEE9"/>
        <bgColor rgb="FFF5EFE9"/>
      </patternFill>
    </fill>
    <fill>
      <patternFill patternType="solid">
        <fgColor rgb="FFAB7639"/>
        <bgColor rgb="FF924E01"/>
      </patternFill>
    </fill>
    <fill>
      <patternFill patternType="mediumGray">
        <fgColor rgb="FFEF9619"/>
        <bgColor rgb="FFAB7639"/>
      </patternFill>
    </fill>
    <fill>
      <patternFill patternType="mediumGray">
        <fgColor rgb="FFF5EFE9"/>
        <bgColor rgb="FFFEF3E5"/>
      </patternFill>
    </fill>
    <fill>
      <patternFill patternType="mediumGray">
        <fgColor rgb="FFEDEFF1"/>
        <bgColor rgb="FFEFEFEF"/>
      </patternFill>
    </fill>
    <fill>
      <patternFill patternType="darkGray">
        <fgColor rgb="FFEF9619"/>
        <bgColor rgb="FFAB7639"/>
      </patternFill>
    </fill>
    <fill>
      <patternFill patternType="darkGray">
        <fgColor rgb="FFFEF3E5"/>
        <bgColor rgb="FFF5EFE9"/>
      </patternFill>
    </fill>
    <fill>
      <patternFill patternType="mediumGray">
        <fgColor rgb="FFA10311"/>
        <bgColor rgb="FFDB0828"/>
      </patternFill>
    </fill>
    <fill>
      <patternFill patternType="mediumGray">
        <fgColor rgb="FFFAE7E7"/>
        <bgColor rgb="FFF4E3EE"/>
      </patternFill>
    </fill>
    <fill>
      <patternFill patternType="mediumGray">
        <fgColor rgb="FFD4C4B6"/>
        <bgColor rgb="FFB8CCE4"/>
      </patternFill>
    </fill>
    <fill>
      <patternFill patternType="solid">
        <fgColor rgb="FFF5F5F8"/>
        <bgColor rgb="FFF4FAFC"/>
      </patternFill>
    </fill>
    <fill>
      <patternFill patternType="solid">
        <fgColor rgb="FFF4B6C5"/>
        <bgColor rgb="FFFFC7CE"/>
      </patternFill>
    </fill>
    <fill>
      <patternFill patternType="darkGray">
        <fgColor rgb="FFFDFAF8"/>
        <bgColor rgb="FFF5F5F8"/>
      </patternFill>
    </fill>
    <fill>
      <patternFill patternType="darkGray">
        <fgColor rgb="FFB8CCE4"/>
        <bgColor rgb="FFBDD7EE"/>
      </patternFill>
    </fill>
    <fill>
      <patternFill patternType="darkGray">
        <fgColor rgb="FFF4FAFC"/>
        <bgColor rgb="FFF9FCF7"/>
      </patternFill>
    </fill>
    <fill>
      <patternFill patternType="mediumGray">
        <fgColor rgb="FFFEEAA0"/>
        <bgColor rgb="FFFFC7CE"/>
      </patternFill>
    </fill>
    <fill>
      <patternFill patternType="darkGray">
        <fgColor rgb="FFFE6009"/>
        <bgColor rgb="FFEA4C4A"/>
      </patternFill>
    </fill>
    <fill>
      <patternFill patternType="mediumGray">
        <fgColor rgb="FFFAE7E7"/>
        <bgColor rgb="FFFFECEC"/>
      </patternFill>
    </fill>
    <fill>
      <patternFill patternType="solid">
        <fgColor rgb="FF654A74"/>
        <bgColor rgb="FF7A7E6C"/>
      </patternFill>
    </fill>
    <fill>
      <patternFill patternType="darkGray">
        <fgColor rgb="FFEBE8EF"/>
        <bgColor rgb="FFF4E3EE"/>
      </patternFill>
    </fill>
    <fill>
      <patternFill patternType="darkGray">
        <fgColor rgb="FFA10311"/>
        <bgColor rgb="FFDB0828"/>
      </patternFill>
    </fill>
    <fill>
      <patternFill patternType="darkGray">
        <fgColor rgb="FFFBE0EC"/>
        <bgColor rgb="FFF4E3EE"/>
      </patternFill>
    </fill>
    <fill>
      <patternFill patternType="mediumGray">
        <fgColor rgb="FFF5F5F8"/>
        <bgColor rgb="FFF3F3F3"/>
      </patternFill>
    </fill>
    <fill>
      <patternFill patternType="mediumGray">
        <fgColor rgb="FFE9E6E3"/>
        <bgColor rgb="FFEBE8EF"/>
      </patternFill>
    </fill>
    <fill>
      <patternFill patternType="solid">
        <fgColor rgb="FFFEF3E5"/>
        <bgColor rgb="FFF5EFE9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 wrapText="1"/>
    </xf>
    <xf numFmtId="0" fontId="11" fillId="25" borderId="1" xfId="0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center" vertical="center" wrapText="1"/>
    </xf>
    <xf numFmtId="0" fontId="11" fillId="27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11" fillId="29" borderId="1" xfId="0" applyFont="1" applyFill="1" applyBorder="1" applyAlignment="1">
      <alignment horizontal="center" vertical="center" wrapText="1"/>
    </xf>
    <xf numFmtId="0" fontId="5" fillId="30" borderId="1" xfId="0" applyFont="1" applyFill="1" applyBorder="1" applyAlignment="1">
      <alignment horizontal="center" vertical="center" wrapText="1"/>
    </xf>
    <xf numFmtId="0" fontId="11" fillId="31" borderId="1" xfId="0" applyFont="1" applyFill="1" applyBorder="1" applyAlignment="1">
      <alignment horizontal="center" vertical="center" wrapText="1"/>
    </xf>
    <xf numFmtId="0" fontId="5" fillId="32" borderId="1" xfId="0" applyFont="1" applyFill="1" applyBorder="1" applyAlignment="1">
      <alignment horizontal="center" vertical="center" wrapText="1"/>
    </xf>
    <xf numFmtId="0" fontId="11" fillId="33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5" fillId="34" borderId="1" xfId="0" applyFont="1" applyFill="1" applyBorder="1" applyAlignment="1">
      <alignment horizontal="center" vertical="center" wrapText="1"/>
    </xf>
    <xf numFmtId="0" fontId="11" fillId="35" borderId="1" xfId="0" applyFont="1" applyFill="1" applyBorder="1" applyAlignment="1">
      <alignment horizontal="center" vertical="center" wrapText="1"/>
    </xf>
    <xf numFmtId="0" fontId="5" fillId="36" borderId="1" xfId="0" applyFont="1" applyFill="1" applyBorder="1" applyAlignment="1">
      <alignment horizontal="center" vertical="center" wrapText="1"/>
    </xf>
    <xf numFmtId="0" fontId="11" fillId="37" borderId="1" xfId="0" applyFont="1" applyFill="1" applyBorder="1" applyAlignment="1">
      <alignment horizontal="center" vertical="center" wrapText="1"/>
    </xf>
    <xf numFmtId="0" fontId="5" fillId="38" borderId="1" xfId="0" applyFont="1" applyFill="1" applyBorder="1" applyAlignment="1">
      <alignment horizontal="center" vertical="center" wrapText="1"/>
    </xf>
    <xf numFmtId="0" fontId="5" fillId="39" borderId="1" xfId="0" applyFont="1" applyFill="1" applyBorder="1" applyAlignment="1">
      <alignment horizontal="center" vertical="center" wrapText="1"/>
    </xf>
    <xf numFmtId="0" fontId="11" fillId="40" borderId="1" xfId="0" applyFont="1" applyFill="1" applyBorder="1" applyAlignment="1">
      <alignment horizontal="center" vertical="center" wrapText="1"/>
    </xf>
    <xf numFmtId="0" fontId="5" fillId="41" borderId="1" xfId="0" applyFont="1" applyFill="1" applyBorder="1" applyAlignment="1">
      <alignment horizontal="center" vertical="center" wrapText="1"/>
    </xf>
    <xf numFmtId="0" fontId="11" fillId="42" borderId="1" xfId="0" applyFont="1" applyFill="1" applyBorder="1" applyAlignment="1">
      <alignment horizontal="center" vertical="center" wrapText="1"/>
    </xf>
    <xf numFmtId="0" fontId="5" fillId="43" borderId="1" xfId="0" applyFont="1" applyFill="1" applyBorder="1" applyAlignment="1">
      <alignment horizontal="center" vertical="center" wrapText="1"/>
    </xf>
    <xf numFmtId="0" fontId="11" fillId="44" borderId="1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 wrapText="1"/>
    </xf>
    <xf numFmtId="0" fontId="5" fillId="46" borderId="1" xfId="0" applyFont="1" applyFill="1" applyBorder="1" applyAlignment="1">
      <alignment horizontal="center" vertical="center" wrapText="1"/>
    </xf>
    <xf numFmtId="0" fontId="11" fillId="47" borderId="1" xfId="0" applyFont="1" applyFill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 wrapText="1"/>
    </xf>
    <xf numFmtId="0" fontId="11" fillId="49" borderId="1" xfId="0" applyFont="1" applyFill="1" applyBorder="1" applyAlignment="1">
      <alignment horizontal="center" vertical="center" wrapText="1"/>
    </xf>
    <xf numFmtId="0" fontId="11" fillId="50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11" fillId="52" borderId="1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11" fillId="54" borderId="1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11" fillId="56" borderId="1" xfId="0" applyFont="1" applyFill="1" applyBorder="1" applyAlignment="1">
      <alignment horizontal="center" vertical="center" wrapText="1"/>
    </xf>
    <xf numFmtId="0" fontId="5" fillId="57" borderId="1" xfId="0" applyFont="1" applyFill="1" applyBorder="1" applyAlignment="1">
      <alignment horizontal="center" vertical="center" wrapText="1"/>
    </xf>
    <xf numFmtId="0" fontId="11" fillId="58" borderId="1" xfId="0" applyFont="1" applyFill="1" applyBorder="1" applyAlignment="1">
      <alignment horizontal="center" vertical="center" wrapText="1"/>
    </xf>
    <xf numFmtId="0" fontId="5" fillId="59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60" borderId="1" xfId="0" applyFont="1" applyFill="1" applyBorder="1" applyAlignment="1">
      <alignment horizontal="center" vertical="center" wrapText="1"/>
    </xf>
    <xf numFmtId="0" fontId="11" fillId="61" borderId="1" xfId="0" applyFont="1" applyFill="1" applyBorder="1" applyAlignment="1">
      <alignment horizontal="center" vertical="center" wrapText="1"/>
    </xf>
    <xf numFmtId="0" fontId="5" fillId="62" borderId="1" xfId="0" applyFont="1" applyFill="1" applyBorder="1" applyAlignment="1">
      <alignment horizontal="center" vertical="center" wrapText="1"/>
    </xf>
    <xf numFmtId="0" fontId="11" fillId="63" borderId="1" xfId="0" applyFont="1" applyFill="1" applyBorder="1" applyAlignment="1">
      <alignment horizontal="center" vertical="center" wrapText="1"/>
    </xf>
    <xf numFmtId="0" fontId="5" fillId="64" borderId="1" xfId="0" applyFont="1" applyFill="1" applyBorder="1" applyAlignment="1">
      <alignment horizontal="center" vertical="center" wrapText="1"/>
    </xf>
    <xf numFmtId="0" fontId="11" fillId="65" borderId="1" xfId="0" applyFont="1" applyFill="1" applyBorder="1" applyAlignment="1">
      <alignment horizontal="center" vertical="center" wrapText="1"/>
    </xf>
    <xf numFmtId="0" fontId="5" fillId="66" borderId="1" xfId="0" applyFont="1" applyFill="1" applyBorder="1" applyAlignment="1">
      <alignment horizontal="center" vertical="center" wrapText="1"/>
    </xf>
    <xf numFmtId="0" fontId="11" fillId="67" borderId="1" xfId="0" applyFont="1" applyFill="1" applyBorder="1" applyAlignment="1">
      <alignment horizontal="center" vertical="center" wrapText="1"/>
    </xf>
    <xf numFmtId="0" fontId="11" fillId="68" borderId="1" xfId="0" applyFont="1" applyFill="1" applyBorder="1" applyAlignment="1">
      <alignment horizontal="center" vertical="center" wrapText="1"/>
    </xf>
    <xf numFmtId="0" fontId="5" fillId="69" borderId="1" xfId="0" applyFont="1" applyFill="1" applyBorder="1" applyAlignment="1">
      <alignment horizontal="center" vertical="center" wrapText="1"/>
    </xf>
    <xf numFmtId="0" fontId="11" fillId="70" borderId="1" xfId="0" applyFont="1" applyFill="1" applyBorder="1" applyAlignment="1">
      <alignment horizontal="center" vertical="center" wrapText="1"/>
    </xf>
    <xf numFmtId="0" fontId="5" fillId="71" borderId="1" xfId="0" applyFont="1" applyFill="1" applyBorder="1" applyAlignment="1">
      <alignment horizontal="center" vertical="center" wrapText="1"/>
    </xf>
    <xf numFmtId="0" fontId="5" fillId="72" borderId="1" xfId="0" applyFont="1" applyFill="1" applyBorder="1" applyAlignment="1">
      <alignment horizontal="center" vertical="center" wrapText="1"/>
    </xf>
    <xf numFmtId="0" fontId="11" fillId="73" borderId="1" xfId="0" applyFont="1" applyFill="1" applyBorder="1" applyAlignment="1">
      <alignment horizontal="center" vertical="center" wrapText="1"/>
    </xf>
    <xf numFmtId="0" fontId="5" fillId="74" borderId="1" xfId="0" applyFont="1" applyFill="1" applyBorder="1" applyAlignment="1">
      <alignment horizontal="center" vertical="center" wrapText="1"/>
    </xf>
    <xf numFmtId="0" fontId="11" fillId="75" borderId="1" xfId="0" applyFont="1" applyFill="1" applyBorder="1" applyAlignment="1">
      <alignment horizontal="center" vertical="center" wrapText="1"/>
    </xf>
    <xf numFmtId="0" fontId="5" fillId="76" borderId="1" xfId="0" applyFont="1" applyFill="1" applyBorder="1" applyAlignment="1">
      <alignment horizontal="center" vertical="center" wrapText="1"/>
    </xf>
    <xf numFmtId="0" fontId="11" fillId="77" borderId="1" xfId="0" applyFont="1" applyFill="1" applyBorder="1" applyAlignment="1">
      <alignment horizontal="center" vertical="center" wrapText="1"/>
    </xf>
    <xf numFmtId="0" fontId="5" fillId="78" borderId="1" xfId="0" applyFont="1" applyFill="1" applyBorder="1" applyAlignment="1">
      <alignment horizontal="center" vertical="center" wrapText="1"/>
    </xf>
    <xf numFmtId="0" fontId="11" fillId="79" borderId="1" xfId="0" applyFont="1" applyFill="1" applyBorder="1" applyAlignment="1">
      <alignment horizontal="center" vertical="center" wrapText="1"/>
    </xf>
    <xf numFmtId="0" fontId="5" fillId="80" borderId="1" xfId="0" applyFont="1" applyFill="1" applyBorder="1" applyAlignment="1">
      <alignment horizontal="center" vertical="center" wrapText="1"/>
    </xf>
    <xf numFmtId="0" fontId="11" fillId="81" borderId="1" xfId="0" applyFont="1" applyFill="1" applyBorder="1" applyAlignment="1">
      <alignment horizontal="center" vertical="center" wrapText="1"/>
    </xf>
    <xf numFmtId="0" fontId="5" fillId="82" borderId="1" xfId="0" applyFont="1" applyFill="1" applyBorder="1" applyAlignment="1">
      <alignment horizontal="center" vertical="center" wrapText="1"/>
    </xf>
    <xf numFmtId="0" fontId="11" fillId="83" borderId="1" xfId="0" applyFont="1" applyFill="1" applyBorder="1" applyAlignment="1">
      <alignment horizontal="center" vertical="center" wrapText="1"/>
    </xf>
    <xf numFmtId="0" fontId="5" fillId="84" borderId="1" xfId="0" applyFont="1" applyFill="1" applyBorder="1" applyAlignment="1">
      <alignment horizontal="center" vertical="center" wrapText="1"/>
    </xf>
    <xf numFmtId="0" fontId="11" fillId="85" borderId="1" xfId="0" applyFont="1" applyFill="1" applyBorder="1" applyAlignment="1">
      <alignment horizontal="center" vertical="center" wrapText="1"/>
    </xf>
    <xf numFmtId="0" fontId="5" fillId="86" borderId="1" xfId="0" applyFont="1" applyFill="1" applyBorder="1" applyAlignment="1">
      <alignment horizontal="center" vertical="center" wrapText="1"/>
    </xf>
    <xf numFmtId="0" fontId="11" fillId="87" borderId="1" xfId="0" applyFont="1" applyFill="1" applyBorder="1" applyAlignment="1">
      <alignment horizontal="center" vertical="center" wrapText="1"/>
    </xf>
    <xf numFmtId="0" fontId="5" fillId="88" borderId="1" xfId="0" applyFont="1" applyFill="1" applyBorder="1" applyAlignment="1">
      <alignment horizontal="center" vertical="center" wrapText="1"/>
    </xf>
    <xf numFmtId="0" fontId="11" fillId="89" borderId="1" xfId="0" applyFont="1" applyFill="1" applyBorder="1" applyAlignment="1">
      <alignment horizontal="center" vertical="center" wrapText="1"/>
    </xf>
    <xf numFmtId="0" fontId="5" fillId="90" borderId="1" xfId="0" applyFont="1" applyFill="1" applyBorder="1" applyAlignment="1">
      <alignment horizontal="center" vertical="center" wrapText="1"/>
    </xf>
    <xf numFmtId="0" fontId="11" fillId="91" borderId="1" xfId="0" applyFont="1" applyFill="1" applyBorder="1" applyAlignment="1">
      <alignment horizontal="center" vertical="center" wrapText="1"/>
    </xf>
    <xf numFmtId="0" fontId="5" fillId="92" borderId="1" xfId="0" applyFont="1" applyFill="1" applyBorder="1" applyAlignment="1">
      <alignment horizontal="center" vertical="center" wrapText="1"/>
    </xf>
    <xf numFmtId="0" fontId="11" fillId="93" borderId="1" xfId="0" applyFont="1" applyFill="1" applyBorder="1" applyAlignment="1">
      <alignment horizontal="center" vertical="center" wrapText="1"/>
    </xf>
    <xf numFmtId="0" fontId="5" fillId="94" borderId="1" xfId="0" applyFont="1" applyFill="1" applyBorder="1" applyAlignment="1">
      <alignment horizontal="center" vertical="center" wrapText="1"/>
    </xf>
    <xf numFmtId="0" fontId="5" fillId="95" borderId="1" xfId="0" applyFont="1" applyFill="1" applyBorder="1" applyAlignment="1">
      <alignment horizontal="center" vertical="center" wrapText="1"/>
    </xf>
    <xf numFmtId="0" fontId="11" fillId="96" borderId="1" xfId="0" applyFont="1" applyFill="1" applyBorder="1" applyAlignment="1">
      <alignment horizontal="center" vertical="center" wrapText="1"/>
    </xf>
    <xf numFmtId="0" fontId="5" fillId="97" borderId="1" xfId="0" applyFont="1" applyFill="1" applyBorder="1" applyAlignment="1">
      <alignment horizontal="center" vertical="center" wrapText="1"/>
    </xf>
    <xf numFmtId="0" fontId="11" fillId="98" borderId="1" xfId="0" applyFont="1" applyFill="1" applyBorder="1" applyAlignment="1">
      <alignment horizontal="center" vertical="center" wrapText="1"/>
    </xf>
    <xf numFmtId="0" fontId="5" fillId="99" borderId="1" xfId="0" applyFont="1" applyFill="1" applyBorder="1" applyAlignment="1">
      <alignment horizontal="center" vertical="center" wrapText="1"/>
    </xf>
    <xf numFmtId="0" fontId="11" fillId="100" borderId="1" xfId="0" applyFont="1" applyFill="1" applyBorder="1" applyAlignment="1">
      <alignment horizontal="center" vertical="center" wrapText="1"/>
    </xf>
    <xf numFmtId="0" fontId="5" fillId="101" borderId="1" xfId="0" applyFont="1" applyFill="1" applyBorder="1" applyAlignment="1">
      <alignment horizontal="center" vertical="center" wrapText="1"/>
    </xf>
    <xf numFmtId="0" fontId="11" fillId="102" borderId="1" xfId="0" applyFont="1" applyFill="1" applyBorder="1" applyAlignment="1">
      <alignment horizontal="center" vertical="center" wrapText="1"/>
    </xf>
    <xf numFmtId="0" fontId="11" fillId="103" borderId="1" xfId="0" applyFont="1" applyFill="1" applyBorder="1" applyAlignment="1">
      <alignment horizontal="center" vertical="center" wrapText="1"/>
    </xf>
    <xf numFmtId="0" fontId="5" fillId="104" borderId="1" xfId="0" applyFont="1" applyFill="1" applyBorder="1" applyAlignment="1">
      <alignment horizontal="center" vertical="center" wrapText="1"/>
    </xf>
    <xf numFmtId="0" fontId="11" fillId="105" borderId="1" xfId="0" applyFont="1" applyFill="1" applyBorder="1" applyAlignment="1">
      <alignment horizontal="center" vertical="center" wrapText="1"/>
    </xf>
    <xf numFmtId="0" fontId="5" fillId="106" borderId="1" xfId="0" applyFont="1" applyFill="1" applyBorder="1" applyAlignment="1">
      <alignment horizontal="center" vertical="center" wrapText="1"/>
    </xf>
    <xf numFmtId="0" fontId="5" fillId="107" borderId="1" xfId="0" applyFont="1" applyFill="1" applyBorder="1" applyAlignment="1">
      <alignment horizontal="center" vertical="center" wrapText="1"/>
    </xf>
    <xf numFmtId="0" fontId="11" fillId="108" borderId="1" xfId="0" applyFont="1" applyFill="1" applyBorder="1" applyAlignment="1">
      <alignment horizontal="center" vertical="center" wrapText="1"/>
    </xf>
    <xf numFmtId="0" fontId="5" fillId="109" borderId="1" xfId="0" applyFont="1" applyFill="1" applyBorder="1" applyAlignment="1">
      <alignment horizontal="center" vertical="center" wrapText="1"/>
    </xf>
    <xf numFmtId="0" fontId="11" fillId="110" borderId="1" xfId="0" applyFont="1" applyFill="1" applyBorder="1" applyAlignment="1">
      <alignment horizontal="center" vertical="center" wrapText="1"/>
    </xf>
    <xf numFmtId="0" fontId="5" fillId="111" borderId="1" xfId="0" applyFont="1" applyFill="1" applyBorder="1" applyAlignment="1">
      <alignment horizontal="center" vertical="center" wrapText="1"/>
    </xf>
    <xf numFmtId="0" fontId="11" fillId="112" borderId="1" xfId="0" applyFont="1" applyFill="1" applyBorder="1" applyAlignment="1">
      <alignment horizontal="center" vertical="center" wrapText="1"/>
    </xf>
    <xf numFmtId="0" fontId="5" fillId="113" borderId="1" xfId="0" applyFont="1" applyFill="1" applyBorder="1" applyAlignment="1">
      <alignment horizontal="center" vertical="center" wrapText="1"/>
    </xf>
    <xf numFmtId="0" fontId="11" fillId="114" borderId="1" xfId="0" applyFont="1" applyFill="1" applyBorder="1" applyAlignment="1">
      <alignment horizontal="center" vertical="center" wrapText="1"/>
    </xf>
    <xf numFmtId="0" fontId="5" fillId="115" borderId="1" xfId="0" applyFont="1" applyFill="1" applyBorder="1" applyAlignment="1">
      <alignment horizontal="center" vertical="center" wrapText="1"/>
    </xf>
    <xf numFmtId="0" fontId="5" fillId="116" borderId="1" xfId="0" applyFont="1" applyFill="1" applyBorder="1" applyAlignment="1">
      <alignment horizontal="center" vertical="center" wrapText="1"/>
    </xf>
    <xf numFmtId="0" fontId="11" fillId="117" borderId="1" xfId="0" applyFont="1" applyFill="1" applyBorder="1" applyAlignment="1">
      <alignment horizontal="center" vertical="center" wrapText="1"/>
    </xf>
    <xf numFmtId="0" fontId="5" fillId="118" borderId="1" xfId="0" applyFont="1" applyFill="1" applyBorder="1" applyAlignment="1">
      <alignment horizontal="center" vertical="center" wrapText="1"/>
    </xf>
    <xf numFmtId="0" fontId="11" fillId="119" borderId="1" xfId="0" applyFont="1" applyFill="1" applyBorder="1" applyAlignment="1">
      <alignment horizontal="center" vertical="center" wrapText="1"/>
    </xf>
    <xf numFmtId="0" fontId="5" fillId="120" borderId="1" xfId="0" applyFont="1" applyFill="1" applyBorder="1" applyAlignment="1">
      <alignment horizontal="center" vertical="center" wrapText="1"/>
    </xf>
    <xf numFmtId="0" fontId="11" fillId="121" borderId="1" xfId="0" applyFont="1" applyFill="1" applyBorder="1" applyAlignment="1">
      <alignment horizontal="center" vertical="center" wrapText="1"/>
    </xf>
    <xf numFmtId="0" fontId="5" fillId="122" borderId="1" xfId="0" applyFont="1" applyFill="1" applyBorder="1" applyAlignment="1">
      <alignment horizontal="center" vertical="center" wrapText="1"/>
    </xf>
    <xf numFmtId="0" fontId="11" fillId="123" borderId="1" xfId="0" applyFont="1" applyFill="1" applyBorder="1" applyAlignment="1">
      <alignment horizontal="center" vertical="center" wrapText="1"/>
    </xf>
    <xf numFmtId="0" fontId="11" fillId="124" borderId="1" xfId="0" applyFont="1" applyFill="1" applyBorder="1" applyAlignment="1">
      <alignment horizontal="center" vertical="center" wrapText="1"/>
    </xf>
    <xf numFmtId="0" fontId="11" fillId="125" borderId="1" xfId="0" applyFont="1" applyFill="1" applyBorder="1" applyAlignment="1">
      <alignment horizontal="center" vertical="center" wrapText="1"/>
    </xf>
    <xf numFmtId="0" fontId="5" fillId="126" borderId="1" xfId="0" applyFont="1" applyFill="1" applyBorder="1" applyAlignment="1">
      <alignment horizontal="center" vertical="center" wrapText="1"/>
    </xf>
    <xf numFmtId="0" fontId="5" fillId="127" borderId="1" xfId="0" applyFont="1" applyFill="1" applyBorder="1" applyAlignment="1">
      <alignment horizontal="center" vertical="center" wrapText="1"/>
    </xf>
    <xf numFmtId="0" fontId="11" fillId="128" borderId="1" xfId="0" applyFont="1" applyFill="1" applyBorder="1" applyAlignment="1">
      <alignment horizontal="center" vertical="center" wrapText="1"/>
    </xf>
    <xf numFmtId="0" fontId="5" fillId="129" borderId="1" xfId="0" applyFont="1" applyFill="1" applyBorder="1" applyAlignment="1">
      <alignment horizontal="center" vertical="center" wrapText="1"/>
    </xf>
    <xf numFmtId="0" fontId="5" fillId="130" borderId="1" xfId="0" applyFont="1" applyFill="1" applyBorder="1" applyAlignment="1">
      <alignment horizontal="center" vertical="center" wrapText="1"/>
    </xf>
    <xf numFmtId="0" fontId="11" fillId="131" borderId="1" xfId="0" applyFont="1" applyFill="1" applyBorder="1" applyAlignment="1">
      <alignment horizontal="center" vertical="center" wrapText="1"/>
    </xf>
    <xf numFmtId="0" fontId="5" fillId="132" borderId="1" xfId="0" applyFont="1" applyFill="1" applyBorder="1" applyAlignment="1">
      <alignment horizontal="center" vertical="center" wrapText="1"/>
    </xf>
    <xf numFmtId="0" fontId="11" fillId="133" borderId="1" xfId="0" applyFont="1" applyFill="1" applyBorder="1" applyAlignment="1">
      <alignment horizontal="center" vertical="center" wrapText="1"/>
    </xf>
    <xf numFmtId="0" fontId="5" fillId="134" borderId="1" xfId="0" applyFont="1" applyFill="1" applyBorder="1" applyAlignment="1">
      <alignment horizontal="center" vertical="center" wrapText="1"/>
    </xf>
    <xf numFmtId="0" fontId="11" fillId="135" borderId="1" xfId="0" applyFont="1" applyFill="1" applyBorder="1" applyAlignment="1">
      <alignment horizontal="center" vertical="center" wrapText="1"/>
    </xf>
    <xf numFmtId="0" fontId="5" fillId="136" borderId="1" xfId="0" applyFont="1" applyFill="1" applyBorder="1" applyAlignment="1">
      <alignment horizontal="center" vertical="center" wrapText="1"/>
    </xf>
    <xf numFmtId="0" fontId="11" fillId="137" borderId="1" xfId="0" applyFont="1" applyFill="1" applyBorder="1" applyAlignment="1">
      <alignment horizontal="center" vertical="center" wrapText="1"/>
    </xf>
    <xf numFmtId="0" fontId="11" fillId="138" borderId="1" xfId="0" applyFont="1" applyFill="1" applyBorder="1" applyAlignment="1">
      <alignment horizontal="center" vertical="center" wrapText="1"/>
    </xf>
    <xf numFmtId="0" fontId="5" fillId="139" borderId="1" xfId="0" applyFont="1" applyFill="1" applyBorder="1" applyAlignment="1">
      <alignment horizontal="center" vertical="center" wrapText="1"/>
    </xf>
    <xf numFmtId="0" fontId="5" fillId="140" borderId="1" xfId="0" applyFont="1" applyFill="1" applyBorder="1" applyAlignment="1">
      <alignment horizontal="center" vertical="center" wrapText="1"/>
    </xf>
    <xf numFmtId="0" fontId="11" fillId="141" borderId="1" xfId="0" applyFont="1" applyFill="1" applyBorder="1" applyAlignment="1">
      <alignment horizontal="center" vertical="center" wrapText="1"/>
    </xf>
    <xf numFmtId="0" fontId="11" fillId="142" borderId="1" xfId="0" applyFont="1" applyFill="1" applyBorder="1" applyAlignment="1">
      <alignment horizontal="center" vertical="center" wrapText="1"/>
    </xf>
    <xf numFmtId="0" fontId="5" fillId="143" borderId="1" xfId="0" applyFont="1" applyFill="1" applyBorder="1" applyAlignment="1">
      <alignment horizontal="center" vertical="center" wrapText="1"/>
    </xf>
    <xf numFmtId="0" fontId="11" fillId="144" borderId="1" xfId="0" applyFont="1" applyFill="1" applyBorder="1" applyAlignment="1">
      <alignment horizontal="center" vertical="center" wrapText="1"/>
    </xf>
    <xf numFmtId="0" fontId="5" fillId="145" borderId="1" xfId="0" applyFont="1" applyFill="1" applyBorder="1" applyAlignment="1">
      <alignment horizontal="center" vertical="center" wrapText="1"/>
    </xf>
    <xf numFmtId="0" fontId="11" fillId="146" borderId="1" xfId="0" applyFont="1" applyFill="1" applyBorder="1" applyAlignment="1">
      <alignment horizontal="center" vertical="center" wrapText="1"/>
    </xf>
    <xf numFmtId="0" fontId="5" fillId="147" borderId="1" xfId="0" applyFont="1" applyFill="1" applyBorder="1" applyAlignment="1">
      <alignment horizontal="center" vertical="center" wrapText="1"/>
    </xf>
    <xf numFmtId="0" fontId="11" fillId="148" borderId="1" xfId="0" applyFont="1" applyFill="1" applyBorder="1" applyAlignment="1">
      <alignment horizontal="center" vertical="center" wrapText="1"/>
    </xf>
    <xf numFmtId="0" fontId="5" fillId="149" borderId="1" xfId="0" applyFont="1" applyFill="1" applyBorder="1" applyAlignment="1">
      <alignment horizontal="center" vertical="center" wrapText="1"/>
    </xf>
    <xf numFmtId="0" fontId="5" fillId="150" borderId="1" xfId="0" applyFont="1" applyFill="1" applyBorder="1" applyAlignment="1">
      <alignment horizontal="center" vertical="center" wrapText="1"/>
    </xf>
    <xf numFmtId="0" fontId="5" fillId="151" borderId="1" xfId="0" applyFont="1" applyFill="1" applyBorder="1" applyAlignment="1">
      <alignment horizontal="center" vertical="center" wrapText="1"/>
    </xf>
    <xf numFmtId="0" fontId="11" fillId="152" borderId="1" xfId="0" applyFont="1" applyFill="1" applyBorder="1" applyAlignment="1">
      <alignment horizontal="center" vertical="center" wrapText="1"/>
    </xf>
    <xf numFmtId="0" fontId="5" fillId="153" borderId="1" xfId="0" applyFont="1" applyFill="1" applyBorder="1" applyAlignment="1">
      <alignment horizontal="center" vertical="center" wrapText="1"/>
    </xf>
    <xf numFmtId="0" fontId="5" fillId="154" borderId="1" xfId="0" applyFont="1" applyFill="1" applyBorder="1" applyAlignment="1">
      <alignment horizontal="center" vertical="center" wrapText="1"/>
    </xf>
    <xf numFmtId="0" fontId="11" fillId="155" borderId="1" xfId="0" applyFont="1" applyFill="1" applyBorder="1" applyAlignment="1">
      <alignment horizontal="center" vertical="center" wrapText="1"/>
    </xf>
    <xf numFmtId="0" fontId="5" fillId="156" borderId="1" xfId="0" applyFont="1" applyFill="1" applyBorder="1" applyAlignment="1">
      <alignment horizontal="center" vertical="center" wrapText="1"/>
    </xf>
    <xf numFmtId="0" fontId="5" fillId="157" borderId="1" xfId="0" applyFont="1" applyFill="1" applyBorder="1" applyAlignment="1">
      <alignment horizontal="center" vertical="center" wrapText="1"/>
    </xf>
    <xf numFmtId="0" fontId="11" fillId="158" borderId="1" xfId="0" applyFont="1" applyFill="1" applyBorder="1" applyAlignment="1">
      <alignment horizontal="center" vertical="center" wrapText="1"/>
    </xf>
    <xf numFmtId="0" fontId="5" fillId="159" borderId="1" xfId="0" applyFont="1" applyFill="1" applyBorder="1" applyAlignment="1">
      <alignment horizontal="center" vertical="center" wrapText="1"/>
    </xf>
    <xf numFmtId="0" fontId="11" fillId="160" borderId="1" xfId="0" applyFont="1" applyFill="1" applyBorder="1" applyAlignment="1">
      <alignment horizontal="center" vertical="center" wrapText="1"/>
    </xf>
    <xf numFmtId="0" fontId="5" fillId="161" borderId="1" xfId="0" applyFont="1" applyFill="1" applyBorder="1" applyAlignment="1">
      <alignment horizontal="center" vertical="center" wrapText="1"/>
    </xf>
    <xf numFmtId="0" fontId="11" fillId="162" borderId="1" xfId="0" applyFont="1" applyFill="1" applyBorder="1" applyAlignment="1">
      <alignment horizontal="center" vertical="center" wrapText="1"/>
    </xf>
    <xf numFmtId="0" fontId="5" fillId="163" borderId="1" xfId="0" applyFont="1" applyFill="1" applyBorder="1" applyAlignment="1">
      <alignment horizontal="center" vertical="center" wrapText="1"/>
    </xf>
    <xf numFmtId="0" fontId="11" fillId="164" borderId="1" xfId="0" applyFont="1" applyFill="1" applyBorder="1" applyAlignment="1">
      <alignment horizontal="center" vertical="center" wrapText="1"/>
    </xf>
    <xf numFmtId="0" fontId="5" fillId="165" borderId="1" xfId="0" applyFont="1" applyFill="1" applyBorder="1" applyAlignment="1">
      <alignment horizontal="center" vertical="center" wrapText="1"/>
    </xf>
    <xf numFmtId="0" fontId="11" fillId="166" borderId="1" xfId="0" applyFont="1" applyFill="1" applyBorder="1" applyAlignment="1">
      <alignment horizontal="center" vertical="center" wrapText="1"/>
    </xf>
    <xf numFmtId="0" fontId="5" fillId="167" borderId="1" xfId="0" applyFont="1" applyFill="1" applyBorder="1" applyAlignment="1">
      <alignment horizontal="center" vertical="center" wrapText="1"/>
    </xf>
    <xf numFmtId="0" fontId="5" fillId="168" borderId="1" xfId="0" applyFont="1" applyFill="1" applyBorder="1" applyAlignment="1">
      <alignment horizontal="center" vertical="center" wrapText="1"/>
    </xf>
    <xf numFmtId="0" fontId="11" fillId="169" borderId="1" xfId="0" applyFont="1" applyFill="1" applyBorder="1" applyAlignment="1">
      <alignment horizontal="center" vertical="center" wrapText="1"/>
    </xf>
    <xf numFmtId="0" fontId="5" fillId="170" borderId="1" xfId="0" applyFont="1" applyFill="1" applyBorder="1" applyAlignment="1">
      <alignment horizontal="center" vertical="center" wrapText="1"/>
    </xf>
    <xf numFmtId="0" fontId="11" fillId="171" borderId="1" xfId="0" applyFont="1" applyFill="1" applyBorder="1" applyAlignment="1">
      <alignment horizontal="center" vertical="center" wrapText="1"/>
    </xf>
    <xf numFmtId="0" fontId="5" fillId="172" borderId="1" xfId="0" applyFont="1" applyFill="1" applyBorder="1" applyAlignment="1">
      <alignment horizontal="center" vertical="center" wrapText="1"/>
    </xf>
    <xf numFmtId="0" fontId="11" fillId="173" borderId="1" xfId="0" applyFont="1" applyFill="1" applyBorder="1" applyAlignment="1">
      <alignment horizontal="center" vertical="center" wrapText="1"/>
    </xf>
    <xf numFmtId="0" fontId="5" fillId="174" borderId="1" xfId="0" applyFont="1" applyFill="1" applyBorder="1" applyAlignment="1">
      <alignment horizontal="center" vertical="center" wrapText="1"/>
    </xf>
    <xf numFmtId="0" fontId="12" fillId="175" borderId="1" xfId="0" applyFont="1" applyFill="1" applyBorder="1" applyAlignment="1">
      <alignment horizontal="left" vertical="center" wrapText="1"/>
    </xf>
    <xf numFmtId="0" fontId="12" fillId="17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17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5" fillId="176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23"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7F4F00"/>
        <name val="Arial"/>
        <charset val="1"/>
      </font>
      <fill>
        <patternFill>
          <bgColor rgb="FFFFCC66"/>
        </patternFill>
      </fill>
    </dxf>
    <dxf>
      <font>
        <color rgb="FF9C0006"/>
        <name val="Arial"/>
        <charset val="1"/>
      </font>
      <fill>
        <patternFill>
          <bgColor rgb="FFF4B8B8"/>
        </patternFill>
      </fill>
    </dxf>
    <dxf>
      <font>
        <color rgb="FF1F3864"/>
        <name val="Arial"/>
        <charset val="1"/>
      </font>
      <fill>
        <patternFill>
          <bgColor rgb="FFBDD7EE"/>
        </patternFill>
      </fill>
    </dxf>
    <dxf>
      <font>
        <color rgb="FF276221"/>
        <name val="Arial"/>
        <charset val="1"/>
      </font>
      <fill>
        <patternFill>
          <bgColor rgb="FF92D050"/>
        </patternFill>
      </fill>
    </dxf>
    <dxf>
      <font>
        <color rgb="FF7F6000"/>
        <name val="Arial"/>
        <charset val="1"/>
      </font>
      <fill>
        <patternFill>
          <bgColor rgb="FFFFD700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276221"/>
        <name val="Arial"/>
        <charset val="1"/>
      </font>
      <fill>
        <patternFill>
          <bgColor rgb="FFC6EF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B0828"/>
      <rgbColor rgb="FFEDEFF1"/>
      <rgbColor rgb="FFF4FAFC"/>
      <rgbColor rgb="FFFEE401"/>
      <rgbColor rgb="FFFAE7E7"/>
      <rgbColor rgb="FFE1E8F5"/>
      <rgbColor rgb="FFA10311"/>
      <rgbColor rgb="FF295F21"/>
      <rgbColor rgb="FFFDFAF8"/>
      <rgbColor rgb="FFAB7639"/>
      <rgbColor rgb="FFF5EFE9"/>
      <rgbColor rgb="FF009C83"/>
      <rgbColor rgb="FFD4C4B6"/>
      <rgbColor rgb="FF7A7E6C"/>
      <rgbColor rgb="FF709BCB"/>
      <rgbColor rgb="FF654A74"/>
      <rgbColor rgb="FFFEFBE9"/>
      <rgbColor rgb="FFE2F4F8"/>
      <rgbColor rgb="FFEEF4FB"/>
      <rgbColor rgb="FFEA4C4A"/>
      <rgbColor rgb="FF0D4FA1"/>
      <rgbColor rgb="FFBDD7EE"/>
      <rgbColor rgb="FFFEFDFD"/>
      <rgbColor rgb="FFFFECEC"/>
      <rgbColor rgb="FFFAD062"/>
      <rgbColor rgb="FFE9E6E3"/>
      <rgbColor rgb="FFF3F3F3"/>
      <rgbColor rgb="FFFEF3E5"/>
      <rgbColor rgb="FFF0EEE9"/>
      <rgbColor rgb="FFF9FCF7"/>
      <rgbColor rgb="FFEBE8EF"/>
      <rgbColor rgb="FFE5F4EE"/>
      <rgbColor rgb="FFC6EFC2"/>
      <rgbColor rgb="FFFEEAA0"/>
      <rgbColor rgb="FFA5D4EA"/>
      <rgbColor rgb="FFF4B6C5"/>
      <rgbColor rgb="FFB8CCE4"/>
      <rgbColor rgb="FFFFC7CE"/>
      <rgbColor rgb="FFF4E3EE"/>
      <rgbColor rgb="FFE2E2E2"/>
      <rgbColor rgb="FF86CF5C"/>
      <rgbColor rgb="FFFCCA05"/>
      <rgbColor rgb="FFEF9619"/>
      <rgbColor rgb="FFFE6009"/>
      <rgbColor rgb="FF597863"/>
      <rgbColor rgb="FFA3A0B7"/>
      <rgbColor rgb="FF082867"/>
      <rgbColor rgb="FFE1E7EA"/>
      <rgbColor rgb="FFF5F5F8"/>
      <rgbColor rgb="FFEFEFEF"/>
      <rgbColor rgb="FF924E01"/>
      <rgbColor rgb="FFFBE0EC"/>
      <rgbColor rgb="FFF5E9E7"/>
      <rgbColor rgb="FF4F2C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H48"/>
  <sheetViews>
    <sheetView showGridLines="0" zoomScaleNormal="100" workbookViewId="0">
      <selection sqref="A1:H1"/>
    </sheetView>
  </sheetViews>
  <sheetFormatPr defaultColWidth="8.7109375" defaultRowHeight="15" x14ac:dyDescent="0.25"/>
  <cols>
    <col min="1" max="1" width="32" customWidth="1"/>
    <col min="2" max="2" width="16" customWidth="1"/>
    <col min="3" max="8" width="10" customWidth="1"/>
  </cols>
  <sheetData>
    <row r="1" spans="1:8" ht="36" customHeight="1" x14ac:dyDescent="0.25">
      <c r="A1" s="196" t="s">
        <v>0</v>
      </c>
      <c r="B1" s="196"/>
      <c r="C1" s="196"/>
      <c r="D1" s="196"/>
      <c r="E1" s="196"/>
      <c r="F1" s="196"/>
      <c r="G1" s="196"/>
      <c r="H1" s="196"/>
    </row>
    <row r="3" spans="1:8" ht="18" customHeight="1" x14ac:dyDescent="0.25">
      <c r="A3" s="193" t="s">
        <v>1</v>
      </c>
      <c r="B3" s="193"/>
      <c r="C3" s="193"/>
      <c r="D3" s="193"/>
      <c r="E3" s="193"/>
      <c r="F3" s="193"/>
      <c r="G3" s="193"/>
      <c r="H3" s="193"/>
    </row>
    <row r="4" spans="1:8" ht="18" customHeight="1" x14ac:dyDescent="0.25">
      <c r="A4" s="1" t="s">
        <v>2</v>
      </c>
      <c r="B4" s="2">
        <f>COUNTA(Catalog!C3:C1000)-COUNTIF(Catalog!T3:T1000,"~[DISCONTINUED~]*")</f>
        <v>136</v>
      </c>
    </row>
    <row r="5" spans="1:8" ht="18" customHeight="1" x14ac:dyDescent="0.25">
      <c r="A5" s="1" t="s">
        <v>3</v>
      </c>
      <c r="B5" s="3">
        <f>COUNTIF(Catalog!R3:R1000,"S")</f>
        <v>118</v>
      </c>
    </row>
    <row r="6" spans="1:8" ht="18" customHeight="1" x14ac:dyDescent="0.25">
      <c r="A6" s="1" t="s">
        <v>4</v>
      </c>
      <c r="B6" s="4">
        <f>COUNTIF(Catalog!R3:R1000,"A")</f>
        <v>9</v>
      </c>
    </row>
    <row r="7" spans="1:8" ht="18" customHeight="1" x14ac:dyDescent="0.25">
      <c r="A7" s="1" t="s">
        <v>5</v>
      </c>
      <c r="B7" s="5">
        <f>COUNTIF(Catalog!R3:R1000,"B")</f>
        <v>1</v>
      </c>
    </row>
    <row r="8" spans="1:8" ht="18" customHeight="1" x14ac:dyDescent="0.25">
      <c r="A8" s="1" t="s">
        <v>6</v>
      </c>
      <c r="B8" s="6">
        <f>COUNTIF(Catalog!R3:R1000,"C")</f>
        <v>12</v>
      </c>
    </row>
    <row r="9" spans="1:8" ht="18" customHeight="1" x14ac:dyDescent="0.25">
      <c r="A9" s="1" t="s">
        <v>7</v>
      </c>
      <c r="B9" s="7">
        <f>COUNTIF(Catalog!J3:J1000,"Yes")</f>
        <v>0</v>
      </c>
    </row>
    <row r="11" spans="1:8" ht="18" customHeight="1" x14ac:dyDescent="0.25">
      <c r="A11" s="193" t="s">
        <v>8</v>
      </c>
      <c r="B11" s="193"/>
      <c r="C11" s="193"/>
      <c r="D11" s="193"/>
      <c r="E11" s="193"/>
      <c r="F11" s="193"/>
      <c r="G11" s="193"/>
      <c r="H11" s="193"/>
    </row>
    <row r="12" spans="1:8" ht="18" customHeight="1" x14ac:dyDescent="0.25">
      <c r="A12" s="8" t="s">
        <v>9</v>
      </c>
      <c r="B12" s="194" t="s">
        <v>10</v>
      </c>
      <c r="C12" s="194"/>
      <c r="D12" s="194"/>
      <c r="E12" s="194"/>
      <c r="F12" s="194"/>
      <c r="G12" s="194"/>
      <c r="H12" s="194"/>
    </row>
    <row r="13" spans="1:8" ht="18" customHeight="1" x14ac:dyDescent="0.25">
      <c r="A13" s="9" t="s">
        <v>11</v>
      </c>
      <c r="B13" s="194" t="s">
        <v>12</v>
      </c>
      <c r="C13" s="194"/>
      <c r="D13" s="194"/>
      <c r="E13" s="194"/>
      <c r="F13" s="194"/>
      <c r="G13" s="194"/>
      <c r="H13" s="194"/>
    </row>
    <row r="14" spans="1:8" ht="18" customHeight="1" x14ac:dyDescent="0.25">
      <c r="A14" s="10" t="s">
        <v>13</v>
      </c>
      <c r="B14" s="194" t="s">
        <v>14</v>
      </c>
      <c r="C14" s="194"/>
      <c r="D14" s="194"/>
      <c r="E14" s="194"/>
      <c r="F14" s="194"/>
      <c r="G14" s="194"/>
      <c r="H14" s="194"/>
    </row>
    <row r="15" spans="1:8" ht="18" customHeight="1" x14ac:dyDescent="0.25">
      <c r="A15" s="11" t="s">
        <v>15</v>
      </c>
      <c r="B15" s="194" t="s">
        <v>16</v>
      </c>
      <c r="C15" s="194"/>
      <c r="D15" s="194"/>
      <c r="E15" s="194"/>
      <c r="F15" s="194"/>
      <c r="G15" s="194"/>
      <c r="H15" s="194"/>
    </row>
    <row r="17" spans="1:8" ht="18" customHeight="1" x14ac:dyDescent="0.25">
      <c r="A17" s="193" t="s">
        <v>17</v>
      </c>
      <c r="B17" s="193"/>
      <c r="C17" s="193"/>
      <c r="D17" s="193"/>
      <c r="E17" s="193"/>
      <c r="F17" s="193"/>
      <c r="G17" s="193"/>
      <c r="H17" s="193"/>
    </row>
    <row r="18" spans="1:8" ht="15" customHeight="1" x14ac:dyDescent="0.25">
      <c r="A18" s="195" t="s">
        <v>18</v>
      </c>
      <c r="B18" s="195"/>
      <c r="C18" s="195"/>
      <c r="D18" s="195"/>
      <c r="E18" s="195"/>
      <c r="F18" s="195"/>
      <c r="G18" s="195"/>
      <c r="H18" s="195"/>
    </row>
    <row r="19" spans="1:8" ht="18" customHeight="1" x14ac:dyDescent="0.25">
      <c r="A19" s="1" t="s">
        <v>19</v>
      </c>
      <c r="B19" s="12" t="str">
        <f>Config!$B$5</f>
        <v>2026-10-04</v>
      </c>
    </row>
    <row r="21" spans="1:8" ht="18" customHeight="1" x14ac:dyDescent="0.25">
      <c r="A21" s="193" t="s">
        <v>20</v>
      </c>
      <c r="B21" s="193"/>
      <c r="C21" s="193"/>
      <c r="D21" s="193"/>
      <c r="E21" s="193"/>
      <c r="F21" s="193"/>
      <c r="G21" s="193"/>
      <c r="H21" s="193"/>
    </row>
    <row r="22" spans="1:8" ht="19.5" customHeight="1" x14ac:dyDescent="0.25">
      <c r="A22" s="192" t="str">
        <f>IF(COUNTIF(Catalog!J3:J1000,"Yes")&gt;0,"⚠  One or more filaments require the AMS Adapter Ring — see Catalog column J","✓  No filaments in this catalog require the AMS Adapter Ring")</f>
        <v>✓  No filaments in this catalog require the AMS Adapter Ring</v>
      </c>
      <c r="B22" s="192"/>
      <c r="C22" s="192"/>
      <c r="D22" s="192"/>
      <c r="E22" s="192"/>
      <c r="F22" s="192"/>
      <c r="G22" s="192"/>
      <c r="H22" s="192"/>
    </row>
    <row r="24" spans="1:8" ht="18" customHeight="1" x14ac:dyDescent="0.25">
      <c r="A24" s="193" t="s">
        <v>21</v>
      </c>
      <c r="B24" s="193"/>
      <c r="C24" s="193"/>
      <c r="D24" s="193"/>
      <c r="E24" s="193"/>
      <c r="F24" s="193"/>
      <c r="G24" s="193"/>
      <c r="H24" s="193"/>
    </row>
    <row r="25" spans="1:8" ht="21.75" customHeight="1" x14ac:dyDescent="0.25">
      <c r="A25" s="13" t="s">
        <v>22</v>
      </c>
      <c r="B25" s="13" t="s">
        <v>23</v>
      </c>
    </row>
    <row r="26" spans="1:8" ht="18" customHeight="1" x14ac:dyDescent="0.25">
      <c r="A26" s="14" t="s">
        <v>24</v>
      </c>
      <c r="B26" s="15">
        <f>COUNTIF(Catalog!A3:A700,"ABS")</f>
        <v>12</v>
      </c>
    </row>
    <row r="27" spans="1:8" ht="18" customHeight="1" x14ac:dyDescent="0.25">
      <c r="A27" s="14" t="s">
        <v>25</v>
      </c>
      <c r="B27" s="15">
        <f>COUNTIF(Catalog!A3:A700,"ASA")</f>
        <v>6</v>
      </c>
    </row>
    <row r="28" spans="1:8" ht="18" customHeight="1" x14ac:dyDescent="0.25">
      <c r="A28" s="14" t="s">
        <v>26</v>
      </c>
      <c r="B28" s="15">
        <f>COUNTIF(Catalog!A3:A700,"ASA-CF")</f>
        <v>1</v>
      </c>
    </row>
    <row r="29" spans="1:8" ht="18" customHeight="1" x14ac:dyDescent="0.25">
      <c r="A29" s="14" t="s">
        <v>27</v>
      </c>
      <c r="B29" s="15">
        <f>COUNTIF(Catalog!A3:A700,"PA-CF")</f>
        <v>1</v>
      </c>
    </row>
    <row r="30" spans="1:8" ht="18" customHeight="1" x14ac:dyDescent="0.25">
      <c r="A30" s="14" t="s">
        <v>28</v>
      </c>
      <c r="B30" s="15">
        <f>COUNTIF(Catalog!A3:A700,"PAHT-CF")</f>
        <v>1</v>
      </c>
    </row>
    <row r="31" spans="1:8" ht="18" customHeight="1" x14ac:dyDescent="0.25">
      <c r="A31" s="14" t="s">
        <v>29</v>
      </c>
      <c r="B31" s="15">
        <f>COUNTIF(Catalog!A3:A700,"PC")</f>
        <v>2</v>
      </c>
    </row>
    <row r="32" spans="1:8" ht="18" customHeight="1" x14ac:dyDescent="0.25">
      <c r="A32" s="14" t="s">
        <v>30</v>
      </c>
      <c r="B32" s="15">
        <f>COUNTIF(Catalog!A3:A700,"PETG Basic")</f>
        <v>13</v>
      </c>
    </row>
    <row r="33" spans="1:2" ht="18" customHeight="1" x14ac:dyDescent="0.25">
      <c r="A33" s="14" t="s">
        <v>31</v>
      </c>
      <c r="B33" s="15">
        <f>COUNTIF(Catalog!A3:A700,"PETG Matte")</f>
        <v>8</v>
      </c>
    </row>
    <row r="34" spans="1:2" ht="18" customHeight="1" x14ac:dyDescent="0.25">
      <c r="A34" s="14" t="s">
        <v>32</v>
      </c>
      <c r="B34" s="15">
        <f>COUNTIF(Catalog!A3:A700,"PETG Translucent")</f>
        <v>1</v>
      </c>
    </row>
    <row r="35" spans="1:2" ht="18" customHeight="1" x14ac:dyDescent="0.25">
      <c r="A35" s="14" t="s">
        <v>33</v>
      </c>
      <c r="B35" s="15">
        <f>COUNTIF(Catalog!A3:A700,"PETG-CF")</f>
        <v>6</v>
      </c>
    </row>
    <row r="36" spans="1:2" ht="18" customHeight="1" x14ac:dyDescent="0.25">
      <c r="A36" s="14" t="s">
        <v>34</v>
      </c>
      <c r="B36" s="15">
        <f>COUNTIF(Catalog!A3:A700,"PLA Aero")</f>
        <v>1</v>
      </c>
    </row>
    <row r="37" spans="1:2" ht="18" customHeight="1" x14ac:dyDescent="0.25">
      <c r="A37" s="14" t="s">
        <v>35</v>
      </c>
      <c r="B37" s="15">
        <f>COUNTIF(Catalog!A3:A700,"PLA Basic")</f>
        <v>30</v>
      </c>
    </row>
    <row r="38" spans="1:2" ht="18" customHeight="1" x14ac:dyDescent="0.25">
      <c r="A38" s="14" t="s">
        <v>36</v>
      </c>
      <c r="B38" s="15">
        <f>COUNTIF(Catalog!A3:A700,"PLA Glow")</f>
        <v>2</v>
      </c>
    </row>
    <row r="39" spans="1:2" ht="18" customHeight="1" x14ac:dyDescent="0.25">
      <c r="A39" s="14" t="s">
        <v>37</v>
      </c>
      <c r="B39" s="15">
        <f>COUNTIF(Catalog!A3:A700,"PLA Lite")</f>
        <v>1</v>
      </c>
    </row>
    <row r="40" spans="1:2" ht="18" customHeight="1" x14ac:dyDescent="0.25">
      <c r="A40" s="14" t="s">
        <v>38</v>
      </c>
      <c r="B40" s="15">
        <f>COUNTIF(Catalog!A3:A700,"PLA Marble")</f>
        <v>2</v>
      </c>
    </row>
    <row r="41" spans="1:2" ht="18" customHeight="1" x14ac:dyDescent="0.25">
      <c r="A41" s="14" t="s">
        <v>39</v>
      </c>
      <c r="B41" s="15">
        <f>COUNTIF(Catalog!A3:A700,"PLA Matte")</f>
        <v>25</v>
      </c>
    </row>
    <row r="42" spans="1:2" ht="18" customHeight="1" x14ac:dyDescent="0.25">
      <c r="A42" s="14" t="s">
        <v>40</v>
      </c>
      <c r="B42" s="15">
        <f>COUNTIF(Catalog!A3:A700,"PLA Metal")</f>
        <v>1</v>
      </c>
    </row>
    <row r="43" spans="1:2" ht="18" customHeight="1" x14ac:dyDescent="0.25">
      <c r="A43" s="14" t="s">
        <v>41</v>
      </c>
      <c r="B43" s="15">
        <f>COUNTIF(Catalog!A3:A700,"PLA Silk")</f>
        <v>6</v>
      </c>
    </row>
    <row r="44" spans="1:2" ht="18" customHeight="1" x14ac:dyDescent="0.25">
      <c r="A44" s="14" t="s">
        <v>42</v>
      </c>
      <c r="B44" s="15">
        <f>COUNTIF(Catalog!A3:A700,"PLA Sparkle")</f>
        <v>3</v>
      </c>
    </row>
    <row r="45" spans="1:2" ht="18" customHeight="1" x14ac:dyDescent="0.25">
      <c r="A45" s="14" t="s">
        <v>43</v>
      </c>
      <c r="B45" s="15">
        <f>COUNTIF(Catalog!A3:A700,"PLA Translucent")</f>
        <v>9</v>
      </c>
    </row>
    <row r="46" spans="1:2" ht="18" customHeight="1" x14ac:dyDescent="0.25">
      <c r="A46" s="14" t="s">
        <v>44</v>
      </c>
      <c r="B46" s="15">
        <f>COUNTIF(Catalog!A3:A700,"PLA-CF")</f>
        <v>1</v>
      </c>
    </row>
    <row r="47" spans="1:2" ht="18" customHeight="1" x14ac:dyDescent="0.25">
      <c r="A47" s="14" t="s">
        <v>45</v>
      </c>
      <c r="B47" s="15">
        <f>COUNTIF(Catalog!A3:A700,"Support W")</f>
        <v>1</v>
      </c>
    </row>
    <row r="48" spans="1:2" ht="18" customHeight="1" x14ac:dyDescent="0.25">
      <c r="A48" s="14" t="s">
        <v>46</v>
      </c>
      <c r="B48" s="15">
        <f>COUNTIF(Catalog!A3:A700,"TPU 95A")</f>
        <v>3</v>
      </c>
    </row>
  </sheetData>
  <mergeCells count="12">
    <mergeCell ref="A1:H1"/>
    <mergeCell ref="A3:H3"/>
    <mergeCell ref="A11:H11"/>
    <mergeCell ref="B12:H12"/>
    <mergeCell ref="B13:H13"/>
    <mergeCell ref="A22:H22"/>
    <mergeCell ref="A24:H24"/>
    <mergeCell ref="B14:H14"/>
    <mergeCell ref="B15:H15"/>
    <mergeCell ref="A17:H17"/>
    <mergeCell ref="A18:H18"/>
    <mergeCell ref="A21:H21"/>
  </mergeCells>
  <conditionalFormatting sqref="A22:H22">
    <cfRule type="expression" dxfId="22" priority="2">
      <formula>NOT(ISERROR(SEARCH("⚠",A22)))</formula>
    </cfRule>
    <cfRule type="expression" dxfId="21" priority="3">
      <formula>NOT(ISERROR(SEARCH("✓",A22)))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T142"/>
  <sheetViews>
    <sheetView tabSelected="1" zoomScaleNormal="100" workbookViewId="0">
      <pane ySplit="2" topLeftCell="A3" activePane="bottomLeft" state="frozen"/>
      <selection pane="bottomLeft" sqref="A1:T1"/>
    </sheetView>
  </sheetViews>
  <sheetFormatPr defaultColWidth="8.7109375" defaultRowHeight="15" outlineLevelCol="1" x14ac:dyDescent="0.25"/>
  <cols>
    <col min="1" max="1" width="18.140625" bestFit="1" customWidth="1"/>
    <col min="2" max="3" width="18.5703125" bestFit="1" customWidth="1"/>
    <col min="4" max="4" width="16.28515625" bestFit="1" customWidth="1"/>
    <col min="5" max="5" width="12.28515625" bestFit="1" customWidth="1"/>
    <col min="6" max="6" width="14.42578125" bestFit="1" customWidth="1"/>
    <col min="7" max="7" width="13.140625" bestFit="1" customWidth="1"/>
    <col min="8" max="8" width="14.7109375" bestFit="1" customWidth="1"/>
    <col min="9" max="9" width="15.85546875" bestFit="1" customWidth="1"/>
    <col min="10" max="10" width="18.140625" bestFit="1" customWidth="1"/>
    <col min="11" max="11" width="16.140625" bestFit="1" customWidth="1"/>
    <col min="12" max="12" width="15.42578125" bestFit="1" customWidth="1"/>
    <col min="13" max="13" width="19" bestFit="1" customWidth="1"/>
    <col min="14" max="14" width="13.42578125" bestFit="1" customWidth="1" outlineLevel="1"/>
    <col min="15" max="15" width="10.28515625" bestFit="1" customWidth="1" outlineLevel="1"/>
    <col min="16" max="16" width="9" customWidth="1" outlineLevel="1"/>
    <col min="17" max="17" width="12.7109375" bestFit="1" customWidth="1" outlineLevel="1"/>
    <col min="18" max="18" width="9.140625" bestFit="1" customWidth="1"/>
    <col min="19" max="20" width="255.7109375" bestFit="1" customWidth="1"/>
  </cols>
  <sheetData>
    <row r="1" spans="1:20" ht="30" customHeight="1" x14ac:dyDescent="0.25">
      <c r="A1" s="191" t="s">
        <v>47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</row>
    <row r="2" spans="1:20" ht="33.75" customHeight="1" x14ac:dyDescent="0.25">
      <c r="A2" s="16" t="s">
        <v>22</v>
      </c>
      <c r="B2" s="16" t="s">
        <v>48</v>
      </c>
      <c r="C2" s="16" t="s">
        <v>49</v>
      </c>
      <c r="D2" s="16" t="s">
        <v>50</v>
      </c>
      <c r="E2" s="16" t="s">
        <v>51</v>
      </c>
      <c r="F2" s="16" t="s">
        <v>52</v>
      </c>
      <c r="G2" s="16" t="s">
        <v>53</v>
      </c>
      <c r="H2" s="16" t="s">
        <v>54</v>
      </c>
      <c r="I2" s="16" t="s">
        <v>55</v>
      </c>
      <c r="J2" s="16" t="s">
        <v>56</v>
      </c>
      <c r="K2" s="16" t="s">
        <v>57</v>
      </c>
      <c r="L2" s="16" t="s">
        <v>58</v>
      </c>
      <c r="M2" s="16" t="s">
        <v>59</v>
      </c>
      <c r="N2" s="16" t="s">
        <v>60</v>
      </c>
      <c r="O2" s="16" t="s">
        <v>61</v>
      </c>
      <c r="P2" s="16" t="s">
        <v>62</v>
      </c>
      <c r="Q2" s="16" t="s">
        <v>63</v>
      </c>
      <c r="R2" s="16" t="s">
        <v>64</v>
      </c>
      <c r="S2" s="16" t="s">
        <v>65</v>
      </c>
      <c r="T2" s="16" t="s">
        <v>66</v>
      </c>
    </row>
    <row r="3" spans="1:20" ht="19.5" customHeight="1" x14ac:dyDescent="0.25">
      <c r="A3" s="17" t="s">
        <v>24</v>
      </c>
      <c r="B3" s="17" t="s">
        <v>67</v>
      </c>
      <c r="C3" s="17" t="s">
        <v>24</v>
      </c>
      <c r="D3" s="17" t="s">
        <v>68</v>
      </c>
      <c r="E3" s="18"/>
      <c r="F3" s="19" t="s">
        <v>69</v>
      </c>
      <c r="G3" s="12" t="s">
        <v>70</v>
      </c>
      <c r="H3" s="12" t="s">
        <v>71</v>
      </c>
      <c r="I3" s="12" t="s">
        <v>72</v>
      </c>
      <c r="J3" s="12" t="s">
        <v>73</v>
      </c>
      <c r="K3" s="12" t="s">
        <v>74</v>
      </c>
      <c r="L3" s="12" t="s">
        <v>75</v>
      </c>
      <c r="M3" s="12" t="s">
        <v>76</v>
      </c>
      <c r="N3" s="12" t="s">
        <v>77</v>
      </c>
      <c r="O3" s="12" t="s">
        <v>78</v>
      </c>
      <c r="P3" s="12" t="s">
        <v>77</v>
      </c>
      <c r="Q3" s="12" t="s">
        <v>77</v>
      </c>
      <c r="R3" s="12" t="s">
        <v>79</v>
      </c>
      <c r="S3" s="17" t="s">
        <v>80</v>
      </c>
      <c r="T3" s="17" t="s">
        <v>81</v>
      </c>
    </row>
    <row r="4" spans="1:20" ht="19.5" customHeight="1" x14ac:dyDescent="0.25">
      <c r="A4" s="20" t="s">
        <v>24</v>
      </c>
      <c r="B4" s="20" t="s">
        <v>82</v>
      </c>
      <c r="C4" s="20" t="s">
        <v>24</v>
      </c>
      <c r="D4" s="20" t="s">
        <v>83</v>
      </c>
      <c r="E4" s="21"/>
      <c r="F4" s="22" t="s">
        <v>84</v>
      </c>
      <c r="G4" s="23" t="s">
        <v>70</v>
      </c>
      <c r="H4" s="23" t="s">
        <v>71</v>
      </c>
      <c r="I4" s="23" t="s">
        <v>72</v>
      </c>
      <c r="J4" s="23" t="s">
        <v>73</v>
      </c>
      <c r="K4" s="23" t="s">
        <v>74</v>
      </c>
      <c r="L4" s="23" t="s">
        <v>75</v>
      </c>
      <c r="M4" s="23" t="s">
        <v>76</v>
      </c>
      <c r="N4" s="23" t="s">
        <v>77</v>
      </c>
      <c r="O4" s="23" t="s">
        <v>78</v>
      </c>
      <c r="P4" s="23" t="s">
        <v>77</v>
      </c>
      <c r="Q4" s="23" t="s">
        <v>77</v>
      </c>
      <c r="R4" s="23" t="s">
        <v>79</v>
      </c>
      <c r="S4" s="20" t="s">
        <v>80</v>
      </c>
      <c r="T4" s="20" t="s">
        <v>81</v>
      </c>
    </row>
    <row r="5" spans="1:20" ht="19.5" customHeight="1" x14ac:dyDescent="0.25">
      <c r="A5" s="17" t="s">
        <v>24</v>
      </c>
      <c r="B5" s="17" t="s">
        <v>85</v>
      </c>
      <c r="C5" s="17" t="s">
        <v>24</v>
      </c>
      <c r="D5" s="17" t="s">
        <v>86</v>
      </c>
      <c r="E5" s="24"/>
      <c r="F5" s="25" t="s">
        <v>87</v>
      </c>
      <c r="G5" s="12" t="s">
        <v>70</v>
      </c>
      <c r="H5" s="12" t="s">
        <v>71</v>
      </c>
      <c r="I5" s="12" t="s">
        <v>72</v>
      </c>
      <c r="J5" s="12" t="s">
        <v>73</v>
      </c>
      <c r="K5" s="12" t="s">
        <v>74</v>
      </c>
      <c r="L5" s="12" t="s">
        <v>75</v>
      </c>
      <c r="M5" s="12" t="s">
        <v>76</v>
      </c>
      <c r="N5" s="12" t="s">
        <v>77</v>
      </c>
      <c r="O5" s="12" t="s">
        <v>78</v>
      </c>
      <c r="P5" s="12" t="s">
        <v>77</v>
      </c>
      <c r="Q5" s="12" t="s">
        <v>77</v>
      </c>
      <c r="R5" s="12" t="s">
        <v>79</v>
      </c>
      <c r="S5" s="17" t="s">
        <v>80</v>
      </c>
      <c r="T5" s="17" t="s">
        <v>81</v>
      </c>
    </row>
    <row r="6" spans="1:20" ht="19.5" customHeight="1" x14ac:dyDescent="0.25">
      <c r="A6" s="20" t="s">
        <v>24</v>
      </c>
      <c r="B6" s="20" t="s">
        <v>88</v>
      </c>
      <c r="C6" s="20" t="s">
        <v>24</v>
      </c>
      <c r="D6" s="20" t="s">
        <v>89</v>
      </c>
      <c r="E6" s="26"/>
      <c r="F6" s="27" t="s">
        <v>90</v>
      </c>
      <c r="G6" s="23" t="s">
        <v>70</v>
      </c>
      <c r="H6" s="23" t="s">
        <v>71</v>
      </c>
      <c r="I6" s="23" t="s">
        <v>72</v>
      </c>
      <c r="J6" s="23" t="s">
        <v>73</v>
      </c>
      <c r="K6" s="23" t="s">
        <v>74</v>
      </c>
      <c r="L6" s="23" t="s">
        <v>75</v>
      </c>
      <c r="M6" s="23" t="s">
        <v>76</v>
      </c>
      <c r="N6" s="23" t="s">
        <v>77</v>
      </c>
      <c r="O6" s="23" t="s">
        <v>78</v>
      </c>
      <c r="P6" s="23" t="s">
        <v>77</v>
      </c>
      <c r="Q6" s="23" t="s">
        <v>77</v>
      </c>
      <c r="R6" s="23" t="s">
        <v>79</v>
      </c>
      <c r="S6" s="20" t="s">
        <v>80</v>
      </c>
      <c r="T6" s="20" t="s">
        <v>81</v>
      </c>
    </row>
    <row r="7" spans="1:20" ht="19.5" customHeight="1" x14ac:dyDescent="0.25">
      <c r="A7" s="17" t="s">
        <v>24</v>
      </c>
      <c r="B7" s="17" t="s">
        <v>91</v>
      </c>
      <c r="C7" s="17" t="s">
        <v>24</v>
      </c>
      <c r="D7" s="17" t="s">
        <v>92</v>
      </c>
      <c r="E7" s="28"/>
      <c r="F7" s="29" t="s">
        <v>93</v>
      </c>
      <c r="G7" s="12" t="s">
        <v>70</v>
      </c>
      <c r="H7" s="12" t="s">
        <v>71</v>
      </c>
      <c r="I7" s="12" t="s">
        <v>72</v>
      </c>
      <c r="J7" s="12" t="s">
        <v>73</v>
      </c>
      <c r="K7" s="12" t="s">
        <v>74</v>
      </c>
      <c r="L7" s="12" t="s">
        <v>75</v>
      </c>
      <c r="M7" s="12" t="s">
        <v>76</v>
      </c>
      <c r="N7" s="12" t="s">
        <v>77</v>
      </c>
      <c r="O7" s="12" t="s">
        <v>78</v>
      </c>
      <c r="P7" s="12" t="s">
        <v>77</v>
      </c>
      <c r="Q7" s="12" t="s">
        <v>77</v>
      </c>
      <c r="R7" s="12" t="s">
        <v>79</v>
      </c>
      <c r="S7" s="17" t="s">
        <v>80</v>
      </c>
      <c r="T7" s="17" t="s">
        <v>81</v>
      </c>
    </row>
    <row r="8" spans="1:20" ht="19.5" customHeight="1" x14ac:dyDescent="0.25">
      <c r="A8" s="20" t="s">
        <v>24</v>
      </c>
      <c r="B8" s="20" t="s">
        <v>94</v>
      </c>
      <c r="C8" s="20" t="s">
        <v>24</v>
      </c>
      <c r="D8" s="20" t="s">
        <v>95</v>
      </c>
      <c r="E8" s="30"/>
      <c r="F8" s="31" t="s">
        <v>96</v>
      </c>
      <c r="G8" s="23" t="s">
        <v>70</v>
      </c>
      <c r="H8" s="23" t="s">
        <v>71</v>
      </c>
      <c r="I8" s="23" t="s">
        <v>72</v>
      </c>
      <c r="J8" s="23" t="s">
        <v>73</v>
      </c>
      <c r="K8" s="23" t="s">
        <v>74</v>
      </c>
      <c r="L8" s="23" t="s">
        <v>75</v>
      </c>
      <c r="M8" s="23" t="s">
        <v>76</v>
      </c>
      <c r="N8" s="23" t="s">
        <v>77</v>
      </c>
      <c r="O8" s="23" t="s">
        <v>78</v>
      </c>
      <c r="P8" s="23" t="s">
        <v>77</v>
      </c>
      <c r="Q8" s="23" t="s">
        <v>77</v>
      </c>
      <c r="R8" s="23" t="s">
        <v>79</v>
      </c>
      <c r="S8" s="20" t="s">
        <v>80</v>
      </c>
      <c r="T8" s="20" t="s">
        <v>81</v>
      </c>
    </row>
    <row r="9" spans="1:20" ht="19.5" customHeight="1" x14ac:dyDescent="0.25">
      <c r="A9" s="17" t="s">
        <v>24</v>
      </c>
      <c r="B9" s="17" t="s">
        <v>97</v>
      </c>
      <c r="C9" s="17" t="s">
        <v>24</v>
      </c>
      <c r="D9" s="17" t="s">
        <v>98</v>
      </c>
      <c r="E9" s="32"/>
      <c r="F9" s="33" t="s">
        <v>99</v>
      </c>
      <c r="G9" s="12" t="s">
        <v>70</v>
      </c>
      <c r="H9" s="12" t="s">
        <v>71</v>
      </c>
      <c r="I9" s="12" t="s">
        <v>72</v>
      </c>
      <c r="J9" s="12" t="s">
        <v>73</v>
      </c>
      <c r="K9" s="12" t="s">
        <v>74</v>
      </c>
      <c r="L9" s="12" t="s">
        <v>75</v>
      </c>
      <c r="M9" s="12" t="s">
        <v>76</v>
      </c>
      <c r="N9" s="12" t="s">
        <v>77</v>
      </c>
      <c r="O9" s="12" t="s">
        <v>78</v>
      </c>
      <c r="P9" s="12" t="s">
        <v>77</v>
      </c>
      <c r="Q9" s="12" t="s">
        <v>77</v>
      </c>
      <c r="R9" s="12" t="s">
        <v>79</v>
      </c>
      <c r="S9" s="17" t="s">
        <v>80</v>
      </c>
      <c r="T9" s="17" t="s">
        <v>81</v>
      </c>
    </row>
    <row r="10" spans="1:20" ht="19.5" customHeight="1" x14ac:dyDescent="0.25">
      <c r="A10" s="20" t="s">
        <v>24</v>
      </c>
      <c r="B10" s="20" t="s">
        <v>100</v>
      </c>
      <c r="C10" s="20" t="s">
        <v>24</v>
      </c>
      <c r="D10" s="20" t="s">
        <v>101</v>
      </c>
      <c r="E10" s="34"/>
      <c r="F10" s="35" t="s">
        <v>102</v>
      </c>
      <c r="G10" s="23" t="s">
        <v>70</v>
      </c>
      <c r="H10" s="23" t="s">
        <v>71</v>
      </c>
      <c r="I10" s="23" t="s">
        <v>72</v>
      </c>
      <c r="J10" s="23" t="s">
        <v>73</v>
      </c>
      <c r="K10" s="23" t="s">
        <v>74</v>
      </c>
      <c r="L10" s="23" t="s">
        <v>75</v>
      </c>
      <c r="M10" s="23" t="s">
        <v>76</v>
      </c>
      <c r="N10" s="23" t="s">
        <v>77</v>
      </c>
      <c r="O10" s="23" t="s">
        <v>78</v>
      </c>
      <c r="P10" s="23" t="s">
        <v>77</v>
      </c>
      <c r="Q10" s="23" t="s">
        <v>77</v>
      </c>
      <c r="R10" s="23" t="s">
        <v>79</v>
      </c>
      <c r="S10" s="20" t="s">
        <v>80</v>
      </c>
      <c r="T10" s="20" t="s">
        <v>81</v>
      </c>
    </row>
    <row r="11" spans="1:20" ht="19.5" customHeight="1" x14ac:dyDescent="0.25">
      <c r="A11" s="17" t="s">
        <v>24</v>
      </c>
      <c r="B11" s="17" t="s">
        <v>103</v>
      </c>
      <c r="C11" s="17" t="s">
        <v>24</v>
      </c>
      <c r="D11" s="17" t="s">
        <v>104</v>
      </c>
      <c r="E11" s="36"/>
      <c r="F11" s="37" t="s">
        <v>105</v>
      </c>
      <c r="G11" s="12" t="s">
        <v>70</v>
      </c>
      <c r="H11" s="12" t="s">
        <v>71</v>
      </c>
      <c r="I11" s="12" t="s">
        <v>72</v>
      </c>
      <c r="J11" s="12" t="s">
        <v>73</v>
      </c>
      <c r="K11" s="12" t="s">
        <v>74</v>
      </c>
      <c r="L11" s="12" t="s">
        <v>75</v>
      </c>
      <c r="M11" s="12" t="s">
        <v>76</v>
      </c>
      <c r="N11" s="12" t="s">
        <v>77</v>
      </c>
      <c r="O11" s="12" t="s">
        <v>78</v>
      </c>
      <c r="P11" s="12" t="s">
        <v>77</v>
      </c>
      <c r="Q11" s="12" t="s">
        <v>77</v>
      </c>
      <c r="R11" s="12" t="s">
        <v>79</v>
      </c>
      <c r="S11" s="17" t="s">
        <v>80</v>
      </c>
      <c r="T11" s="17" t="s">
        <v>81</v>
      </c>
    </row>
    <row r="12" spans="1:20" ht="19.5" customHeight="1" x14ac:dyDescent="0.25">
      <c r="A12" s="20" t="s">
        <v>24</v>
      </c>
      <c r="B12" s="20" t="s">
        <v>106</v>
      </c>
      <c r="C12" s="20" t="s">
        <v>24</v>
      </c>
      <c r="D12" s="20" t="s">
        <v>107</v>
      </c>
      <c r="E12" s="38"/>
      <c r="F12" s="39" t="s">
        <v>108</v>
      </c>
      <c r="G12" s="23" t="s">
        <v>70</v>
      </c>
      <c r="H12" s="23" t="s">
        <v>71</v>
      </c>
      <c r="I12" s="23" t="s">
        <v>72</v>
      </c>
      <c r="J12" s="23" t="s">
        <v>73</v>
      </c>
      <c r="K12" s="23" t="s">
        <v>74</v>
      </c>
      <c r="L12" s="23" t="s">
        <v>75</v>
      </c>
      <c r="M12" s="23" t="s">
        <v>76</v>
      </c>
      <c r="N12" s="23" t="s">
        <v>77</v>
      </c>
      <c r="O12" s="23" t="s">
        <v>78</v>
      </c>
      <c r="P12" s="23" t="s">
        <v>77</v>
      </c>
      <c r="Q12" s="23" t="s">
        <v>77</v>
      </c>
      <c r="R12" s="23" t="s">
        <v>79</v>
      </c>
      <c r="S12" s="20" t="s">
        <v>80</v>
      </c>
      <c r="T12" s="20" t="s">
        <v>81</v>
      </c>
    </row>
    <row r="13" spans="1:20" ht="19.5" customHeight="1" x14ac:dyDescent="0.25">
      <c r="A13" s="17" t="s">
        <v>24</v>
      </c>
      <c r="B13" s="17" t="s">
        <v>109</v>
      </c>
      <c r="C13" s="17" t="s">
        <v>24</v>
      </c>
      <c r="D13" s="17" t="s">
        <v>110</v>
      </c>
      <c r="E13" s="40"/>
      <c r="F13" s="41" t="s">
        <v>111</v>
      </c>
      <c r="G13" s="12" t="s">
        <v>70</v>
      </c>
      <c r="H13" s="12" t="s">
        <v>71</v>
      </c>
      <c r="I13" s="12" t="s">
        <v>72</v>
      </c>
      <c r="J13" s="12" t="s">
        <v>73</v>
      </c>
      <c r="K13" s="12" t="s">
        <v>74</v>
      </c>
      <c r="L13" s="12" t="s">
        <v>75</v>
      </c>
      <c r="M13" s="12" t="s">
        <v>76</v>
      </c>
      <c r="N13" s="12" t="s">
        <v>77</v>
      </c>
      <c r="O13" s="12" t="s">
        <v>78</v>
      </c>
      <c r="P13" s="12" t="s">
        <v>77</v>
      </c>
      <c r="Q13" s="12" t="s">
        <v>77</v>
      </c>
      <c r="R13" s="12" t="s">
        <v>79</v>
      </c>
      <c r="S13" s="17" t="s">
        <v>80</v>
      </c>
      <c r="T13" s="17" t="s">
        <v>81</v>
      </c>
    </row>
    <row r="14" spans="1:20" ht="19.5" customHeight="1" x14ac:dyDescent="0.25">
      <c r="A14" s="20" t="s">
        <v>24</v>
      </c>
      <c r="B14" s="20" t="s">
        <v>112</v>
      </c>
      <c r="C14" s="20" t="s">
        <v>24</v>
      </c>
      <c r="D14" s="20" t="s">
        <v>113</v>
      </c>
      <c r="E14" s="12"/>
      <c r="F14" s="42" t="s">
        <v>114</v>
      </c>
      <c r="G14" s="23" t="s">
        <v>70</v>
      </c>
      <c r="H14" s="23" t="s">
        <v>71</v>
      </c>
      <c r="I14" s="23" t="s">
        <v>72</v>
      </c>
      <c r="J14" s="23" t="s">
        <v>73</v>
      </c>
      <c r="K14" s="23" t="s">
        <v>74</v>
      </c>
      <c r="L14" s="23" t="s">
        <v>75</v>
      </c>
      <c r="M14" s="23" t="s">
        <v>76</v>
      </c>
      <c r="N14" s="23" t="s">
        <v>77</v>
      </c>
      <c r="O14" s="23" t="s">
        <v>78</v>
      </c>
      <c r="P14" s="23" t="s">
        <v>77</v>
      </c>
      <c r="Q14" s="23" t="s">
        <v>77</v>
      </c>
      <c r="R14" s="23" t="s">
        <v>79</v>
      </c>
      <c r="S14" s="20" t="s">
        <v>80</v>
      </c>
      <c r="T14" s="20" t="s">
        <v>81</v>
      </c>
    </row>
    <row r="15" spans="1:20" ht="19.5" customHeight="1" x14ac:dyDescent="0.25">
      <c r="A15" s="17" t="s">
        <v>25</v>
      </c>
      <c r="B15" s="17" t="s">
        <v>115</v>
      </c>
      <c r="C15" s="17" t="s">
        <v>25</v>
      </c>
      <c r="D15" s="17" t="s">
        <v>116</v>
      </c>
      <c r="E15" s="43"/>
      <c r="F15" s="44" t="s">
        <v>117</v>
      </c>
      <c r="G15" s="12" t="s">
        <v>70</v>
      </c>
      <c r="H15" s="12" t="s">
        <v>71</v>
      </c>
      <c r="I15" s="12" t="s">
        <v>72</v>
      </c>
      <c r="J15" s="12" t="s">
        <v>73</v>
      </c>
      <c r="K15" s="12" t="s">
        <v>74</v>
      </c>
      <c r="L15" s="12" t="s">
        <v>75</v>
      </c>
      <c r="M15" s="12" t="s">
        <v>118</v>
      </c>
      <c r="N15" s="12" t="s">
        <v>77</v>
      </c>
      <c r="O15" s="12" t="s">
        <v>78</v>
      </c>
      <c r="P15" s="12" t="s">
        <v>77</v>
      </c>
      <c r="Q15" s="12" t="s">
        <v>77</v>
      </c>
      <c r="R15" s="12" t="s">
        <v>79</v>
      </c>
      <c r="S15" s="17" t="s">
        <v>119</v>
      </c>
      <c r="T15" s="17" t="s">
        <v>120</v>
      </c>
    </row>
    <row r="16" spans="1:20" ht="19.5" customHeight="1" x14ac:dyDescent="0.25">
      <c r="A16" s="20" t="s">
        <v>25</v>
      </c>
      <c r="B16" s="20" t="s">
        <v>121</v>
      </c>
      <c r="C16" s="20" t="s">
        <v>25</v>
      </c>
      <c r="D16" s="20" t="s">
        <v>83</v>
      </c>
      <c r="E16" s="21"/>
      <c r="F16" s="22" t="s">
        <v>84</v>
      </c>
      <c r="G16" s="23" t="s">
        <v>70</v>
      </c>
      <c r="H16" s="23" t="s">
        <v>71</v>
      </c>
      <c r="I16" s="23" t="s">
        <v>72</v>
      </c>
      <c r="J16" s="23" t="s">
        <v>73</v>
      </c>
      <c r="K16" s="23" t="s">
        <v>74</v>
      </c>
      <c r="L16" s="23" t="s">
        <v>75</v>
      </c>
      <c r="M16" s="23" t="s">
        <v>118</v>
      </c>
      <c r="N16" s="23" t="s">
        <v>77</v>
      </c>
      <c r="O16" s="23" t="s">
        <v>78</v>
      </c>
      <c r="P16" s="23" t="s">
        <v>77</v>
      </c>
      <c r="Q16" s="23" t="s">
        <v>77</v>
      </c>
      <c r="R16" s="23" t="s">
        <v>79</v>
      </c>
      <c r="S16" s="20" t="s">
        <v>119</v>
      </c>
      <c r="T16" s="20" t="s">
        <v>120</v>
      </c>
    </row>
    <row r="17" spans="1:20" ht="19.5" customHeight="1" x14ac:dyDescent="0.25">
      <c r="A17" s="17" t="s">
        <v>25</v>
      </c>
      <c r="B17" s="17" t="s">
        <v>122</v>
      </c>
      <c r="C17" s="17" t="s">
        <v>25</v>
      </c>
      <c r="D17" s="17" t="s">
        <v>86</v>
      </c>
      <c r="E17" s="24"/>
      <c r="F17" s="25" t="s">
        <v>87</v>
      </c>
      <c r="G17" s="12" t="s">
        <v>70</v>
      </c>
      <c r="H17" s="12" t="s">
        <v>71</v>
      </c>
      <c r="I17" s="12" t="s">
        <v>72</v>
      </c>
      <c r="J17" s="12" t="s">
        <v>73</v>
      </c>
      <c r="K17" s="12" t="s">
        <v>74</v>
      </c>
      <c r="L17" s="12" t="s">
        <v>75</v>
      </c>
      <c r="M17" s="12" t="s">
        <v>118</v>
      </c>
      <c r="N17" s="12" t="s">
        <v>77</v>
      </c>
      <c r="O17" s="12" t="s">
        <v>78</v>
      </c>
      <c r="P17" s="12" t="s">
        <v>77</v>
      </c>
      <c r="Q17" s="12" t="s">
        <v>77</v>
      </c>
      <c r="R17" s="12" t="s">
        <v>79</v>
      </c>
      <c r="S17" s="17" t="s">
        <v>119</v>
      </c>
      <c r="T17" s="17" t="s">
        <v>120</v>
      </c>
    </row>
    <row r="18" spans="1:20" ht="19.5" customHeight="1" x14ac:dyDescent="0.25">
      <c r="A18" s="20" t="s">
        <v>25</v>
      </c>
      <c r="B18" s="20" t="s">
        <v>123</v>
      </c>
      <c r="C18" s="20" t="s">
        <v>25</v>
      </c>
      <c r="D18" s="20" t="s">
        <v>89</v>
      </c>
      <c r="E18" s="45"/>
      <c r="F18" s="46" t="s">
        <v>124</v>
      </c>
      <c r="G18" s="23" t="s">
        <v>70</v>
      </c>
      <c r="H18" s="23" t="s">
        <v>71</v>
      </c>
      <c r="I18" s="23" t="s">
        <v>72</v>
      </c>
      <c r="J18" s="23" t="s">
        <v>73</v>
      </c>
      <c r="K18" s="23" t="s">
        <v>74</v>
      </c>
      <c r="L18" s="23" t="s">
        <v>75</v>
      </c>
      <c r="M18" s="23" t="s">
        <v>118</v>
      </c>
      <c r="N18" s="23" t="s">
        <v>77</v>
      </c>
      <c r="O18" s="23" t="s">
        <v>78</v>
      </c>
      <c r="P18" s="23" t="s">
        <v>77</v>
      </c>
      <c r="Q18" s="23" t="s">
        <v>77</v>
      </c>
      <c r="R18" s="23" t="s">
        <v>79</v>
      </c>
      <c r="S18" s="20" t="s">
        <v>119</v>
      </c>
      <c r="T18" s="20" t="s">
        <v>120</v>
      </c>
    </row>
    <row r="19" spans="1:20" ht="19.5" customHeight="1" x14ac:dyDescent="0.25">
      <c r="A19" s="17" t="s">
        <v>25</v>
      </c>
      <c r="B19" s="17" t="s">
        <v>125</v>
      </c>
      <c r="C19" s="17" t="s">
        <v>25</v>
      </c>
      <c r="D19" s="17" t="s">
        <v>104</v>
      </c>
      <c r="E19" s="36"/>
      <c r="F19" s="37" t="s">
        <v>105</v>
      </c>
      <c r="G19" s="12" t="s">
        <v>70</v>
      </c>
      <c r="H19" s="12" t="s">
        <v>71</v>
      </c>
      <c r="I19" s="12" t="s">
        <v>72</v>
      </c>
      <c r="J19" s="12" t="s">
        <v>73</v>
      </c>
      <c r="K19" s="12" t="s">
        <v>74</v>
      </c>
      <c r="L19" s="12" t="s">
        <v>75</v>
      </c>
      <c r="M19" s="12" t="s">
        <v>118</v>
      </c>
      <c r="N19" s="12" t="s">
        <v>77</v>
      </c>
      <c r="O19" s="12" t="s">
        <v>78</v>
      </c>
      <c r="P19" s="12" t="s">
        <v>77</v>
      </c>
      <c r="Q19" s="12" t="s">
        <v>77</v>
      </c>
      <c r="R19" s="12" t="s">
        <v>79</v>
      </c>
      <c r="S19" s="17" t="s">
        <v>119</v>
      </c>
      <c r="T19" s="17" t="s">
        <v>120</v>
      </c>
    </row>
    <row r="20" spans="1:20" ht="19.5" customHeight="1" x14ac:dyDescent="0.25">
      <c r="A20" s="20" t="s">
        <v>25</v>
      </c>
      <c r="B20" s="20" t="s">
        <v>126</v>
      </c>
      <c r="C20" s="20" t="s">
        <v>25</v>
      </c>
      <c r="D20" s="20" t="s">
        <v>113</v>
      </c>
      <c r="E20" s="12"/>
      <c r="F20" s="42" t="s">
        <v>114</v>
      </c>
      <c r="G20" s="23" t="s">
        <v>70</v>
      </c>
      <c r="H20" s="23" t="s">
        <v>71</v>
      </c>
      <c r="I20" s="23" t="s">
        <v>72</v>
      </c>
      <c r="J20" s="23" t="s">
        <v>73</v>
      </c>
      <c r="K20" s="23" t="s">
        <v>74</v>
      </c>
      <c r="L20" s="23" t="s">
        <v>75</v>
      </c>
      <c r="M20" s="23" t="s">
        <v>118</v>
      </c>
      <c r="N20" s="23" t="s">
        <v>77</v>
      </c>
      <c r="O20" s="23" t="s">
        <v>78</v>
      </c>
      <c r="P20" s="23" t="s">
        <v>77</v>
      </c>
      <c r="Q20" s="23" t="s">
        <v>77</v>
      </c>
      <c r="R20" s="23" t="s">
        <v>79</v>
      </c>
      <c r="S20" s="20" t="s">
        <v>119</v>
      </c>
      <c r="T20" s="20" t="s">
        <v>120</v>
      </c>
    </row>
    <row r="21" spans="1:20" ht="19.5" customHeight="1" x14ac:dyDescent="0.25">
      <c r="A21" s="17" t="s">
        <v>26</v>
      </c>
      <c r="B21" s="17" t="s">
        <v>127</v>
      </c>
      <c r="C21" s="17" t="s">
        <v>26</v>
      </c>
      <c r="D21" s="17" t="s">
        <v>86</v>
      </c>
      <c r="E21" s="47"/>
      <c r="F21" s="25" t="s">
        <v>128</v>
      </c>
      <c r="G21" s="12" t="s">
        <v>70</v>
      </c>
      <c r="H21" s="12" t="s">
        <v>71</v>
      </c>
      <c r="I21" s="12" t="s">
        <v>72</v>
      </c>
      <c r="J21" s="12" t="s">
        <v>73</v>
      </c>
      <c r="K21" s="12" t="s">
        <v>129</v>
      </c>
      <c r="L21" s="12" t="s">
        <v>130</v>
      </c>
      <c r="M21" s="12" t="s">
        <v>118</v>
      </c>
      <c r="N21" s="12" t="s">
        <v>77</v>
      </c>
      <c r="O21" s="12" t="s">
        <v>78</v>
      </c>
      <c r="P21" s="12" t="s">
        <v>77</v>
      </c>
      <c r="Q21" s="12" t="s">
        <v>77</v>
      </c>
      <c r="R21" s="12" t="s">
        <v>131</v>
      </c>
      <c r="S21" s="17" t="s">
        <v>132</v>
      </c>
      <c r="T21" s="17" t="s">
        <v>133</v>
      </c>
    </row>
    <row r="22" spans="1:20" ht="19.5" customHeight="1" x14ac:dyDescent="0.25">
      <c r="A22" s="20" t="s">
        <v>27</v>
      </c>
      <c r="B22" s="20" t="s">
        <v>134</v>
      </c>
      <c r="C22" s="20" t="s">
        <v>27</v>
      </c>
      <c r="D22" s="20" t="s">
        <v>86</v>
      </c>
      <c r="E22" s="47"/>
      <c r="F22" s="25" t="s">
        <v>128</v>
      </c>
      <c r="G22" s="23" t="s">
        <v>70</v>
      </c>
      <c r="H22" s="23" t="s">
        <v>71</v>
      </c>
      <c r="I22" s="23" t="s">
        <v>72</v>
      </c>
      <c r="J22" s="23" t="s">
        <v>73</v>
      </c>
      <c r="K22" s="23" t="s">
        <v>129</v>
      </c>
      <c r="L22" s="23" t="s">
        <v>135</v>
      </c>
      <c r="M22" s="23" t="s">
        <v>118</v>
      </c>
      <c r="N22" s="23" t="s">
        <v>136</v>
      </c>
      <c r="O22" s="23" t="s">
        <v>78</v>
      </c>
      <c r="P22" s="23" t="s">
        <v>136</v>
      </c>
      <c r="Q22" s="23" t="s">
        <v>77</v>
      </c>
      <c r="R22" s="23" t="s">
        <v>131</v>
      </c>
      <c r="S22" s="20" t="s">
        <v>137</v>
      </c>
      <c r="T22" s="20" t="s">
        <v>138</v>
      </c>
    </row>
    <row r="23" spans="1:20" ht="19.5" customHeight="1" x14ac:dyDescent="0.25">
      <c r="A23" s="17" t="s">
        <v>28</v>
      </c>
      <c r="B23" s="17" t="s">
        <v>139</v>
      </c>
      <c r="C23" s="17" t="s">
        <v>28</v>
      </c>
      <c r="D23" s="17" t="s">
        <v>86</v>
      </c>
      <c r="E23" s="47"/>
      <c r="F23" s="25" t="s">
        <v>140</v>
      </c>
      <c r="G23" s="12" t="s">
        <v>70</v>
      </c>
      <c r="H23" s="12" t="s">
        <v>141</v>
      </c>
      <c r="I23" s="12" t="s">
        <v>72</v>
      </c>
      <c r="J23" s="12" t="s">
        <v>73</v>
      </c>
      <c r="K23" s="12" t="s">
        <v>142</v>
      </c>
      <c r="L23" s="12" t="s">
        <v>143</v>
      </c>
      <c r="M23" s="12" t="s">
        <v>144</v>
      </c>
      <c r="N23" s="12" t="s">
        <v>77</v>
      </c>
      <c r="O23" s="12" t="s">
        <v>78</v>
      </c>
      <c r="P23" s="12" t="s">
        <v>77</v>
      </c>
      <c r="Q23" s="12" t="s">
        <v>77</v>
      </c>
      <c r="R23" s="12" t="s">
        <v>145</v>
      </c>
      <c r="S23" s="17" t="s">
        <v>146</v>
      </c>
      <c r="T23" s="17" t="s">
        <v>147</v>
      </c>
    </row>
    <row r="24" spans="1:20" ht="19.5" customHeight="1" x14ac:dyDescent="0.25">
      <c r="A24" s="20" t="s">
        <v>29</v>
      </c>
      <c r="B24" s="20" t="s">
        <v>148</v>
      </c>
      <c r="C24" s="20" t="s">
        <v>149</v>
      </c>
      <c r="D24" s="20" t="s">
        <v>86</v>
      </c>
      <c r="E24" s="47"/>
      <c r="F24" s="25" t="s">
        <v>128</v>
      </c>
      <c r="G24" s="23" t="s">
        <v>70</v>
      </c>
      <c r="H24" s="23" t="s">
        <v>71</v>
      </c>
      <c r="I24" s="23" t="s">
        <v>72</v>
      </c>
      <c r="J24" s="23" t="s">
        <v>73</v>
      </c>
      <c r="K24" s="23" t="s">
        <v>129</v>
      </c>
      <c r="L24" s="23" t="s">
        <v>150</v>
      </c>
      <c r="M24" s="23" t="s">
        <v>118</v>
      </c>
      <c r="N24" s="23" t="s">
        <v>136</v>
      </c>
      <c r="O24" s="23" t="s">
        <v>78</v>
      </c>
      <c r="P24" s="23" t="s">
        <v>136</v>
      </c>
      <c r="Q24" s="23" t="s">
        <v>77</v>
      </c>
      <c r="R24" s="23" t="s">
        <v>131</v>
      </c>
      <c r="S24" s="20" t="s">
        <v>151</v>
      </c>
      <c r="T24" s="20" t="s">
        <v>152</v>
      </c>
    </row>
    <row r="25" spans="1:20" ht="19.5" customHeight="1" x14ac:dyDescent="0.25">
      <c r="A25" s="17" t="s">
        <v>29</v>
      </c>
      <c r="B25" s="17" t="s">
        <v>153</v>
      </c>
      <c r="C25" s="17" t="s">
        <v>149</v>
      </c>
      <c r="D25" s="17" t="s">
        <v>113</v>
      </c>
      <c r="E25" s="48"/>
      <c r="F25" s="49" t="s">
        <v>154</v>
      </c>
      <c r="G25" s="12" t="s">
        <v>70</v>
      </c>
      <c r="H25" s="12" t="s">
        <v>71</v>
      </c>
      <c r="I25" s="12" t="s">
        <v>72</v>
      </c>
      <c r="J25" s="12" t="s">
        <v>73</v>
      </c>
      <c r="K25" s="12" t="s">
        <v>129</v>
      </c>
      <c r="L25" s="12" t="s">
        <v>150</v>
      </c>
      <c r="M25" s="12" t="s">
        <v>118</v>
      </c>
      <c r="N25" s="12" t="s">
        <v>136</v>
      </c>
      <c r="O25" s="12" t="s">
        <v>78</v>
      </c>
      <c r="P25" s="12" t="s">
        <v>136</v>
      </c>
      <c r="Q25" s="12" t="s">
        <v>77</v>
      </c>
      <c r="R25" s="12" t="s">
        <v>131</v>
      </c>
      <c r="S25" s="17" t="s">
        <v>151</v>
      </c>
      <c r="T25" s="17" t="s">
        <v>152</v>
      </c>
    </row>
    <row r="26" spans="1:20" ht="19.5" customHeight="1" x14ac:dyDescent="0.25">
      <c r="A26" s="20" t="s">
        <v>30</v>
      </c>
      <c r="B26" s="20" t="s">
        <v>155</v>
      </c>
      <c r="C26" s="20" t="s">
        <v>30</v>
      </c>
      <c r="D26" s="20" t="s">
        <v>86</v>
      </c>
      <c r="E26" s="24"/>
      <c r="F26" s="25" t="s">
        <v>87</v>
      </c>
      <c r="G26" s="23" t="s">
        <v>70</v>
      </c>
      <c r="H26" s="23" t="s">
        <v>71</v>
      </c>
      <c r="I26" s="23" t="s">
        <v>72</v>
      </c>
      <c r="J26" s="23" t="s">
        <v>73</v>
      </c>
      <c r="K26" s="23" t="s">
        <v>156</v>
      </c>
      <c r="L26" s="23" t="s">
        <v>157</v>
      </c>
      <c r="M26" s="23" t="s">
        <v>76</v>
      </c>
      <c r="N26" s="23" t="s">
        <v>77</v>
      </c>
      <c r="O26" s="23" t="s">
        <v>77</v>
      </c>
      <c r="P26" s="23" t="s">
        <v>77</v>
      </c>
      <c r="Q26" s="23" t="s">
        <v>77</v>
      </c>
      <c r="R26" s="23" t="s">
        <v>79</v>
      </c>
      <c r="S26" s="20" t="s">
        <v>158</v>
      </c>
      <c r="T26" s="20"/>
    </row>
    <row r="27" spans="1:20" ht="19.5" customHeight="1" x14ac:dyDescent="0.25">
      <c r="A27" s="17" t="s">
        <v>30</v>
      </c>
      <c r="B27" s="17" t="s">
        <v>159</v>
      </c>
      <c r="C27" s="17" t="s">
        <v>30</v>
      </c>
      <c r="D27" s="17" t="s">
        <v>160</v>
      </c>
      <c r="E27" s="50"/>
      <c r="F27" s="51" t="s">
        <v>161</v>
      </c>
      <c r="G27" s="12" t="s">
        <v>70</v>
      </c>
      <c r="H27" s="12" t="s">
        <v>71</v>
      </c>
      <c r="I27" s="12" t="s">
        <v>72</v>
      </c>
      <c r="J27" s="12" t="s">
        <v>73</v>
      </c>
      <c r="K27" s="12" t="s">
        <v>156</v>
      </c>
      <c r="L27" s="12" t="s">
        <v>157</v>
      </c>
      <c r="M27" s="12" t="s">
        <v>76</v>
      </c>
      <c r="N27" s="12" t="s">
        <v>77</v>
      </c>
      <c r="O27" s="12" t="s">
        <v>77</v>
      </c>
      <c r="P27" s="12" t="s">
        <v>77</v>
      </c>
      <c r="Q27" s="12" t="s">
        <v>77</v>
      </c>
      <c r="R27" s="12" t="s">
        <v>79</v>
      </c>
      <c r="S27" s="17" t="s">
        <v>158</v>
      </c>
      <c r="T27" s="17"/>
    </row>
    <row r="28" spans="1:20" ht="19.5" customHeight="1" x14ac:dyDescent="0.25">
      <c r="A28" s="20" t="s">
        <v>30</v>
      </c>
      <c r="B28" s="20" t="s">
        <v>162</v>
      </c>
      <c r="C28" s="20" t="s">
        <v>30</v>
      </c>
      <c r="D28" s="20" t="s">
        <v>163</v>
      </c>
      <c r="E28" s="52"/>
      <c r="F28" s="53" t="s">
        <v>164</v>
      </c>
      <c r="G28" s="23" t="s">
        <v>70</v>
      </c>
      <c r="H28" s="23" t="s">
        <v>71</v>
      </c>
      <c r="I28" s="23" t="s">
        <v>72</v>
      </c>
      <c r="J28" s="23" t="s">
        <v>73</v>
      </c>
      <c r="K28" s="23" t="s">
        <v>156</v>
      </c>
      <c r="L28" s="23" t="s">
        <v>157</v>
      </c>
      <c r="M28" s="23" t="s">
        <v>76</v>
      </c>
      <c r="N28" s="23" t="s">
        <v>77</v>
      </c>
      <c r="O28" s="23" t="s">
        <v>77</v>
      </c>
      <c r="P28" s="23" t="s">
        <v>77</v>
      </c>
      <c r="Q28" s="23" t="s">
        <v>77</v>
      </c>
      <c r="R28" s="23" t="s">
        <v>79</v>
      </c>
      <c r="S28" s="20" t="s">
        <v>158</v>
      </c>
      <c r="T28" s="20"/>
    </row>
    <row r="29" spans="1:20" ht="19.5" customHeight="1" x14ac:dyDescent="0.25">
      <c r="A29" s="17" t="s">
        <v>30</v>
      </c>
      <c r="B29" s="17" t="s">
        <v>165</v>
      </c>
      <c r="C29" s="17" t="s">
        <v>30</v>
      </c>
      <c r="D29" s="17" t="s">
        <v>166</v>
      </c>
      <c r="E29" s="30"/>
      <c r="F29" s="39" t="s">
        <v>167</v>
      </c>
      <c r="G29" s="12" t="s">
        <v>70</v>
      </c>
      <c r="H29" s="12" t="s">
        <v>71</v>
      </c>
      <c r="I29" s="12" t="s">
        <v>72</v>
      </c>
      <c r="J29" s="12" t="s">
        <v>73</v>
      </c>
      <c r="K29" s="12" t="s">
        <v>156</v>
      </c>
      <c r="L29" s="12" t="s">
        <v>157</v>
      </c>
      <c r="M29" s="12" t="s">
        <v>76</v>
      </c>
      <c r="N29" s="12" t="s">
        <v>77</v>
      </c>
      <c r="O29" s="12" t="s">
        <v>77</v>
      </c>
      <c r="P29" s="12" t="s">
        <v>77</v>
      </c>
      <c r="Q29" s="12" t="s">
        <v>77</v>
      </c>
      <c r="R29" s="12" t="s">
        <v>79</v>
      </c>
      <c r="S29" s="17" t="s">
        <v>158</v>
      </c>
      <c r="T29" s="17"/>
    </row>
    <row r="30" spans="1:20" ht="19.5" customHeight="1" x14ac:dyDescent="0.25">
      <c r="A30" s="20" t="s">
        <v>30</v>
      </c>
      <c r="B30" s="20" t="s">
        <v>168</v>
      </c>
      <c r="C30" s="20" t="s">
        <v>30</v>
      </c>
      <c r="D30" s="20" t="s">
        <v>169</v>
      </c>
      <c r="E30" s="54"/>
      <c r="F30" s="22" t="s">
        <v>170</v>
      </c>
      <c r="G30" s="23" t="s">
        <v>70</v>
      </c>
      <c r="H30" s="23" t="s">
        <v>71</v>
      </c>
      <c r="I30" s="23" t="s">
        <v>72</v>
      </c>
      <c r="J30" s="23" t="s">
        <v>73</v>
      </c>
      <c r="K30" s="23" t="s">
        <v>156</v>
      </c>
      <c r="L30" s="23" t="s">
        <v>157</v>
      </c>
      <c r="M30" s="23" t="s">
        <v>76</v>
      </c>
      <c r="N30" s="23" t="s">
        <v>77</v>
      </c>
      <c r="O30" s="23" t="s">
        <v>77</v>
      </c>
      <c r="P30" s="23" t="s">
        <v>77</v>
      </c>
      <c r="Q30" s="23" t="s">
        <v>77</v>
      </c>
      <c r="R30" s="23" t="s">
        <v>79</v>
      </c>
      <c r="S30" s="20" t="s">
        <v>158</v>
      </c>
      <c r="T30" s="20"/>
    </row>
    <row r="31" spans="1:20" ht="19.5" customHeight="1" x14ac:dyDescent="0.25">
      <c r="A31" s="17" t="s">
        <v>30</v>
      </c>
      <c r="B31" s="17" t="s">
        <v>171</v>
      </c>
      <c r="C31" s="17" t="s">
        <v>30</v>
      </c>
      <c r="D31" s="17" t="s">
        <v>172</v>
      </c>
      <c r="E31" s="55"/>
      <c r="F31" s="56" t="s">
        <v>173</v>
      </c>
      <c r="G31" s="12" t="s">
        <v>70</v>
      </c>
      <c r="H31" s="12" t="s">
        <v>71</v>
      </c>
      <c r="I31" s="12" t="s">
        <v>72</v>
      </c>
      <c r="J31" s="12" t="s">
        <v>73</v>
      </c>
      <c r="K31" s="12" t="s">
        <v>156</v>
      </c>
      <c r="L31" s="12" t="s">
        <v>157</v>
      </c>
      <c r="M31" s="12" t="s">
        <v>76</v>
      </c>
      <c r="N31" s="12" t="s">
        <v>77</v>
      </c>
      <c r="O31" s="12" t="s">
        <v>77</v>
      </c>
      <c r="P31" s="12" t="s">
        <v>77</v>
      </c>
      <c r="Q31" s="12" t="s">
        <v>77</v>
      </c>
      <c r="R31" s="12" t="s">
        <v>79</v>
      </c>
      <c r="S31" s="17" t="s">
        <v>158</v>
      </c>
      <c r="T31" s="17"/>
    </row>
    <row r="32" spans="1:20" ht="19.5" customHeight="1" x14ac:dyDescent="0.25">
      <c r="A32" s="20" t="s">
        <v>30</v>
      </c>
      <c r="B32" s="20" t="s">
        <v>174</v>
      </c>
      <c r="C32" s="20" t="s">
        <v>30</v>
      </c>
      <c r="D32" s="20" t="s">
        <v>92</v>
      </c>
      <c r="E32" s="57"/>
      <c r="F32" s="58" t="s">
        <v>175</v>
      </c>
      <c r="G32" s="23" t="s">
        <v>70</v>
      </c>
      <c r="H32" s="23" t="s">
        <v>71</v>
      </c>
      <c r="I32" s="23" t="s">
        <v>72</v>
      </c>
      <c r="J32" s="23" t="s">
        <v>73</v>
      </c>
      <c r="K32" s="23" t="s">
        <v>156</v>
      </c>
      <c r="L32" s="23" t="s">
        <v>157</v>
      </c>
      <c r="M32" s="23" t="s">
        <v>76</v>
      </c>
      <c r="N32" s="23" t="s">
        <v>77</v>
      </c>
      <c r="O32" s="23" t="s">
        <v>77</v>
      </c>
      <c r="P32" s="23" t="s">
        <v>77</v>
      </c>
      <c r="Q32" s="23" t="s">
        <v>77</v>
      </c>
      <c r="R32" s="23" t="s">
        <v>79</v>
      </c>
      <c r="S32" s="20" t="s">
        <v>158</v>
      </c>
      <c r="T32" s="20"/>
    </row>
    <row r="33" spans="1:20" ht="19.5" customHeight="1" x14ac:dyDescent="0.25">
      <c r="A33" s="17" t="s">
        <v>30</v>
      </c>
      <c r="B33" s="17" t="s">
        <v>176</v>
      </c>
      <c r="C33" s="17" t="s">
        <v>30</v>
      </c>
      <c r="D33" s="17" t="s">
        <v>98</v>
      </c>
      <c r="E33" s="32"/>
      <c r="F33" s="59" t="s">
        <v>177</v>
      </c>
      <c r="G33" s="12" t="s">
        <v>70</v>
      </c>
      <c r="H33" s="12" t="s">
        <v>71</v>
      </c>
      <c r="I33" s="12" t="s">
        <v>72</v>
      </c>
      <c r="J33" s="12" t="s">
        <v>73</v>
      </c>
      <c r="K33" s="12" t="s">
        <v>156</v>
      </c>
      <c r="L33" s="12" t="s">
        <v>157</v>
      </c>
      <c r="M33" s="12" t="s">
        <v>76</v>
      </c>
      <c r="N33" s="12" t="s">
        <v>77</v>
      </c>
      <c r="O33" s="12" t="s">
        <v>77</v>
      </c>
      <c r="P33" s="12" t="s">
        <v>77</v>
      </c>
      <c r="Q33" s="12" t="s">
        <v>77</v>
      </c>
      <c r="R33" s="12" t="s">
        <v>79</v>
      </c>
      <c r="S33" s="17" t="s">
        <v>158</v>
      </c>
      <c r="T33" s="17"/>
    </row>
    <row r="34" spans="1:20" ht="19.5" customHeight="1" x14ac:dyDescent="0.25">
      <c r="A34" s="20" t="s">
        <v>30</v>
      </c>
      <c r="B34" s="20" t="s">
        <v>178</v>
      </c>
      <c r="C34" s="20" t="s">
        <v>30</v>
      </c>
      <c r="D34" s="20" t="s">
        <v>179</v>
      </c>
      <c r="E34" s="60"/>
      <c r="F34" s="61" t="s">
        <v>180</v>
      </c>
      <c r="G34" s="23" t="s">
        <v>70</v>
      </c>
      <c r="H34" s="23" t="s">
        <v>71</v>
      </c>
      <c r="I34" s="23" t="s">
        <v>72</v>
      </c>
      <c r="J34" s="23" t="s">
        <v>73</v>
      </c>
      <c r="K34" s="23" t="s">
        <v>156</v>
      </c>
      <c r="L34" s="23" t="s">
        <v>157</v>
      </c>
      <c r="M34" s="23" t="s">
        <v>76</v>
      </c>
      <c r="N34" s="23" t="s">
        <v>77</v>
      </c>
      <c r="O34" s="23" t="s">
        <v>77</v>
      </c>
      <c r="P34" s="23" t="s">
        <v>77</v>
      </c>
      <c r="Q34" s="23" t="s">
        <v>77</v>
      </c>
      <c r="R34" s="23" t="s">
        <v>79</v>
      </c>
      <c r="S34" s="20" t="s">
        <v>158</v>
      </c>
      <c r="T34" s="20"/>
    </row>
    <row r="35" spans="1:20" ht="19.5" customHeight="1" x14ac:dyDescent="0.25">
      <c r="A35" s="17" t="s">
        <v>30</v>
      </c>
      <c r="B35" s="17" t="s">
        <v>181</v>
      </c>
      <c r="C35" s="17" t="s">
        <v>30</v>
      </c>
      <c r="D35" s="17" t="s">
        <v>104</v>
      </c>
      <c r="E35" s="62"/>
      <c r="F35" s="63" t="s">
        <v>182</v>
      </c>
      <c r="G35" s="12" t="s">
        <v>70</v>
      </c>
      <c r="H35" s="12" t="s">
        <v>71</v>
      </c>
      <c r="I35" s="12" t="s">
        <v>72</v>
      </c>
      <c r="J35" s="12" t="s">
        <v>73</v>
      </c>
      <c r="K35" s="12" t="s">
        <v>156</v>
      </c>
      <c r="L35" s="12" t="s">
        <v>157</v>
      </c>
      <c r="M35" s="12" t="s">
        <v>76</v>
      </c>
      <c r="N35" s="12" t="s">
        <v>77</v>
      </c>
      <c r="O35" s="12" t="s">
        <v>77</v>
      </c>
      <c r="P35" s="12" t="s">
        <v>77</v>
      </c>
      <c r="Q35" s="12" t="s">
        <v>77</v>
      </c>
      <c r="R35" s="12" t="s">
        <v>79</v>
      </c>
      <c r="S35" s="17" t="s">
        <v>158</v>
      </c>
      <c r="T35" s="17"/>
    </row>
    <row r="36" spans="1:20" ht="19.5" customHeight="1" x14ac:dyDescent="0.25">
      <c r="A36" s="20" t="s">
        <v>30</v>
      </c>
      <c r="B36" s="20" t="s">
        <v>183</v>
      </c>
      <c r="C36" s="20" t="s">
        <v>30</v>
      </c>
      <c r="D36" s="20" t="s">
        <v>184</v>
      </c>
      <c r="E36" s="64"/>
      <c r="F36" s="65" t="s">
        <v>185</v>
      </c>
      <c r="G36" s="23" t="s">
        <v>70</v>
      </c>
      <c r="H36" s="23" t="s">
        <v>71</v>
      </c>
      <c r="I36" s="23" t="s">
        <v>72</v>
      </c>
      <c r="J36" s="23" t="s">
        <v>73</v>
      </c>
      <c r="K36" s="23" t="s">
        <v>156</v>
      </c>
      <c r="L36" s="23" t="s">
        <v>157</v>
      </c>
      <c r="M36" s="23" t="s">
        <v>76</v>
      </c>
      <c r="N36" s="23" t="s">
        <v>77</v>
      </c>
      <c r="O36" s="23" t="s">
        <v>77</v>
      </c>
      <c r="P36" s="23" t="s">
        <v>77</v>
      </c>
      <c r="Q36" s="23" t="s">
        <v>77</v>
      </c>
      <c r="R36" s="23" t="s">
        <v>79</v>
      </c>
      <c r="S36" s="20" t="s">
        <v>158</v>
      </c>
      <c r="T36" s="20"/>
    </row>
    <row r="37" spans="1:20" ht="19.5" customHeight="1" x14ac:dyDescent="0.25">
      <c r="A37" s="17" t="s">
        <v>30</v>
      </c>
      <c r="B37" s="17" t="s">
        <v>186</v>
      </c>
      <c r="C37" s="17" t="s">
        <v>30</v>
      </c>
      <c r="D37" s="17" t="s">
        <v>113</v>
      </c>
      <c r="E37" s="12"/>
      <c r="F37" s="42" t="s">
        <v>114</v>
      </c>
      <c r="G37" s="12" t="s">
        <v>70</v>
      </c>
      <c r="H37" s="12" t="s">
        <v>71</v>
      </c>
      <c r="I37" s="12" t="s">
        <v>72</v>
      </c>
      <c r="J37" s="12" t="s">
        <v>73</v>
      </c>
      <c r="K37" s="12" t="s">
        <v>156</v>
      </c>
      <c r="L37" s="12" t="s">
        <v>157</v>
      </c>
      <c r="M37" s="12" t="s">
        <v>76</v>
      </c>
      <c r="N37" s="12" t="s">
        <v>77</v>
      </c>
      <c r="O37" s="12" t="s">
        <v>77</v>
      </c>
      <c r="P37" s="12" t="s">
        <v>77</v>
      </c>
      <c r="Q37" s="12" t="s">
        <v>77</v>
      </c>
      <c r="R37" s="12" t="s">
        <v>79</v>
      </c>
      <c r="S37" s="17" t="s">
        <v>158</v>
      </c>
      <c r="T37" s="17"/>
    </row>
    <row r="38" spans="1:20" ht="19.5" customHeight="1" x14ac:dyDescent="0.25">
      <c r="A38" s="20" t="s">
        <v>30</v>
      </c>
      <c r="B38" s="20" t="s">
        <v>187</v>
      </c>
      <c r="C38" s="20" t="s">
        <v>30</v>
      </c>
      <c r="D38" s="20" t="s">
        <v>188</v>
      </c>
      <c r="E38" s="66"/>
      <c r="F38" s="67" t="s">
        <v>189</v>
      </c>
      <c r="G38" s="23" t="s">
        <v>70</v>
      </c>
      <c r="H38" s="23" t="s">
        <v>71</v>
      </c>
      <c r="I38" s="23" t="s">
        <v>72</v>
      </c>
      <c r="J38" s="23" t="s">
        <v>73</v>
      </c>
      <c r="K38" s="23" t="s">
        <v>156</v>
      </c>
      <c r="L38" s="23" t="s">
        <v>157</v>
      </c>
      <c r="M38" s="23" t="s">
        <v>76</v>
      </c>
      <c r="N38" s="23" t="s">
        <v>77</v>
      </c>
      <c r="O38" s="23" t="s">
        <v>77</v>
      </c>
      <c r="P38" s="23" t="s">
        <v>77</v>
      </c>
      <c r="Q38" s="23" t="s">
        <v>77</v>
      </c>
      <c r="R38" s="23" t="s">
        <v>79</v>
      </c>
      <c r="S38" s="20" t="s">
        <v>158</v>
      </c>
      <c r="T38" s="20"/>
    </row>
    <row r="39" spans="1:20" ht="19.5" customHeight="1" x14ac:dyDescent="0.25">
      <c r="A39" s="17" t="s">
        <v>31</v>
      </c>
      <c r="B39" s="17" t="s">
        <v>190</v>
      </c>
      <c r="C39" s="17" t="s">
        <v>31</v>
      </c>
      <c r="D39" s="17" t="s">
        <v>191</v>
      </c>
      <c r="E39" s="68"/>
      <c r="F39" s="69" t="s">
        <v>192</v>
      </c>
      <c r="G39" s="12" t="s">
        <v>70</v>
      </c>
      <c r="H39" s="12" t="s">
        <v>71</v>
      </c>
      <c r="I39" s="12" t="s">
        <v>72</v>
      </c>
      <c r="J39" s="12" t="s">
        <v>73</v>
      </c>
      <c r="K39" s="12" t="s">
        <v>193</v>
      </c>
      <c r="L39" s="12" t="s">
        <v>194</v>
      </c>
      <c r="M39" s="12" t="s">
        <v>76</v>
      </c>
      <c r="N39" s="12" t="s">
        <v>77</v>
      </c>
      <c r="O39" s="12" t="s">
        <v>77</v>
      </c>
      <c r="P39" s="12" t="s">
        <v>77</v>
      </c>
      <c r="Q39" s="12" t="s">
        <v>77</v>
      </c>
      <c r="R39" s="12" t="s">
        <v>195</v>
      </c>
      <c r="S39" s="17" t="s">
        <v>196</v>
      </c>
      <c r="T39" s="17" t="s">
        <v>197</v>
      </c>
    </row>
    <row r="40" spans="1:20" ht="19.5" customHeight="1" x14ac:dyDescent="0.25">
      <c r="A40" s="20" t="s">
        <v>31</v>
      </c>
      <c r="B40" s="20" t="s">
        <v>198</v>
      </c>
      <c r="C40" s="20" t="s">
        <v>31</v>
      </c>
      <c r="D40" s="20" t="s">
        <v>199</v>
      </c>
      <c r="E40" s="68"/>
      <c r="F40" s="69" t="s">
        <v>192</v>
      </c>
      <c r="G40" s="23" t="s">
        <v>70</v>
      </c>
      <c r="H40" s="23" t="s">
        <v>71</v>
      </c>
      <c r="I40" s="23" t="s">
        <v>72</v>
      </c>
      <c r="J40" s="23" t="s">
        <v>73</v>
      </c>
      <c r="K40" s="23" t="s">
        <v>193</v>
      </c>
      <c r="L40" s="23" t="s">
        <v>194</v>
      </c>
      <c r="M40" s="23" t="s">
        <v>76</v>
      </c>
      <c r="N40" s="23" t="s">
        <v>77</v>
      </c>
      <c r="O40" s="23" t="s">
        <v>77</v>
      </c>
      <c r="P40" s="23" t="s">
        <v>77</v>
      </c>
      <c r="Q40" s="23" t="s">
        <v>77</v>
      </c>
      <c r="R40" s="23" t="s">
        <v>195</v>
      </c>
      <c r="S40" s="20" t="s">
        <v>196</v>
      </c>
      <c r="T40" s="20" t="s">
        <v>200</v>
      </c>
    </row>
    <row r="41" spans="1:20" ht="19.5" customHeight="1" x14ac:dyDescent="0.25">
      <c r="A41" s="17" t="s">
        <v>31</v>
      </c>
      <c r="B41" s="17" t="s">
        <v>201</v>
      </c>
      <c r="C41" s="17" t="s">
        <v>31</v>
      </c>
      <c r="D41" s="17" t="s">
        <v>86</v>
      </c>
      <c r="E41" s="68"/>
      <c r="F41" s="69" t="s">
        <v>192</v>
      </c>
      <c r="G41" s="12" t="s">
        <v>70</v>
      </c>
      <c r="H41" s="12" t="s">
        <v>71</v>
      </c>
      <c r="I41" s="12" t="s">
        <v>72</v>
      </c>
      <c r="J41" s="12" t="s">
        <v>73</v>
      </c>
      <c r="K41" s="12" t="s">
        <v>193</v>
      </c>
      <c r="L41" s="12" t="s">
        <v>194</v>
      </c>
      <c r="M41" s="12" t="s">
        <v>76</v>
      </c>
      <c r="N41" s="12" t="s">
        <v>77</v>
      </c>
      <c r="O41" s="12" t="s">
        <v>77</v>
      </c>
      <c r="P41" s="12" t="s">
        <v>77</v>
      </c>
      <c r="Q41" s="12" t="s">
        <v>77</v>
      </c>
      <c r="R41" s="12" t="s">
        <v>195</v>
      </c>
      <c r="S41" s="17" t="s">
        <v>196</v>
      </c>
      <c r="T41" s="17" t="s">
        <v>202</v>
      </c>
    </row>
    <row r="42" spans="1:20" ht="19.5" customHeight="1" x14ac:dyDescent="0.25">
      <c r="A42" s="20" t="s">
        <v>31</v>
      </c>
      <c r="B42" s="20" t="s">
        <v>203</v>
      </c>
      <c r="C42" s="20" t="s">
        <v>31</v>
      </c>
      <c r="D42" s="20" t="s">
        <v>166</v>
      </c>
      <c r="E42" s="68"/>
      <c r="F42" s="69" t="s">
        <v>192</v>
      </c>
      <c r="G42" s="23" t="s">
        <v>70</v>
      </c>
      <c r="H42" s="23" t="s">
        <v>71</v>
      </c>
      <c r="I42" s="23" t="s">
        <v>72</v>
      </c>
      <c r="J42" s="23" t="s">
        <v>73</v>
      </c>
      <c r="K42" s="23" t="s">
        <v>193</v>
      </c>
      <c r="L42" s="23" t="s">
        <v>194</v>
      </c>
      <c r="M42" s="23" t="s">
        <v>76</v>
      </c>
      <c r="N42" s="23" t="s">
        <v>77</v>
      </c>
      <c r="O42" s="23" t="s">
        <v>77</v>
      </c>
      <c r="P42" s="23" t="s">
        <v>77</v>
      </c>
      <c r="Q42" s="23" t="s">
        <v>77</v>
      </c>
      <c r="R42" s="23" t="s">
        <v>195</v>
      </c>
      <c r="S42" s="20" t="s">
        <v>196</v>
      </c>
      <c r="T42" s="20" t="s">
        <v>204</v>
      </c>
    </row>
    <row r="43" spans="1:20" ht="19.5" customHeight="1" x14ac:dyDescent="0.25">
      <c r="A43" s="17" t="s">
        <v>31</v>
      </c>
      <c r="B43" s="17" t="s">
        <v>205</v>
      </c>
      <c r="C43" s="17" t="s">
        <v>31</v>
      </c>
      <c r="D43" s="17" t="s">
        <v>206</v>
      </c>
      <c r="E43" s="68"/>
      <c r="F43" s="69" t="s">
        <v>192</v>
      </c>
      <c r="G43" s="12" t="s">
        <v>70</v>
      </c>
      <c r="H43" s="12" t="s">
        <v>71</v>
      </c>
      <c r="I43" s="12" t="s">
        <v>72</v>
      </c>
      <c r="J43" s="12" t="s">
        <v>73</v>
      </c>
      <c r="K43" s="12" t="s">
        <v>193</v>
      </c>
      <c r="L43" s="12" t="s">
        <v>194</v>
      </c>
      <c r="M43" s="12" t="s">
        <v>76</v>
      </c>
      <c r="N43" s="12" t="s">
        <v>77</v>
      </c>
      <c r="O43" s="12" t="s">
        <v>77</v>
      </c>
      <c r="P43" s="12" t="s">
        <v>77</v>
      </c>
      <c r="Q43" s="12" t="s">
        <v>77</v>
      </c>
      <c r="R43" s="12" t="s">
        <v>195</v>
      </c>
      <c r="S43" s="17" t="s">
        <v>196</v>
      </c>
      <c r="T43" s="17" t="s">
        <v>207</v>
      </c>
    </row>
    <row r="44" spans="1:20" ht="19.5" customHeight="1" x14ac:dyDescent="0.25">
      <c r="A44" s="20" t="s">
        <v>31</v>
      </c>
      <c r="B44" s="20" t="s">
        <v>208</v>
      </c>
      <c r="C44" s="20" t="s">
        <v>31</v>
      </c>
      <c r="D44" s="20" t="s">
        <v>209</v>
      </c>
      <c r="E44" s="68"/>
      <c r="F44" s="69" t="s">
        <v>192</v>
      </c>
      <c r="G44" s="23" t="s">
        <v>70</v>
      </c>
      <c r="H44" s="23" t="s">
        <v>71</v>
      </c>
      <c r="I44" s="23" t="s">
        <v>72</v>
      </c>
      <c r="J44" s="23" t="s">
        <v>73</v>
      </c>
      <c r="K44" s="23" t="s">
        <v>193</v>
      </c>
      <c r="L44" s="23" t="s">
        <v>194</v>
      </c>
      <c r="M44" s="23" t="s">
        <v>76</v>
      </c>
      <c r="N44" s="23" t="s">
        <v>77</v>
      </c>
      <c r="O44" s="23" t="s">
        <v>77</v>
      </c>
      <c r="P44" s="23" t="s">
        <v>77</v>
      </c>
      <c r="Q44" s="23" t="s">
        <v>77</v>
      </c>
      <c r="R44" s="23" t="s">
        <v>195</v>
      </c>
      <c r="S44" s="20" t="s">
        <v>196</v>
      </c>
      <c r="T44" s="20" t="s">
        <v>210</v>
      </c>
    </row>
    <row r="45" spans="1:20" ht="19.5" customHeight="1" x14ac:dyDescent="0.25">
      <c r="A45" s="17" t="s">
        <v>31</v>
      </c>
      <c r="B45" s="17" t="s">
        <v>211</v>
      </c>
      <c r="C45" s="17" t="s">
        <v>31</v>
      </c>
      <c r="D45" s="17" t="s">
        <v>212</v>
      </c>
      <c r="E45" s="68"/>
      <c r="F45" s="69" t="s">
        <v>192</v>
      </c>
      <c r="G45" s="12" t="s">
        <v>70</v>
      </c>
      <c r="H45" s="12" t="s">
        <v>71</v>
      </c>
      <c r="I45" s="12" t="s">
        <v>72</v>
      </c>
      <c r="J45" s="12" t="s">
        <v>73</v>
      </c>
      <c r="K45" s="12" t="s">
        <v>193</v>
      </c>
      <c r="L45" s="12" t="s">
        <v>194</v>
      </c>
      <c r="M45" s="12" t="s">
        <v>76</v>
      </c>
      <c r="N45" s="12" t="s">
        <v>77</v>
      </c>
      <c r="O45" s="12" t="s">
        <v>77</v>
      </c>
      <c r="P45" s="12" t="s">
        <v>77</v>
      </c>
      <c r="Q45" s="12" t="s">
        <v>77</v>
      </c>
      <c r="R45" s="12" t="s">
        <v>195</v>
      </c>
      <c r="S45" s="17" t="s">
        <v>196</v>
      </c>
      <c r="T45" s="17" t="s">
        <v>213</v>
      </c>
    </row>
    <row r="46" spans="1:20" ht="19.5" customHeight="1" x14ac:dyDescent="0.25">
      <c r="A46" s="20" t="s">
        <v>31</v>
      </c>
      <c r="B46" s="20" t="s">
        <v>214</v>
      </c>
      <c r="C46" s="20" t="s">
        <v>31</v>
      </c>
      <c r="D46" s="20" t="s">
        <v>113</v>
      </c>
      <c r="E46" s="68"/>
      <c r="F46" s="69" t="s">
        <v>192</v>
      </c>
      <c r="G46" s="23" t="s">
        <v>70</v>
      </c>
      <c r="H46" s="23" t="s">
        <v>71</v>
      </c>
      <c r="I46" s="23" t="s">
        <v>72</v>
      </c>
      <c r="J46" s="23" t="s">
        <v>73</v>
      </c>
      <c r="K46" s="23" t="s">
        <v>193</v>
      </c>
      <c r="L46" s="23" t="s">
        <v>194</v>
      </c>
      <c r="M46" s="23" t="s">
        <v>76</v>
      </c>
      <c r="N46" s="23" t="s">
        <v>77</v>
      </c>
      <c r="O46" s="23" t="s">
        <v>77</v>
      </c>
      <c r="P46" s="23" t="s">
        <v>77</v>
      </c>
      <c r="Q46" s="23" t="s">
        <v>77</v>
      </c>
      <c r="R46" s="23" t="s">
        <v>195</v>
      </c>
      <c r="S46" s="20" t="s">
        <v>196</v>
      </c>
      <c r="T46" s="20" t="s">
        <v>215</v>
      </c>
    </row>
    <row r="47" spans="1:20" ht="19.5" customHeight="1" x14ac:dyDescent="0.25">
      <c r="A47" s="17" t="s">
        <v>32</v>
      </c>
      <c r="B47" s="17" t="s">
        <v>216</v>
      </c>
      <c r="C47" s="17" t="s">
        <v>32</v>
      </c>
      <c r="D47" s="17" t="s">
        <v>217</v>
      </c>
      <c r="E47" s="70"/>
      <c r="F47" s="71" t="s">
        <v>218</v>
      </c>
      <c r="G47" s="12" t="s">
        <v>70</v>
      </c>
      <c r="H47" s="12" t="s">
        <v>71</v>
      </c>
      <c r="I47" s="12" t="s">
        <v>72</v>
      </c>
      <c r="J47" s="12" t="s">
        <v>73</v>
      </c>
      <c r="K47" s="12" t="s">
        <v>193</v>
      </c>
      <c r="L47" s="12" t="s">
        <v>157</v>
      </c>
      <c r="M47" s="12" t="s">
        <v>76</v>
      </c>
      <c r="N47" s="12" t="s">
        <v>77</v>
      </c>
      <c r="O47" s="12" t="s">
        <v>77</v>
      </c>
      <c r="P47" s="12" t="s">
        <v>77</v>
      </c>
      <c r="Q47" s="12" t="s">
        <v>77</v>
      </c>
      <c r="R47" s="12" t="s">
        <v>195</v>
      </c>
      <c r="S47" s="17" t="s">
        <v>219</v>
      </c>
      <c r="T47" s="17" t="s">
        <v>220</v>
      </c>
    </row>
    <row r="48" spans="1:20" ht="19.5" customHeight="1" x14ac:dyDescent="0.25">
      <c r="A48" s="20" t="s">
        <v>33</v>
      </c>
      <c r="B48" s="20" t="s">
        <v>221</v>
      </c>
      <c r="C48" s="20" t="s">
        <v>33</v>
      </c>
      <c r="D48" s="20" t="s">
        <v>86</v>
      </c>
      <c r="E48" s="24"/>
      <c r="F48" s="25" t="s">
        <v>87</v>
      </c>
      <c r="G48" s="23" t="s">
        <v>70</v>
      </c>
      <c r="H48" s="23" t="s">
        <v>71</v>
      </c>
      <c r="I48" s="23" t="s">
        <v>72</v>
      </c>
      <c r="J48" s="23" t="s">
        <v>73</v>
      </c>
      <c r="K48" s="23" t="s">
        <v>193</v>
      </c>
      <c r="L48" s="23" t="s">
        <v>157</v>
      </c>
      <c r="M48" s="23" t="s">
        <v>76</v>
      </c>
      <c r="N48" s="23" t="s">
        <v>77</v>
      </c>
      <c r="O48" s="23" t="s">
        <v>77</v>
      </c>
      <c r="P48" s="23" t="s">
        <v>77</v>
      </c>
      <c r="Q48" s="23" t="s">
        <v>77</v>
      </c>
      <c r="R48" s="23" t="s">
        <v>79</v>
      </c>
      <c r="S48" s="20" t="s">
        <v>222</v>
      </c>
      <c r="T48" s="20" t="s">
        <v>223</v>
      </c>
    </row>
    <row r="49" spans="1:20" ht="19.5" customHeight="1" x14ac:dyDescent="0.25">
      <c r="A49" s="17" t="s">
        <v>33</v>
      </c>
      <c r="B49" s="17" t="s">
        <v>224</v>
      </c>
      <c r="C49" s="17" t="s">
        <v>33</v>
      </c>
      <c r="D49" s="17" t="s">
        <v>225</v>
      </c>
      <c r="E49" s="72"/>
      <c r="F49" s="73" t="s">
        <v>226</v>
      </c>
      <c r="G49" s="12" t="s">
        <v>70</v>
      </c>
      <c r="H49" s="12" t="s">
        <v>71</v>
      </c>
      <c r="I49" s="12" t="s">
        <v>72</v>
      </c>
      <c r="J49" s="12" t="s">
        <v>73</v>
      </c>
      <c r="K49" s="12" t="s">
        <v>193</v>
      </c>
      <c r="L49" s="12" t="s">
        <v>157</v>
      </c>
      <c r="M49" s="12" t="s">
        <v>76</v>
      </c>
      <c r="N49" s="12" t="s">
        <v>77</v>
      </c>
      <c r="O49" s="12" t="s">
        <v>77</v>
      </c>
      <c r="P49" s="12" t="s">
        <v>77</v>
      </c>
      <c r="Q49" s="12" t="s">
        <v>77</v>
      </c>
      <c r="R49" s="12" t="s">
        <v>79</v>
      </c>
      <c r="S49" s="17" t="s">
        <v>222</v>
      </c>
      <c r="T49" s="17" t="s">
        <v>223</v>
      </c>
    </row>
    <row r="50" spans="1:20" ht="19.5" customHeight="1" x14ac:dyDescent="0.25">
      <c r="A50" s="20" t="s">
        <v>33</v>
      </c>
      <c r="B50" s="20" t="s">
        <v>227</v>
      </c>
      <c r="C50" s="20" t="s">
        <v>33</v>
      </c>
      <c r="D50" s="20" t="s">
        <v>228</v>
      </c>
      <c r="E50" s="74"/>
      <c r="F50" s="75" t="s">
        <v>229</v>
      </c>
      <c r="G50" s="23" t="s">
        <v>70</v>
      </c>
      <c r="H50" s="23" t="s">
        <v>71</v>
      </c>
      <c r="I50" s="23" t="s">
        <v>72</v>
      </c>
      <c r="J50" s="23" t="s">
        <v>73</v>
      </c>
      <c r="K50" s="23" t="s">
        <v>193</v>
      </c>
      <c r="L50" s="23" t="s">
        <v>157</v>
      </c>
      <c r="M50" s="23" t="s">
        <v>76</v>
      </c>
      <c r="N50" s="23" t="s">
        <v>77</v>
      </c>
      <c r="O50" s="23" t="s">
        <v>77</v>
      </c>
      <c r="P50" s="23" t="s">
        <v>77</v>
      </c>
      <c r="Q50" s="23" t="s">
        <v>77</v>
      </c>
      <c r="R50" s="23" t="s">
        <v>79</v>
      </c>
      <c r="S50" s="20" t="s">
        <v>222</v>
      </c>
      <c r="T50" s="20" t="s">
        <v>223</v>
      </c>
    </row>
    <row r="51" spans="1:20" ht="19.5" customHeight="1" x14ac:dyDescent="0.25">
      <c r="A51" s="17" t="s">
        <v>33</v>
      </c>
      <c r="B51" s="17" t="s">
        <v>230</v>
      </c>
      <c r="C51" s="17" t="s">
        <v>33</v>
      </c>
      <c r="D51" s="17" t="s">
        <v>231</v>
      </c>
      <c r="E51" s="76"/>
      <c r="F51" s="77" t="s">
        <v>232</v>
      </c>
      <c r="G51" s="12" t="s">
        <v>70</v>
      </c>
      <c r="H51" s="12" t="s">
        <v>71</v>
      </c>
      <c r="I51" s="12" t="s">
        <v>72</v>
      </c>
      <c r="J51" s="12" t="s">
        <v>73</v>
      </c>
      <c r="K51" s="12" t="s">
        <v>193</v>
      </c>
      <c r="L51" s="12" t="s">
        <v>157</v>
      </c>
      <c r="M51" s="12" t="s">
        <v>76</v>
      </c>
      <c r="N51" s="12" t="s">
        <v>77</v>
      </c>
      <c r="O51" s="12" t="s">
        <v>77</v>
      </c>
      <c r="P51" s="12" t="s">
        <v>77</v>
      </c>
      <c r="Q51" s="12" t="s">
        <v>77</v>
      </c>
      <c r="R51" s="12" t="s">
        <v>79</v>
      </c>
      <c r="S51" s="17" t="s">
        <v>222</v>
      </c>
      <c r="T51" s="17" t="s">
        <v>223</v>
      </c>
    </row>
    <row r="52" spans="1:20" ht="19.5" customHeight="1" x14ac:dyDescent="0.25">
      <c r="A52" s="20" t="s">
        <v>33</v>
      </c>
      <c r="B52" s="20" t="s">
        <v>233</v>
      </c>
      <c r="C52" s="20" t="s">
        <v>33</v>
      </c>
      <c r="D52" s="20" t="s">
        <v>234</v>
      </c>
      <c r="E52" s="55"/>
      <c r="F52" s="78" t="s">
        <v>235</v>
      </c>
      <c r="G52" s="23" t="s">
        <v>70</v>
      </c>
      <c r="H52" s="23" t="s">
        <v>71</v>
      </c>
      <c r="I52" s="23" t="s">
        <v>72</v>
      </c>
      <c r="J52" s="23" t="s">
        <v>73</v>
      </c>
      <c r="K52" s="23" t="s">
        <v>193</v>
      </c>
      <c r="L52" s="23" t="s">
        <v>157</v>
      </c>
      <c r="M52" s="23" t="s">
        <v>76</v>
      </c>
      <c r="N52" s="23" t="s">
        <v>77</v>
      </c>
      <c r="O52" s="23" t="s">
        <v>77</v>
      </c>
      <c r="P52" s="23" t="s">
        <v>77</v>
      </c>
      <c r="Q52" s="23" t="s">
        <v>77</v>
      </c>
      <c r="R52" s="23" t="s">
        <v>79</v>
      </c>
      <c r="S52" s="20" t="s">
        <v>222</v>
      </c>
      <c r="T52" s="20" t="s">
        <v>223</v>
      </c>
    </row>
    <row r="53" spans="1:20" ht="19.5" customHeight="1" x14ac:dyDescent="0.25">
      <c r="A53" s="17" t="s">
        <v>33</v>
      </c>
      <c r="B53" s="17" t="s">
        <v>236</v>
      </c>
      <c r="C53" s="17" t="s">
        <v>33</v>
      </c>
      <c r="D53" s="17" t="s">
        <v>237</v>
      </c>
      <c r="E53" s="79"/>
      <c r="F53" s="80" t="s">
        <v>238</v>
      </c>
      <c r="G53" s="12" t="s">
        <v>70</v>
      </c>
      <c r="H53" s="12" t="s">
        <v>71</v>
      </c>
      <c r="I53" s="12" t="s">
        <v>72</v>
      </c>
      <c r="J53" s="12" t="s">
        <v>73</v>
      </c>
      <c r="K53" s="12" t="s">
        <v>193</v>
      </c>
      <c r="L53" s="12" t="s">
        <v>157</v>
      </c>
      <c r="M53" s="12" t="s">
        <v>76</v>
      </c>
      <c r="N53" s="12" t="s">
        <v>77</v>
      </c>
      <c r="O53" s="12" t="s">
        <v>77</v>
      </c>
      <c r="P53" s="12" t="s">
        <v>77</v>
      </c>
      <c r="Q53" s="12" t="s">
        <v>77</v>
      </c>
      <c r="R53" s="12" t="s">
        <v>79</v>
      </c>
      <c r="S53" s="17" t="s">
        <v>222</v>
      </c>
      <c r="T53" s="17" t="s">
        <v>223</v>
      </c>
    </row>
    <row r="54" spans="1:20" ht="19.5" customHeight="1" x14ac:dyDescent="0.25">
      <c r="A54" s="20" t="s">
        <v>34</v>
      </c>
      <c r="B54" s="20" t="s">
        <v>239</v>
      </c>
      <c r="C54" s="20" t="s">
        <v>34</v>
      </c>
      <c r="D54" s="20" t="s">
        <v>86</v>
      </c>
      <c r="E54" s="47"/>
      <c r="F54" s="25" t="s">
        <v>140</v>
      </c>
      <c r="G54" s="23" t="s">
        <v>70</v>
      </c>
      <c r="H54" s="23" t="s">
        <v>141</v>
      </c>
      <c r="I54" s="23" t="s">
        <v>72</v>
      </c>
      <c r="J54" s="23" t="s">
        <v>73</v>
      </c>
      <c r="K54" s="23" t="s">
        <v>193</v>
      </c>
      <c r="L54" s="23" t="s">
        <v>240</v>
      </c>
      <c r="M54" s="23" t="s">
        <v>241</v>
      </c>
      <c r="N54" s="23" t="s">
        <v>77</v>
      </c>
      <c r="O54" s="23" t="s">
        <v>78</v>
      </c>
      <c r="P54" s="23" t="s">
        <v>77</v>
      </c>
      <c r="Q54" s="23" t="s">
        <v>77</v>
      </c>
      <c r="R54" s="23" t="s">
        <v>195</v>
      </c>
      <c r="S54" s="20" t="s">
        <v>242</v>
      </c>
      <c r="T54" s="20" t="s">
        <v>243</v>
      </c>
    </row>
    <row r="55" spans="1:20" ht="19.5" customHeight="1" x14ac:dyDescent="0.25">
      <c r="A55" s="17" t="s">
        <v>35</v>
      </c>
      <c r="B55" s="17" t="s">
        <v>244</v>
      </c>
      <c r="C55" s="17" t="s">
        <v>35</v>
      </c>
      <c r="D55" s="17" t="s">
        <v>83</v>
      </c>
      <c r="E55" s="21"/>
      <c r="F55" s="22" t="s">
        <v>84</v>
      </c>
      <c r="G55" s="12" t="s">
        <v>70</v>
      </c>
      <c r="H55" s="12" t="s">
        <v>71</v>
      </c>
      <c r="I55" s="12" t="s">
        <v>72</v>
      </c>
      <c r="J55" s="12" t="s">
        <v>73</v>
      </c>
      <c r="K55" s="12" t="s">
        <v>245</v>
      </c>
      <c r="L55" s="12" t="s">
        <v>240</v>
      </c>
      <c r="M55" s="12" t="s">
        <v>246</v>
      </c>
      <c r="N55" s="12" t="s">
        <v>77</v>
      </c>
      <c r="O55" s="12" t="s">
        <v>77</v>
      </c>
      <c r="P55" s="12" t="s">
        <v>77</v>
      </c>
      <c r="Q55" s="12" t="s">
        <v>77</v>
      </c>
      <c r="R55" s="12" t="s">
        <v>79</v>
      </c>
      <c r="S55" s="17" t="s">
        <v>247</v>
      </c>
      <c r="T55" s="17"/>
    </row>
    <row r="56" spans="1:20" ht="19.5" customHeight="1" x14ac:dyDescent="0.25">
      <c r="A56" s="20" t="s">
        <v>35</v>
      </c>
      <c r="B56" s="20" t="s">
        <v>248</v>
      </c>
      <c r="C56" s="20" t="s">
        <v>35</v>
      </c>
      <c r="D56" s="20" t="s">
        <v>249</v>
      </c>
      <c r="E56" s="81"/>
      <c r="F56" s="49" t="s">
        <v>250</v>
      </c>
      <c r="G56" s="23" t="s">
        <v>70</v>
      </c>
      <c r="H56" s="23" t="s">
        <v>71</v>
      </c>
      <c r="I56" s="23" t="s">
        <v>72</v>
      </c>
      <c r="J56" s="23" t="s">
        <v>73</v>
      </c>
      <c r="K56" s="23" t="s">
        <v>245</v>
      </c>
      <c r="L56" s="23" t="s">
        <v>240</v>
      </c>
      <c r="M56" s="23" t="s">
        <v>246</v>
      </c>
      <c r="N56" s="23" t="s">
        <v>77</v>
      </c>
      <c r="O56" s="23" t="s">
        <v>77</v>
      </c>
      <c r="P56" s="23" t="s">
        <v>77</v>
      </c>
      <c r="Q56" s="23" t="s">
        <v>77</v>
      </c>
      <c r="R56" s="23" t="s">
        <v>79</v>
      </c>
      <c r="S56" s="20" t="s">
        <v>247</v>
      </c>
      <c r="T56" s="20"/>
    </row>
    <row r="57" spans="1:20" ht="19.5" customHeight="1" x14ac:dyDescent="0.25">
      <c r="A57" s="17" t="s">
        <v>35</v>
      </c>
      <c r="B57" s="17" t="s">
        <v>251</v>
      </c>
      <c r="C57" s="17" t="s">
        <v>35</v>
      </c>
      <c r="D57" s="17" t="s">
        <v>86</v>
      </c>
      <c r="E57" s="24"/>
      <c r="F57" s="25" t="s">
        <v>87</v>
      </c>
      <c r="G57" s="12" t="s">
        <v>70</v>
      </c>
      <c r="H57" s="12" t="s">
        <v>71</v>
      </c>
      <c r="I57" s="12" t="s">
        <v>72</v>
      </c>
      <c r="J57" s="12" t="s">
        <v>73</v>
      </c>
      <c r="K57" s="12" t="s">
        <v>245</v>
      </c>
      <c r="L57" s="12" t="s">
        <v>240</v>
      </c>
      <c r="M57" s="12" t="s">
        <v>246</v>
      </c>
      <c r="N57" s="12" t="s">
        <v>77</v>
      </c>
      <c r="O57" s="12" t="s">
        <v>77</v>
      </c>
      <c r="P57" s="12" t="s">
        <v>77</v>
      </c>
      <c r="Q57" s="12" t="s">
        <v>77</v>
      </c>
      <c r="R57" s="12" t="s">
        <v>79</v>
      </c>
      <c r="S57" s="17" t="s">
        <v>247</v>
      </c>
      <c r="T57" s="17"/>
    </row>
    <row r="58" spans="1:20" ht="19.5" customHeight="1" x14ac:dyDescent="0.25">
      <c r="A58" s="20" t="s">
        <v>35</v>
      </c>
      <c r="B58" s="20" t="s">
        <v>252</v>
      </c>
      <c r="C58" s="20" t="s">
        <v>35</v>
      </c>
      <c r="D58" s="20" t="s">
        <v>89</v>
      </c>
      <c r="E58" s="45"/>
      <c r="F58" s="46" t="s">
        <v>124</v>
      </c>
      <c r="G58" s="23" t="s">
        <v>70</v>
      </c>
      <c r="H58" s="23" t="s">
        <v>71</v>
      </c>
      <c r="I58" s="23" t="s">
        <v>72</v>
      </c>
      <c r="J58" s="23" t="s">
        <v>73</v>
      </c>
      <c r="K58" s="23" t="s">
        <v>245</v>
      </c>
      <c r="L58" s="23" t="s">
        <v>240</v>
      </c>
      <c r="M58" s="23" t="s">
        <v>246</v>
      </c>
      <c r="N58" s="23" t="s">
        <v>77</v>
      </c>
      <c r="O58" s="23" t="s">
        <v>77</v>
      </c>
      <c r="P58" s="23" t="s">
        <v>77</v>
      </c>
      <c r="Q58" s="23" t="s">
        <v>77</v>
      </c>
      <c r="R58" s="23" t="s">
        <v>79</v>
      </c>
      <c r="S58" s="20" t="s">
        <v>247</v>
      </c>
      <c r="T58" s="20"/>
    </row>
    <row r="59" spans="1:20" ht="19.5" customHeight="1" x14ac:dyDescent="0.25">
      <c r="A59" s="17" t="s">
        <v>35</v>
      </c>
      <c r="B59" s="17" t="s">
        <v>253</v>
      </c>
      <c r="C59" s="17" t="s">
        <v>35</v>
      </c>
      <c r="D59" s="17" t="s">
        <v>254</v>
      </c>
      <c r="E59" s="82"/>
      <c r="F59" s="83" t="s">
        <v>255</v>
      </c>
      <c r="G59" s="12" t="s">
        <v>70</v>
      </c>
      <c r="H59" s="12" t="s">
        <v>71</v>
      </c>
      <c r="I59" s="12" t="s">
        <v>72</v>
      </c>
      <c r="J59" s="12" t="s">
        <v>73</v>
      </c>
      <c r="K59" s="12" t="s">
        <v>245</v>
      </c>
      <c r="L59" s="12" t="s">
        <v>240</v>
      </c>
      <c r="M59" s="12" t="s">
        <v>246</v>
      </c>
      <c r="N59" s="12" t="s">
        <v>77</v>
      </c>
      <c r="O59" s="12" t="s">
        <v>77</v>
      </c>
      <c r="P59" s="12" t="s">
        <v>77</v>
      </c>
      <c r="Q59" s="12" t="s">
        <v>77</v>
      </c>
      <c r="R59" s="12" t="s">
        <v>79</v>
      </c>
      <c r="S59" s="17" t="s">
        <v>247</v>
      </c>
      <c r="T59" s="17"/>
    </row>
    <row r="60" spans="1:20" ht="19.5" customHeight="1" x14ac:dyDescent="0.25">
      <c r="A60" s="20" t="s">
        <v>35</v>
      </c>
      <c r="B60" s="20" t="s">
        <v>256</v>
      </c>
      <c r="C60" s="20" t="s">
        <v>35</v>
      </c>
      <c r="D60" s="20" t="s">
        <v>257</v>
      </c>
      <c r="E60" s="84"/>
      <c r="F60" s="85" t="s">
        <v>258</v>
      </c>
      <c r="G60" s="23" t="s">
        <v>70</v>
      </c>
      <c r="H60" s="23" t="s">
        <v>71</v>
      </c>
      <c r="I60" s="23" t="s">
        <v>72</v>
      </c>
      <c r="J60" s="23" t="s">
        <v>73</v>
      </c>
      <c r="K60" s="23" t="s">
        <v>245</v>
      </c>
      <c r="L60" s="23" t="s">
        <v>240</v>
      </c>
      <c r="M60" s="23" t="s">
        <v>246</v>
      </c>
      <c r="N60" s="23" t="s">
        <v>77</v>
      </c>
      <c r="O60" s="23" t="s">
        <v>77</v>
      </c>
      <c r="P60" s="23" t="s">
        <v>77</v>
      </c>
      <c r="Q60" s="23" t="s">
        <v>77</v>
      </c>
      <c r="R60" s="23" t="s">
        <v>79</v>
      </c>
      <c r="S60" s="20" t="s">
        <v>247</v>
      </c>
      <c r="T60" s="20"/>
    </row>
    <row r="61" spans="1:20" ht="19.5" customHeight="1" x14ac:dyDescent="0.25">
      <c r="A61" s="17" t="s">
        <v>35</v>
      </c>
      <c r="B61" s="17" t="s">
        <v>259</v>
      </c>
      <c r="C61" s="17" t="s">
        <v>35</v>
      </c>
      <c r="D61" s="17" t="s">
        <v>260</v>
      </c>
      <c r="E61" s="86"/>
      <c r="F61" s="87" t="s">
        <v>261</v>
      </c>
      <c r="G61" s="12" t="s">
        <v>70</v>
      </c>
      <c r="H61" s="12" t="s">
        <v>71</v>
      </c>
      <c r="I61" s="12" t="s">
        <v>72</v>
      </c>
      <c r="J61" s="12" t="s">
        <v>73</v>
      </c>
      <c r="K61" s="12" t="s">
        <v>245</v>
      </c>
      <c r="L61" s="12" t="s">
        <v>240</v>
      </c>
      <c r="M61" s="12" t="s">
        <v>246</v>
      </c>
      <c r="N61" s="12" t="s">
        <v>77</v>
      </c>
      <c r="O61" s="12" t="s">
        <v>77</v>
      </c>
      <c r="P61" s="12" t="s">
        <v>77</v>
      </c>
      <c r="Q61" s="12" t="s">
        <v>77</v>
      </c>
      <c r="R61" s="12" t="s">
        <v>79</v>
      </c>
      <c r="S61" s="17" t="s">
        <v>247</v>
      </c>
      <c r="T61" s="17"/>
    </row>
    <row r="62" spans="1:20" ht="19.5" customHeight="1" x14ac:dyDescent="0.25">
      <c r="A62" s="20" t="s">
        <v>35</v>
      </c>
      <c r="B62" s="20" t="s">
        <v>262</v>
      </c>
      <c r="C62" s="20" t="s">
        <v>35</v>
      </c>
      <c r="D62" s="20" t="s">
        <v>263</v>
      </c>
      <c r="E62" s="88"/>
      <c r="F62" s="89" t="s">
        <v>264</v>
      </c>
      <c r="G62" s="23" t="s">
        <v>70</v>
      </c>
      <c r="H62" s="23" t="s">
        <v>71</v>
      </c>
      <c r="I62" s="23" t="s">
        <v>72</v>
      </c>
      <c r="J62" s="23" t="s">
        <v>73</v>
      </c>
      <c r="K62" s="23" t="s">
        <v>245</v>
      </c>
      <c r="L62" s="23" t="s">
        <v>240</v>
      </c>
      <c r="M62" s="23" t="s">
        <v>246</v>
      </c>
      <c r="N62" s="23" t="s">
        <v>77</v>
      </c>
      <c r="O62" s="23" t="s">
        <v>77</v>
      </c>
      <c r="P62" s="23" t="s">
        <v>77</v>
      </c>
      <c r="Q62" s="23" t="s">
        <v>77</v>
      </c>
      <c r="R62" s="23" t="s">
        <v>79</v>
      </c>
      <c r="S62" s="20" t="s">
        <v>247</v>
      </c>
      <c r="T62" s="20"/>
    </row>
    <row r="63" spans="1:20" ht="19.5" customHeight="1" x14ac:dyDescent="0.25">
      <c r="A63" s="17" t="s">
        <v>35</v>
      </c>
      <c r="B63" s="17" t="s">
        <v>265</v>
      </c>
      <c r="C63" s="17" t="s">
        <v>35</v>
      </c>
      <c r="D63" s="17" t="s">
        <v>266</v>
      </c>
      <c r="E63" s="90"/>
      <c r="F63" s="91" t="s">
        <v>267</v>
      </c>
      <c r="G63" s="12" t="s">
        <v>70</v>
      </c>
      <c r="H63" s="12" t="s">
        <v>71</v>
      </c>
      <c r="I63" s="12" t="s">
        <v>72</v>
      </c>
      <c r="J63" s="12" t="s">
        <v>73</v>
      </c>
      <c r="K63" s="12" t="s">
        <v>245</v>
      </c>
      <c r="L63" s="12" t="s">
        <v>240</v>
      </c>
      <c r="M63" s="12" t="s">
        <v>246</v>
      </c>
      <c r="N63" s="12" t="s">
        <v>77</v>
      </c>
      <c r="O63" s="12" t="s">
        <v>77</v>
      </c>
      <c r="P63" s="12" t="s">
        <v>77</v>
      </c>
      <c r="Q63" s="12" t="s">
        <v>77</v>
      </c>
      <c r="R63" s="12" t="s">
        <v>79</v>
      </c>
      <c r="S63" s="17" t="s">
        <v>247</v>
      </c>
      <c r="T63" s="17"/>
    </row>
    <row r="64" spans="1:20" ht="19.5" customHeight="1" x14ac:dyDescent="0.25">
      <c r="A64" s="20" t="s">
        <v>35</v>
      </c>
      <c r="B64" s="20" t="s">
        <v>268</v>
      </c>
      <c r="C64" s="20" t="s">
        <v>35</v>
      </c>
      <c r="D64" s="20" t="s">
        <v>269</v>
      </c>
      <c r="E64" s="92"/>
      <c r="F64" s="93" t="s">
        <v>270</v>
      </c>
      <c r="G64" s="23" t="s">
        <v>70</v>
      </c>
      <c r="H64" s="23" t="s">
        <v>71</v>
      </c>
      <c r="I64" s="23" t="s">
        <v>72</v>
      </c>
      <c r="J64" s="23" t="s">
        <v>73</v>
      </c>
      <c r="K64" s="23" t="s">
        <v>245</v>
      </c>
      <c r="L64" s="23" t="s">
        <v>240</v>
      </c>
      <c r="M64" s="23" t="s">
        <v>246</v>
      </c>
      <c r="N64" s="23" t="s">
        <v>77</v>
      </c>
      <c r="O64" s="23" t="s">
        <v>77</v>
      </c>
      <c r="P64" s="23" t="s">
        <v>77</v>
      </c>
      <c r="Q64" s="23" t="s">
        <v>77</v>
      </c>
      <c r="R64" s="23" t="s">
        <v>79</v>
      </c>
      <c r="S64" s="20" t="s">
        <v>247</v>
      </c>
      <c r="T64" s="20"/>
    </row>
    <row r="65" spans="1:20" ht="19.5" customHeight="1" x14ac:dyDescent="0.25">
      <c r="A65" s="17" t="s">
        <v>35</v>
      </c>
      <c r="B65" s="17" t="s">
        <v>271</v>
      </c>
      <c r="C65" s="17" t="s">
        <v>35</v>
      </c>
      <c r="D65" s="17" t="s">
        <v>272</v>
      </c>
      <c r="E65" s="57"/>
      <c r="F65" s="58" t="s">
        <v>175</v>
      </c>
      <c r="G65" s="12" t="s">
        <v>70</v>
      </c>
      <c r="H65" s="12" t="s">
        <v>71</v>
      </c>
      <c r="I65" s="12" t="s">
        <v>72</v>
      </c>
      <c r="J65" s="12" t="s">
        <v>73</v>
      </c>
      <c r="K65" s="12" t="s">
        <v>245</v>
      </c>
      <c r="L65" s="12" t="s">
        <v>240</v>
      </c>
      <c r="M65" s="12" t="s">
        <v>246</v>
      </c>
      <c r="N65" s="12" t="s">
        <v>77</v>
      </c>
      <c r="O65" s="12" t="s">
        <v>77</v>
      </c>
      <c r="P65" s="12" t="s">
        <v>77</v>
      </c>
      <c r="Q65" s="12" t="s">
        <v>77</v>
      </c>
      <c r="R65" s="12" t="s">
        <v>79</v>
      </c>
      <c r="S65" s="17" t="s">
        <v>247</v>
      </c>
      <c r="T65" s="17"/>
    </row>
    <row r="66" spans="1:20" ht="19.5" customHeight="1" x14ac:dyDescent="0.25">
      <c r="A66" s="20" t="s">
        <v>35</v>
      </c>
      <c r="B66" s="20" t="s">
        <v>273</v>
      </c>
      <c r="C66" s="20" t="s">
        <v>35</v>
      </c>
      <c r="D66" s="20" t="s">
        <v>274</v>
      </c>
      <c r="E66" s="94"/>
      <c r="F66" s="95" t="s">
        <v>275</v>
      </c>
      <c r="G66" s="23" t="s">
        <v>70</v>
      </c>
      <c r="H66" s="23" t="s">
        <v>71</v>
      </c>
      <c r="I66" s="23" t="s">
        <v>72</v>
      </c>
      <c r="J66" s="23" t="s">
        <v>73</v>
      </c>
      <c r="K66" s="23" t="s">
        <v>245</v>
      </c>
      <c r="L66" s="23" t="s">
        <v>240</v>
      </c>
      <c r="M66" s="23" t="s">
        <v>246</v>
      </c>
      <c r="N66" s="23" t="s">
        <v>77</v>
      </c>
      <c r="O66" s="23" t="s">
        <v>77</v>
      </c>
      <c r="P66" s="23" t="s">
        <v>77</v>
      </c>
      <c r="Q66" s="23" t="s">
        <v>77</v>
      </c>
      <c r="R66" s="23" t="s">
        <v>79</v>
      </c>
      <c r="S66" s="20" t="s">
        <v>247</v>
      </c>
      <c r="T66" s="20"/>
    </row>
    <row r="67" spans="1:20" ht="19.5" customHeight="1" x14ac:dyDescent="0.25">
      <c r="A67" s="17" t="s">
        <v>35</v>
      </c>
      <c r="B67" s="17" t="s">
        <v>276</v>
      </c>
      <c r="C67" s="17" t="s">
        <v>35</v>
      </c>
      <c r="D67" s="17" t="s">
        <v>277</v>
      </c>
      <c r="E67" s="96"/>
      <c r="F67" s="41" t="s">
        <v>278</v>
      </c>
      <c r="G67" s="12" t="s">
        <v>70</v>
      </c>
      <c r="H67" s="12" t="s">
        <v>71</v>
      </c>
      <c r="I67" s="12" t="s">
        <v>72</v>
      </c>
      <c r="J67" s="12" t="s">
        <v>73</v>
      </c>
      <c r="K67" s="12" t="s">
        <v>245</v>
      </c>
      <c r="L67" s="12" t="s">
        <v>240</v>
      </c>
      <c r="M67" s="12" t="s">
        <v>246</v>
      </c>
      <c r="N67" s="12" t="s">
        <v>77</v>
      </c>
      <c r="O67" s="12" t="s">
        <v>77</v>
      </c>
      <c r="P67" s="12" t="s">
        <v>77</v>
      </c>
      <c r="Q67" s="12" t="s">
        <v>77</v>
      </c>
      <c r="R67" s="12" t="s">
        <v>79</v>
      </c>
      <c r="S67" s="17" t="s">
        <v>247</v>
      </c>
      <c r="T67" s="17"/>
    </row>
    <row r="68" spans="1:20" ht="19.5" customHeight="1" x14ac:dyDescent="0.25">
      <c r="A68" s="20" t="s">
        <v>35</v>
      </c>
      <c r="B68" s="20" t="s">
        <v>279</v>
      </c>
      <c r="C68" s="20" t="s">
        <v>35</v>
      </c>
      <c r="D68" s="20" t="s">
        <v>166</v>
      </c>
      <c r="E68" s="38"/>
      <c r="F68" s="97" t="s">
        <v>280</v>
      </c>
      <c r="G68" s="23" t="s">
        <v>70</v>
      </c>
      <c r="H68" s="23" t="s">
        <v>71</v>
      </c>
      <c r="I68" s="23" t="s">
        <v>72</v>
      </c>
      <c r="J68" s="23" t="s">
        <v>73</v>
      </c>
      <c r="K68" s="23" t="s">
        <v>245</v>
      </c>
      <c r="L68" s="23" t="s">
        <v>240</v>
      </c>
      <c r="M68" s="23" t="s">
        <v>246</v>
      </c>
      <c r="N68" s="23" t="s">
        <v>77</v>
      </c>
      <c r="O68" s="23" t="s">
        <v>77</v>
      </c>
      <c r="P68" s="23" t="s">
        <v>77</v>
      </c>
      <c r="Q68" s="23" t="s">
        <v>77</v>
      </c>
      <c r="R68" s="23" t="s">
        <v>79</v>
      </c>
      <c r="S68" s="20" t="s">
        <v>247</v>
      </c>
      <c r="T68" s="20"/>
    </row>
    <row r="69" spans="1:20" ht="19.5" customHeight="1" x14ac:dyDescent="0.25">
      <c r="A69" s="17" t="s">
        <v>35</v>
      </c>
      <c r="B69" s="17" t="s">
        <v>281</v>
      </c>
      <c r="C69" s="17" t="s">
        <v>35</v>
      </c>
      <c r="D69" s="17" t="s">
        <v>282</v>
      </c>
      <c r="E69" s="98"/>
      <c r="F69" s="99" t="s">
        <v>283</v>
      </c>
      <c r="G69" s="12" t="s">
        <v>70</v>
      </c>
      <c r="H69" s="12" t="s">
        <v>71</v>
      </c>
      <c r="I69" s="12" t="s">
        <v>72</v>
      </c>
      <c r="J69" s="12" t="s">
        <v>73</v>
      </c>
      <c r="K69" s="12" t="s">
        <v>245</v>
      </c>
      <c r="L69" s="12" t="s">
        <v>240</v>
      </c>
      <c r="M69" s="12" t="s">
        <v>246</v>
      </c>
      <c r="N69" s="12" t="s">
        <v>77</v>
      </c>
      <c r="O69" s="12" t="s">
        <v>77</v>
      </c>
      <c r="P69" s="12" t="s">
        <v>77</v>
      </c>
      <c r="Q69" s="12" t="s">
        <v>77</v>
      </c>
      <c r="R69" s="12" t="s">
        <v>79</v>
      </c>
      <c r="S69" s="17" t="s">
        <v>247</v>
      </c>
      <c r="T69" s="17"/>
    </row>
    <row r="70" spans="1:20" ht="19.5" customHeight="1" x14ac:dyDescent="0.25">
      <c r="A70" s="20" t="s">
        <v>35</v>
      </c>
      <c r="B70" s="20" t="s">
        <v>284</v>
      </c>
      <c r="C70" s="20" t="s">
        <v>35</v>
      </c>
      <c r="D70" s="20" t="s">
        <v>285</v>
      </c>
      <c r="E70" s="100"/>
      <c r="F70" s="101" t="s">
        <v>286</v>
      </c>
      <c r="G70" s="23" t="s">
        <v>70</v>
      </c>
      <c r="H70" s="23" t="s">
        <v>71</v>
      </c>
      <c r="I70" s="23" t="s">
        <v>72</v>
      </c>
      <c r="J70" s="23" t="s">
        <v>73</v>
      </c>
      <c r="K70" s="23" t="s">
        <v>245</v>
      </c>
      <c r="L70" s="23" t="s">
        <v>240</v>
      </c>
      <c r="M70" s="23" t="s">
        <v>246</v>
      </c>
      <c r="N70" s="23" t="s">
        <v>77</v>
      </c>
      <c r="O70" s="23" t="s">
        <v>77</v>
      </c>
      <c r="P70" s="23" t="s">
        <v>77</v>
      </c>
      <c r="Q70" s="23" t="s">
        <v>77</v>
      </c>
      <c r="R70" s="23" t="s">
        <v>79</v>
      </c>
      <c r="S70" s="20" t="s">
        <v>247</v>
      </c>
      <c r="T70" s="20"/>
    </row>
    <row r="71" spans="1:20" ht="19.5" customHeight="1" x14ac:dyDescent="0.25">
      <c r="A71" s="17" t="s">
        <v>35</v>
      </c>
      <c r="B71" s="17" t="s">
        <v>287</v>
      </c>
      <c r="C71" s="17" t="s">
        <v>35</v>
      </c>
      <c r="D71" s="17" t="s">
        <v>288</v>
      </c>
      <c r="E71" s="12"/>
      <c r="F71" s="42" t="s">
        <v>114</v>
      </c>
      <c r="G71" s="12" t="s">
        <v>70</v>
      </c>
      <c r="H71" s="12" t="s">
        <v>71</v>
      </c>
      <c r="I71" s="12" t="s">
        <v>72</v>
      </c>
      <c r="J71" s="12" t="s">
        <v>73</v>
      </c>
      <c r="K71" s="12" t="s">
        <v>245</v>
      </c>
      <c r="L71" s="12" t="s">
        <v>240</v>
      </c>
      <c r="M71" s="12" t="s">
        <v>246</v>
      </c>
      <c r="N71" s="12" t="s">
        <v>77</v>
      </c>
      <c r="O71" s="12" t="s">
        <v>77</v>
      </c>
      <c r="P71" s="12" t="s">
        <v>77</v>
      </c>
      <c r="Q71" s="12" t="s">
        <v>77</v>
      </c>
      <c r="R71" s="12" t="s">
        <v>79</v>
      </c>
      <c r="S71" s="17" t="s">
        <v>247</v>
      </c>
      <c r="T71" s="17"/>
    </row>
    <row r="72" spans="1:20" ht="19.5" customHeight="1" x14ac:dyDescent="0.25">
      <c r="A72" s="20" t="s">
        <v>35</v>
      </c>
      <c r="B72" s="20" t="s">
        <v>289</v>
      </c>
      <c r="C72" s="20" t="s">
        <v>35</v>
      </c>
      <c r="D72" s="20" t="s">
        <v>290</v>
      </c>
      <c r="E72" s="102"/>
      <c r="F72" s="103" t="s">
        <v>291</v>
      </c>
      <c r="G72" s="23" t="s">
        <v>70</v>
      </c>
      <c r="H72" s="23" t="s">
        <v>71</v>
      </c>
      <c r="I72" s="23" t="s">
        <v>72</v>
      </c>
      <c r="J72" s="23" t="s">
        <v>73</v>
      </c>
      <c r="K72" s="23" t="s">
        <v>245</v>
      </c>
      <c r="L72" s="23" t="s">
        <v>240</v>
      </c>
      <c r="M72" s="23" t="s">
        <v>246</v>
      </c>
      <c r="N72" s="23" t="s">
        <v>77</v>
      </c>
      <c r="O72" s="23" t="s">
        <v>77</v>
      </c>
      <c r="P72" s="23" t="s">
        <v>77</v>
      </c>
      <c r="Q72" s="23" t="s">
        <v>77</v>
      </c>
      <c r="R72" s="23" t="s">
        <v>79</v>
      </c>
      <c r="S72" s="20" t="s">
        <v>247</v>
      </c>
      <c r="T72" s="20"/>
    </row>
    <row r="73" spans="1:20" ht="19.5" customHeight="1" x14ac:dyDescent="0.25">
      <c r="A73" s="17" t="s">
        <v>35</v>
      </c>
      <c r="B73" s="17" t="s">
        <v>292</v>
      </c>
      <c r="C73" s="17" t="s">
        <v>35</v>
      </c>
      <c r="D73" s="17" t="s">
        <v>293</v>
      </c>
      <c r="E73" s="104"/>
      <c r="F73" s="63" t="s">
        <v>294</v>
      </c>
      <c r="G73" s="12" t="s">
        <v>70</v>
      </c>
      <c r="H73" s="12" t="s">
        <v>71</v>
      </c>
      <c r="I73" s="12" t="s">
        <v>72</v>
      </c>
      <c r="J73" s="12" t="s">
        <v>73</v>
      </c>
      <c r="K73" s="12" t="s">
        <v>245</v>
      </c>
      <c r="L73" s="12" t="s">
        <v>240</v>
      </c>
      <c r="M73" s="12" t="s">
        <v>246</v>
      </c>
      <c r="N73" s="12" t="s">
        <v>77</v>
      </c>
      <c r="O73" s="12" t="s">
        <v>77</v>
      </c>
      <c r="P73" s="12" t="s">
        <v>77</v>
      </c>
      <c r="Q73" s="12" t="s">
        <v>77</v>
      </c>
      <c r="R73" s="12" t="s">
        <v>79</v>
      </c>
      <c r="S73" s="17" t="s">
        <v>247</v>
      </c>
      <c r="T73" s="17"/>
    </row>
    <row r="74" spans="1:20" ht="19.5" customHeight="1" x14ac:dyDescent="0.25">
      <c r="A74" s="20" t="s">
        <v>35</v>
      </c>
      <c r="B74" s="20" t="s">
        <v>295</v>
      </c>
      <c r="C74" s="20" t="s">
        <v>35</v>
      </c>
      <c r="D74" s="20" t="s">
        <v>296</v>
      </c>
      <c r="E74" s="105"/>
      <c r="F74" s="106" t="s">
        <v>297</v>
      </c>
      <c r="G74" s="23" t="s">
        <v>70</v>
      </c>
      <c r="H74" s="23" t="s">
        <v>71</v>
      </c>
      <c r="I74" s="23" t="s">
        <v>72</v>
      </c>
      <c r="J74" s="23" t="s">
        <v>73</v>
      </c>
      <c r="K74" s="23" t="s">
        <v>245</v>
      </c>
      <c r="L74" s="23" t="s">
        <v>240</v>
      </c>
      <c r="M74" s="23" t="s">
        <v>246</v>
      </c>
      <c r="N74" s="23" t="s">
        <v>77</v>
      </c>
      <c r="O74" s="23" t="s">
        <v>77</v>
      </c>
      <c r="P74" s="23" t="s">
        <v>77</v>
      </c>
      <c r="Q74" s="23" t="s">
        <v>77</v>
      </c>
      <c r="R74" s="23" t="s">
        <v>79</v>
      </c>
      <c r="S74" s="20" t="s">
        <v>247</v>
      </c>
      <c r="T74" s="20"/>
    </row>
    <row r="75" spans="1:20" ht="19.5" customHeight="1" x14ac:dyDescent="0.25">
      <c r="A75" s="17" t="s">
        <v>35</v>
      </c>
      <c r="B75" s="17" t="s">
        <v>298</v>
      </c>
      <c r="C75" s="17" t="s">
        <v>35</v>
      </c>
      <c r="D75" s="17" t="s">
        <v>299</v>
      </c>
      <c r="E75" s="107"/>
      <c r="F75" s="108" t="s">
        <v>300</v>
      </c>
      <c r="G75" s="12" t="s">
        <v>70</v>
      </c>
      <c r="H75" s="12" t="s">
        <v>71</v>
      </c>
      <c r="I75" s="12" t="s">
        <v>72</v>
      </c>
      <c r="J75" s="12" t="s">
        <v>73</v>
      </c>
      <c r="K75" s="12" t="s">
        <v>245</v>
      </c>
      <c r="L75" s="12" t="s">
        <v>240</v>
      </c>
      <c r="M75" s="12" t="s">
        <v>246</v>
      </c>
      <c r="N75" s="12" t="s">
        <v>77</v>
      </c>
      <c r="O75" s="12" t="s">
        <v>77</v>
      </c>
      <c r="P75" s="12" t="s">
        <v>77</v>
      </c>
      <c r="Q75" s="12" t="s">
        <v>77</v>
      </c>
      <c r="R75" s="12" t="s">
        <v>79</v>
      </c>
      <c r="S75" s="17" t="s">
        <v>247</v>
      </c>
      <c r="T75" s="17"/>
    </row>
    <row r="76" spans="1:20" ht="19.5" customHeight="1" x14ac:dyDescent="0.25">
      <c r="A76" s="20" t="s">
        <v>35</v>
      </c>
      <c r="B76" s="20" t="s">
        <v>301</v>
      </c>
      <c r="C76" s="20" t="s">
        <v>35</v>
      </c>
      <c r="D76" s="20" t="s">
        <v>98</v>
      </c>
      <c r="E76" s="32"/>
      <c r="F76" s="33" t="s">
        <v>99</v>
      </c>
      <c r="G76" s="23" t="s">
        <v>70</v>
      </c>
      <c r="H76" s="23" t="s">
        <v>71</v>
      </c>
      <c r="I76" s="23" t="s">
        <v>72</v>
      </c>
      <c r="J76" s="23" t="s">
        <v>73</v>
      </c>
      <c r="K76" s="23" t="s">
        <v>245</v>
      </c>
      <c r="L76" s="23" t="s">
        <v>240</v>
      </c>
      <c r="M76" s="23" t="s">
        <v>246</v>
      </c>
      <c r="N76" s="23" t="s">
        <v>77</v>
      </c>
      <c r="O76" s="23" t="s">
        <v>77</v>
      </c>
      <c r="P76" s="23" t="s">
        <v>77</v>
      </c>
      <c r="Q76" s="23" t="s">
        <v>77</v>
      </c>
      <c r="R76" s="23" t="s">
        <v>79</v>
      </c>
      <c r="S76" s="20" t="s">
        <v>247</v>
      </c>
      <c r="T76" s="20"/>
    </row>
    <row r="77" spans="1:20" ht="19.5" customHeight="1" x14ac:dyDescent="0.25">
      <c r="A77" s="17" t="s">
        <v>35</v>
      </c>
      <c r="B77" s="17" t="s">
        <v>302</v>
      </c>
      <c r="C77" s="17" t="s">
        <v>35</v>
      </c>
      <c r="D77" s="17" t="s">
        <v>209</v>
      </c>
      <c r="E77" s="98"/>
      <c r="F77" s="59" t="s">
        <v>303</v>
      </c>
      <c r="G77" s="12" t="s">
        <v>70</v>
      </c>
      <c r="H77" s="12" t="s">
        <v>71</v>
      </c>
      <c r="I77" s="12" t="s">
        <v>72</v>
      </c>
      <c r="J77" s="12" t="s">
        <v>73</v>
      </c>
      <c r="K77" s="12" t="s">
        <v>245</v>
      </c>
      <c r="L77" s="12" t="s">
        <v>240</v>
      </c>
      <c r="M77" s="12" t="s">
        <v>246</v>
      </c>
      <c r="N77" s="12" t="s">
        <v>77</v>
      </c>
      <c r="O77" s="12" t="s">
        <v>77</v>
      </c>
      <c r="P77" s="12" t="s">
        <v>77</v>
      </c>
      <c r="Q77" s="12" t="s">
        <v>77</v>
      </c>
      <c r="R77" s="12" t="s">
        <v>79</v>
      </c>
      <c r="S77" s="17" t="s">
        <v>247</v>
      </c>
      <c r="T77" s="17"/>
    </row>
    <row r="78" spans="1:20" ht="19.5" customHeight="1" x14ac:dyDescent="0.25">
      <c r="A78" s="20" t="s">
        <v>35</v>
      </c>
      <c r="B78" s="20" t="s">
        <v>304</v>
      </c>
      <c r="C78" s="20" t="s">
        <v>35</v>
      </c>
      <c r="D78" s="20" t="s">
        <v>305</v>
      </c>
      <c r="E78" s="109"/>
      <c r="F78" s="110" t="s">
        <v>306</v>
      </c>
      <c r="G78" s="23" t="s">
        <v>70</v>
      </c>
      <c r="H78" s="23" t="s">
        <v>71</v>
      </c>
      <c r="I78" s="23" t="s">
        <v>72</v>
      </c>
      <c r="J78" s="23" t="s">
        <v>73</v>
      </c>
      <c r="K78" s="23" t="s">
        <v>245</v>
      </c>
      <c r="L78" s="23" t="s">
        <v>240</v>
      </c>
      <c r="M78" s="23" t="s">
        <v>246</v>
      </c>
      <c r="N78" s="23" t="s">
        <v>77</v>
      </c>
      <c r="O78" s="23" t="s">
        <v>77</v>
      </c>
      <c r="P78" s="23" t="s">
        <v>77</v>
      </c>
      <c r="Q78" s="23" t="s">
        <v>77</v>
      </c>
      <c r="R78" s="23" t="s">
        <v>79</v>
      </c>
      <c r="S78" s="20" t="s">
        <v>247</v>
      </c>
      <c r="T78" s="20"/>
    </row>
    <row r="79" spans="1:20" ht="19.5" customHeight="1" x14ac:dyDescent="0.25">
      <c r="A79" s="17" t="s">
        <v>35</v>
      </c>
      <c r="B79" s="17" t="s">
        <v>307</v>
      </c>
      <c r="C79" s="17" t="s">
        <v>35</v>
      </c>
      <c r="D79" s="17" t="s">
        <v>101</v>
      </c>
      <c r="E79" s="111"/>
      <c r="F79" s="112" t="s">
        <v>308</v>
      </c>
      <c r="G79" s="12" t="s">
        <v>70</v>
      </c>
      <c r="H79" s="12" t="s">
        <v>71</v>
      </c>
      <c r="I79" s="12" t="s">
        <v>72</v>
      </c>
      <c r="J79" s="12" t="s">
        <v>73</v>
      </c>
      <c r="K79" s="12" t="s">
        <v>245</v>
      </c>
      <c r="L79" s="12" t="s">
        <v>240</v>
      </c>
      <c r="M79" s="12" t="s">
        <v>246</v>
      </c>
      <c r="N79" s="12" t="s">
        <v>77</v>
      </c>
      <c r="O79" s="12" t="s">
        <v>77</v>
      </c>
      <c r="P79" s="12" t="s">
        <v>77</v>
      </c>
      <c r="Q79" s="12" t="s">
        <v>77</v>
      </c>
      <c r="R79" s="12" t="s">
        <v>79</v>
      </c>
      <c r="S79" s="17" t="s">
        <v>247</v>
      </c>
      <c r="T79" s="17"/>
    </row>
    <row r="80" spans="1:20" ht="19.5" customHeight="1" x14ac:dyDescent="0.25">
      <c r="A80" s="20" t="s">
        <v>35</v>
      </c>
      <c r="B80" s="20" t="s">
        <v>309</v>
      </c>
      <c r="C80" s="20" t="s">
        <v>35</v>
      </c>
      <c r="D80" s="20" t="s">
        <v>104</v>
      </c>
      <c r="E80" s="36"/>
      <c r="F80" s="113" t="s">
        <v>310</v>
      </c>
      <c r="G80" s="23" t="s">
        <v>70</v>
      </c>
      <c r="H80" s="23" t="s">
        <v>71</v>
      </c>
      <c r="I80" s="23" t="s">
        <v>72</v>
      </c>
      <c r="J80" s="23" t="s">
        <v>73</v>
      </c>
      <c r="K80" s="23" t="s">
        <v>245</v>
      </c>
      <c r="L80" s="23" t="s">
        <v>240</v>
      </c>
      <c r="M80" s="23" t="s">
        <v>246</v>
      </c>
      <c r="N80" s="23" t="s">
        <v>77</v>
      </c>
      <c r="O80" s="23" t="s">
        <v>77</v>
      </c>
      <c r="P80" s="23" t="s">
        <v>77</v>
      </c>
      <c r="Q80" s="23" t="s">
        <v>77</v>
      </c>
      <c r="R80" s="23" t="s">
        <v>79</v>
      </c>
      <c r="S80" s="20" t="s">
        <v>247</v>
      </c>
      <c r="T80" s="20"/>
    </row>
    <row r="81" spans="1:20" ht="19.5" customHeight="1" x14ac:dyDescent="0.25">
      <c r="A81" s="17" t="s">
        <v>35</v>
      </c>
      <c r="B81" s="17" t="s">
        <v>311</v>
      </c>
      <c r="C81" s="17" t="s">
        <v>35</v>
      </c>
      <c r="D81" s="17" t="s">
        <v>107</v>
      </c>
      <c r="E81" s="114"/>
      <c r="F81" s="115" t="s">
        <v>312</v>
      </c>
      <c r="G81" s="12" t="s">
        <v>70</v>
      </c>
      <c r="H81" s="12" t="s">
        <v>71</v>
      </c>
      <c r="I81" s="12" t="s">
        <v>72</v>
      </c>
      <c r="J81" s="12" t="s">
        <v>73</v>
      </c>
      <c r="K81" s="12" t="s">
        <v>245</v>
      </c>
      <c r="L81" s="12" t="s">
        <v>240</v>
      </c>
      <c r="M81" s="12" t="s">
        <v>246</v>
      </c>
      <c r="N81" s="12" t="s">
        <v>77</v>
      </c>
      <c r="O81" s="12" t="s">
        <v>77</v>
      </c>
      <c r="P81" s="12" t="s">
        <v>77</v>
      </c>
      <c r="Q81" s="12" t="s">
        <v>77</v>
      </c>
      <c r="R81" s="12" t="s">
        <v>79</v>
      </c>
      <c r="S81" s="17" t="s">
        <v>247</v>
      </c>
      <c r="T81" s="17"/>
    </row>
    <row r="82" spans="1:20" ht="19.5" customHeight="1" x14ac:dyDescent="0.25">
      <c r="A82" s="20" t="s">
        <v>35</v>
      </c>
      <c r="B82" s="20" t="s">
        <v>313</v>
      </c>
      <c r="C82" s="20" t="s">
        <v>35</v>
      </c>
      <c r="D82" s="20" t="s">
        <v>314</v>
      </c>
      <c r="E82" s="116"/>
      <c r="F82" s="41" t="s">
        <v>315</v>
      </c>
      <c r="G82" s="23" t="s">
        <v>70</v>
      </c>
      <c r="H82" s="23" t="s">
        <v>71</v>
      </c>
      <c r="I82" s="23" t="s">
        <v>72</v>
      </c>
      <c r="J82" s="23" t="s">
        <v>73</v>
      </c>
      <c r="K82" s="23" t="s">
        <v>245</v>
      </c>
      <c r="L82" s="23" t="s">
        <v>240</v>
      </c>
      <c r="M82" s="23" t="s">
        <v>246</v>
      </c>
      <c r="N82" s="23" t="s">
        <v>77</v>
      </c>
      <c r="O82" s="23" t="s">
        <v>77</v>
      </c>
      <c r="P82" s="23" t="s">
        <v>77</v>
      </c>
      <c r="Q82" s="23" t="s">
        <v>77</v>
      </c>
      <c r="R82" s="23" t="s">
        <v>79</v>
      </c>
      <c r="S82" s="20" t="s">
        <v>247</v>
      </c>
      <c r="T82" s="20"/>
    </row>
    <row r="83" spans="1:20" ht="19.5" customHeight="1" x14ac:dyDescent="0.25">
      <c r="A83" s="17" t="s">
        <v>35</v>
      </c>
      <c r="B83" s="17" t="s">
        <v>316</v>
      </c>
      <c r="C83" s="17" t="s">
        <v>35</v>
      </c>
      <c r="D83" s="17" t="s">
        <v>317</v>
      </c>
      <c r="E83" s="117"/>
      <c r="F83" s="118" t="s">
        <v>318</v>
      </c>
      <c r="G83" s="12" t="s">
        <v>70</v>
      </c>
      <c r="H83" s="12" t="s">
        <v>71</v>
      </c>
      <c r="I83" s="12" t="s">
        <v>72</v>
      </c>
      <c r="J83" s="12" t="s">
        <v>73</v>
      </c>
      <c r="K83" s="12" t="s">
        <v>245</v>
      </c>
      <c r="L83" s="12" t="s">
        <v>240</v>
      </c>
      <c r="M83" s="12" t="s">
        <v>246</v>
      </c>
      <c r="N83" s="12" t="s">
        <v>77</v>
      </c>
      <c r="O83" s="12" t="s">
        <v>77</v>
      </c>
      <c r="P83" s="12" t="s">
        <v>77</v>
      </c>
      <c r="Q83" s="12" t="s">
        <v>77</v>
      </c>
      <c r="R83" s="12" t="s">
        <v>79</v>
      </c>
      <c r="S83" s="17" t="s">
        <v>247</v>
      </c>
      <c r="T83" s="17"/>
    </row>
    <row r="84" spans="1:20" ht="19.5" customHeight="1" x14ac:dyDescent="0.25">
      <c r="A84" s="20" t="s">
        <v>35</v>
      </c>
      <c r="B84" s="20" t="s">
        <v>319</v>
      </c>
      <c r="C84" s="20" t="s">
        <v>35</v>
      </c>
      <c r="D84" s="20" t="s">
        <v>188</v>
      </c>
      <c r="E84" s="119"/>
      <c r="F84" s="120" t="s">
        <v>320</v>
      </c>
      <c r="G84" s="23" t="s">
        <v>70</v>
      </c>
      <c r="H84" s="23" t="s">
        <v>71</v>
      </c>
      <c r="I84" s="23" t="s">
        <v>72</v>
      </c>
      <c r="J84" s="23" t="s">
        <v>73</v>
      </c>
      <c r="K84" s="23" t="s">
        <v>245</v>
      </c>
      <c r="L84" s="23" t="s">
        <v>240</v>
      </c>
      <c r="M84" s="23" t="s">
        <v>246</v>
      </c>
      <c r="N84" s="23" t="s">
        <v>77</v>
      </c>
      <c r="O84" s="23" t="s">
        <v>77</v>
      </c>
      <c r="P84" s="23" t="s">
        <v>77</v>
      </c>
      <c r="Q84" s="23" t="s">
        <v>77</v>
      </c>
      <c r="R84" s="23" t="s">
        <v>79</v>
      </c>
      <c r="S84" s="20" t="s">
        <v>247</v>
      </c>
      <c r="T84" s="20"/>
    </row>
    <row r="85" spans="1:20" ht="19.5" customHeight="1" x14ac:dyDescent="0.25">
      <c r="A85" s="17" t="s">
        <v>36</v>
      </c>
      <c r="B85" s="17" t="s">
        <v>321</v>
      </c>
      <c r="C85" s="17" t="s">
        <v>36</v>
      </c>
      <c r="D85" s="17" t="s">
        <v>322</v>
      </c>
      <c r="E85" s="121"/>
      <c r="F85" s="122" t="s">
        <v>323</v>
      </c>
      <c r="G85" s="12" t="s">
        <v>70</v>
      </c>
      <c r="H85" s="12" t="s">
        <v>71</v>
      </c>
      <c r="I85" s="12" t="s">
        <v>72</v>
      </c>
      <c r="J85" s="12" t="s">
        <v>73</v>
      </c>
      <c r="K85" s="12" t="s">
        <v>245</v>
      </c>
      <c r="L85" s="12" t="s">
        <v>240</v>
      </c>
      <c r="M85" s="12" t="s">
        <v>246</v>
      </c>
      <c r="N85" s="12" t="s">
        <v>77</v>
      </c>
      <c r="O85" s="12" t="s">
        <v>77</v>
      </c>
      <c r="P85" s="12" t="s">
        <v>77</v>
      </c>
      <c r="Q85" s="12" t="s">
        <v>77</v>
      </c>
      <c r="R85" s="12" t="s">
        <v>79</v>
      </c>
      <c r="S85" s="17" t="s">
        <v>324</v>
      </c>
      <c r="T85" s="17" t="s">
        <v>325</v>
      </c>
    </row>
    <row r="86" spans="1:20" ht="19.5" customHeight="1" x14ac:dyDescent="0.25">
      <c r="A86" s="20" t="s">
        <v>36</v>
      </c>
      <c r="B86" s="20" t="s">
        <v>326</v>
      </c>
      <c r="C86" s="20" t="s">
        <v>36</v>
      </c>
      <c r="D86" s="20" t="s">
        <v>327</v>
      </c>
      <c r="E86" s="123"/>
      <c r="F86" s="124" t="s">
        <v>328</v>
      </c>
      <c r="G86" s="23" t="s">
        <v>70</v>
      </c>
      <c r="H86" s="23" t="s">
        <v>71</v>
      </c>
      <c r="I86" s="23" t="s">
        <v>72</v>
      </c>
      <c r="J86" s="23" t="s">
        <v>73</v>
      </c>
      <c r="K86" s="23" t="s">
        <v>245</v>
      </c>
      <c r="L86" s="23" t="s">
        <v>240</v>
      </c>
      <c r="M86" s="23" t="s">
        <v>246</v>
      </c>
      <c r="N86" s="23" t="s">
        <v>77</v>
      </c>
      <c r="O86" s="23" t="s">
        <v>77</v>
      </c>
      <c r="P86" s="23" t="s">
        <v>77</v>
      </c>
      <c r="Q86" s="23" t="s">
        <v>77</v>
      </c>
      <c r="R86" s="23" t="s">
        <v>79</v>
      </c>
      <c r="S86" s="20" t="s">
        <v>324</v>
      </c>
      <c r="T86" s="20" t="s">
        <v>325</v>
      </c>
    </row>
    <row r="87" spans="1:20" ht="19.5" customHeight="1" x14ac:dyDescent="0.25">
      <c r="A87" s="17" t="s">
        <v>37</v>
      </c>
      <c r="B87" s="17" t="s">
        <v>329</v>
      </c>
      <c r="C87" s="17" t="s">
        <v>37</v>
      </c>
      <c r="D87" s="17" t="s">
        <v>86</v>
      </c>
      <c r="E87" s="47"/>
      <c r="F87" s="25" t="s">
        <v>140</v>
      </c>
      <c r="G87" s="12" t="s">
        <v>70</v>
      </c>
      <c r="H87" s="12" t="s">
        <v>71</v>
      </c>
      <c r="I87" s="12" t="s">
        <v>72</v>
      </c>
      <c r="J87" s="12" t="s">
        <v>73</v>
      </c>
      <c r="K87" s="12" t="s">
        <v>330</v>
      </c>
      <c r="L87" s="12" t="s">
        <v>240</v>
      </c>
      <c r="M87" s="12" t="s">
        <v>241</v>
      </c>
      <c r="N87" s="12" t="s">
        <v>77</v>
      </c>
      <c r="O87" s="12" t="s">
        <v>77</v>
      </c>
      <c r="P87" s="12" t="s">
        <v>77</v>
      </c>
      <c r="Q87" s="12" t="s">
        <v>77</v>
      </c>
      <c r="R87" s="12" t="s">
        <v>195</v>
      </c>
      <c r="S87" s="17" t="s">
        <v>331</v>
      </c>
      <c r="T87" s="17" t="s">
        <v>220</v>
      </c>
    </row>
    <row r="88" spans="1:20" ht="19.5" customHeight="1" x14ac:dyDescent="0.25">
      <c r="A88" s="20" t="s">
        <v>38</v>
      </c>
      <c r="B88" s="20" t="s">
        <v>332</v>
      </c>
      <c r="C88" s="20" t="s">
        <v>38</v>
      </c>
      <c r="D88" s="20" t="s">
        <v>86</v>
      </c>
      <c r="E88" s="125"/>
      <c r="F88" s="25" t="s">
        <v>333</v>
      </c>
      <c r="G88" s="23" t="s">
        <v>70</v>
      </c>
      <c r="H88" s="23" t="s">
        <v>71</v>
      </c>
      <c r="I88" s="23" t="s">
        <v>72</v>
      </c>
      <c r="J88" s="23" t="s">
        <v>73</v>
      </c>
      <c r="K88" s="23" t="s">
        <v>245</v>
      </c>
      <c r="L88" s="23" t="s">
        <v>240</v>
      </c>
      <c r="M88" s="23" t="s">
        <v>246</v>
      </c>
      <c r="N88" s="23" t="s">
        <v>77</v>
      </c>
      <c r="O88" s="23" t="s">
        <v>77</v>
      </c>
      <c r="P88" s="23" t="s">
        <v>77</v>
      </c>
      <c r="Q88" s="23" t="s">
        <v>77</v>
      </c>
      <c r="R88" s="23" t="s">
        <v>79</v>
      </c>
      <c r="S88" s="20" t="s">
        <v>334</v>
      </c>
      <c r="T88" s="20" t="s">
        <v>335</v>
      </c>
    </row>
    <row r="89" spans="1:20" ht="19.5" customHeight="1" x14ac:dyDescent="0.25">
      <c r="A89" s="17" t="s">
        <v>38</v>
      </c>
      <c r="B89" s="17" t="s">
        <v>336</v>
      </c>
      <c r="C89" s="17" t="s">
        <v>38</v>
      </c>
      <c r="D89" s="17" t="s">
        <v>113</v>
      </c>
      <c r="E89" s="126"/>
      <c r="F89" s="127" t="s">
        <v>337</v>
      </c>
      <c r="G89" s="12" t="s">
        <v>70</v>
      </c>
      <c r="H89" s="12" t="s">
        <v>71</v>
      </c>
      <c r="I89" s="12" t="s">
        <v>72</v>
      </c>
      <c r="J89" s="12" t="s">
        <v>73</v>
      </c>
      <c r="K89" s="12" t="s">
        <v>245</v>
      </c>
      <c r="L89" s="12" t="s">
        <v>240</v>
      </c>
      <c r="M89" s="12" t="s">
        <v>246</v>
      </c>
      <c r="N89" s="12" t="s">
        <v>77</v>
      </c>
      <c r="O89" s="12" t="s">
        <v>77</v>
      </c>
      <c r="P89" s="12" t="s">
        <v>77</v>
      </c>
      <c r="Q89" s="12" t="s">
        <v>77</v>
      </c>
      <c r="R89" s="12" t="s">
        <v>79</v>
      </c>
      <c r="S89" s="17" t="s">
        <v>334</v>
      </c>
      <c r="T89" s="17" t="s">
        <v>338</v>
      </c>
    </row>
    <row r="90" spans="1:20" ht="19.5" customHeight="1" x14ac:dyDescent="0.25">
      <c r="A90" s="20" t="s">
        <v>39</v>
      </c>
      <c r="B90" s="20" t="s">
        <v>339</v>
      </c>
      <c r="C90" s="20" t="s">
        <v>39</v>
      </c>
      <c r="D90" s="20" t="s">
        <v>340</v>
      </c>
      <c r="E90" s="128"/>
      <c r="F90" s="129" t="s">
        <v>341</v>
      </c>
      <c r="G90" s="23" t="s">
        <v>70</v>
      </c>
      <c r="H90" s="23" t="s">
        <v>71</v>
      </c>
      <c r="I90" s="23" t="s">
        <v>72</v>
      </c>
      <c r="J90" s="23" t="s">
        <v>73</v>
      </c>
      <c r="K90" s="23" t="s">
        <v>245</v>
      </c>
      <c r="L90" s="23" t="s">
        <v>240</v>
      </c>
      <c r="M90" s="23" t="s">
        <v>246</v>
      </c>
      <c r="N90" s="23" t="s">
        <v>77</v>
      </c>
      <c r="O90" s="23" t="s">
        <v>77</v>
      </c>
      <c r="P90" s="23" t="s">
        <v>77</v>
      </c>
      <c r="Q90" s="23" t="s">
        <v>77</v>
      </c>
      <c r="R90" s="23" t="s">
        <v>79</v>
      </c>
      <c r="S90" s="20" t="s">
        <v>342</v>
      </c>
      <c r="T90" s="20"/>
    </row>
    <row r="91" spans="1:20" ht="19.5" customHeight="1" x14ac:dyDescent="0.25">
      <c r="A91" s="17" t="s">
        <v>39</v>
      </c>
      <c r="B91" s="17" t="s">
        <v>343</v>
      </c>
      <c r="C91" s="17" t="s">
        <v>39</v>
      </c>
      <c r="D91" s="17" t="s">
        <v>344</v>
      </c>
      <c r="E91" s="43"/>
      <c r="F91" s="44" t="s">
        <v>117</v>
      </c>
      <c r="G91" s="12" t="s">
        <v>70</v>
      </c>
      <c r="H91" s="12" t="s">
        <v>71</v>
      </c>
      <c r="I91" s="12" t="s">
        <v>72</v>
      </c>
      <c r="J91" s="12" t="s">
        <v>73</v>
      </c>
      <c r="K91" s="12" t="s">
        <v>245</v>
      </c>
      <c r="L91" s="12" t="s">
        <v>240</v>
      </c>
      <c r="M91" s="12" t="s">
        <v>246</v>
      </c>
      <c r="N91" s="12" t="s">
        <v>77</v>
      </c>
      <c r="O91" s="12" t="s">
        <v>77</v>
      </c>
      <c r="P91" s="12" t="s">
        <v>77</v>
      </c>
      <c r="Q91" s="12" t="s">
        <v>77</v>
      </c>
      <c r="R91" s="12" t="s">
        <v>79</v>
      </c>
      <c r="S91" s="17" t="s">
        <v>342</v>
      </c>
      <c r="T91" s="17"/>
    </row>
    <row r="92" spans="1:20" ht="19.5" customHeight="1" x14ac:dyDescent="0.25">
      <c r="A92" s="20" t="s">
        <v>39</v>
      </c>
      <c r="B92" s="20" t="s">
        <v>345</v>
      </c>
      <c r="C92" s="20" t="s">
        <v>39</v>
      </c>
      <c r="D92" s="20" t="s">
        <v>346</v>
      </c>
      <c r="E92" s="130"/>
      <c r="F92" s="131" t="s">
        <v>347</v>
      </c>
      <c r="G92" s="23" t="s">
        <v>70</v>
      </c>
      <c r="H92" s="23" t="s">
        <v>71</v>
      </c>
      <c r="I92" s="23" t="s">
        <v>72</v>
      </c>
      <c r="J92" s="23" t="s">
        <v>73</v>
      </c>
      <c r="K92" s="23" t="s">
        <v>245</v>
      </c>
      <c r="L92" s="23" t="s">
        <v>240</v>
      </c>
      <c r="M92" s="23" t="s">
        <v>246</v>
      </c>
      <c r="N92" s="23" t="s">
        <v>77</v>
      </c>
      <c r="O92" s="23" t="s">
        <v>77</v>
      </c>
      <c r="P92" s="23" t="s">
        <v>77</v>
      </c>
      <c r="Q92" s="23" t="s">
        <v>77</v>
      </c>
      <c r="R92" s="23" t="s">
        <v>79</v>
      </c>
      <c r="S92" s="20" t="s">
        <v>342</v>
      </c>
      <c r="T92" s="20"/>
    </row>
    <row r="93" spans="1:20" ht="19.5" customHeight="1" x14ac:dyDescent="0.25">
      <c r="A93" s="17" t="s">
        <v>39</v>
      </c>
      <c r="B93" s="17" t="s">
        <v>348</v>
      </c>
      <c r="C93" s="17" t="s">
        <v>39</v>
      </c>
      <c r="D93" s="17" t="s">
        <v>349</v>
      </c>
      <c r="E93" s="132"/>
      <c r="F93" s="133" t="s">
        <v>350</v>
      </c>
      <c r="G93" s="12" t="s">
        <v>70</v>
      </c>
      <c r="H93" s="12" t="s">
        <v>71</v>
      </c>
      <c r="I93" s="12" t="s">
        <v>72</v>
      </c>
      <c r="J93" s="12" t="s">
        <v>73</v>
      </c>
      <c r="K93" s="12" t="s">
        <v>245</v>
      </c>
      <c r="L93" s="12" t="s">
        <v>240</v>
      </c>
      <c r="M93" s="12" t="s">
        <v>246</v>
      </c>
      <c r="N93" s="12" t="s">
        <v>77</v>
      </c>
      <c r="O93" s="12" t="s">
        <v>77</v>
      </c>
      <c r="P93" s="12" t="s">
        <v>77</v>
      </c>
      <c r="Q93" s="12" t="s">
        <v>77</v>
      </c>
      <c r="R93" s="12" t="s">
        <v>79</v>
      </c>
      <c r="S93" s="17" t="s">
        <v>342</v>
      </c>
      <c r="T93" s="17"/>
    </row>
    <row r="94" spans="1:20" ht="19.5" customHeight="1" x14ac:dyDescent="0.25">
      <c r="A94" s="20" t="s">
        <v>39</v>
      </c>
      <c r="B94" s="20" t="s">
        <v>351</v>
      </c>
      <c r="C94" s="20" t="s">
        <v>39</v>
      </c>
      <c r="D94" s="20" t="s">
        <v>352</v>
      </c>
      <c r="E94" s="24"/>
      <c r="F94" s="25" t="s">
        <v>87</v>
      </c>
      <c r="G94" s="23" t="s">
        <v>70</v>
      </c>
      <c r="H94" s="23" t="s">
        <v>71</v>
      </c>
      <c r="I94" s="23" t="s">
        <v>72</v>
      </c>
      <c r="J94" s="23" t="s">
        <v>73</v>
      </c>
      <c r="K94" s="23" t="s">
        <v>245</v>
      </c>
      <c r="L94" s="23" t="s">
        <v>240</v>
      </c>
      <c r="M94" s="23" t="s">
        <v>246</v>
      </c>
      <c r="N94" s="23" t="s">
        <v>77</v>
      </c>
      <c r="O94" s="23" t="s">
        <v>77</v>
      </c>
      <c r="P94" s="23" t="s">
        <v>77</v>
      </c>
      <c r="Q94" s="23" t="s">
        <v>77</v>
      </c>
      <c r="R94" s="23" t="s">
        <v>79</v>
      </c>
      <c r="S94" s="20" t="s">
        <v>342</v>
      </c>
      <c r="T94" s="20"/>
    </row>
    <row r="95" spans="1:20" ht="19.5" customHeight="1" x14ac:dyDescent="0.25">
      <c r="A95" s="17" t="s">
        <v>39</v>
      </c>
      <c r="B95" s="17" t="s">
        <v>353</v>
      </c>
      <c r="C95" s="17" t="s">
        <v>39</v>
      </c>
      <c r="D95" s="17" t="s">
        <v>354</v>
      </c>
      <c r="E95" s="64"/>
      <c r="F95" s="61" t="s">
        <v>355</v>
      </c>
      <c r="G95" s="12" t="s">
        <v>70</v>
      </c>
      <c r="H95" s="12" t="s">
        <v>71</v>
      </c>
      <c r="I95" s="12" t="s">
        <v>72</v>
      </c>
      <c r="J95" s="12" t="s">
        <v>73</v>
      </c>
      <c r="K95" s="12" t="s">
        <v>245</v>
      </c>
      <c r="L95" s="12" t="s">
        <v>240</v>
      </c>
      <c r="M95" s="12" t="s">
        <v>246</v>
      </c>
      <c r="N95" s="12" t="s">
        <v>77</v>
      </c>
      <c r="O95" s="12" t="s">
        <v>77</v>
      </c>
      <c r="P95" s="12" t="s">
        <v>77</v>
      </c>
      <c r="Q95" s="12" t="s">
        <v>77</v>
      </c>
      <c r="R95" s="12" t="s">
        <v>79</v>
      </c>
      <c r="S95" s="17" t="s">
        <v>342</v>
      </c>
      <c r="T95" s="17"/>
    </row>
    <row r="96" spans="1:20" ht="19.5" customHeight="1" x14ac:dyDescent="0.25">
      <c r="A96" s="20" t="s">
        <v>39</v>
      </c>
      <c r="B96" s="20" t="s">
        <v>356</v>
      </c>
      <c r="C96" s="20" t="s">
        <v>39</v>
      </c>
      <c r="D96" s="20" t="s">
        <v>163</v>
      </c>
      <c r="E96" s="55"/>
      <c r="F96" s="134" t="s">
        <v>357</v>
      </c>
      <c r="G96" s="23" t="s">
        <v>70</v>
      </c>
      <c r="H96" s="23" t="s">
        <v>71</v>
      </c>
      <c r="I96" s="23" t="s">
        <v>72</v>
      </c>
      <c r="J96" s="23" t="s">
        <v>73</v>
      </c>
      <c r="K96" s="23" t="s">
        <v>245</v>
      </c>
      <c r="L96" s="23" t="s">
        <v>240</v>
      </c>
      <c r="M96" s="23" t="s">
        <v>246</v>
      </c>
      <c r="N96" s="23" t="s">
        <v>77</v>
      </c>
      <c r="O96" s="23" t="s">
        <v>77</v>
      </c>
      <c r="P96" s="23" t="s">
        <v>77</v>
      </c>
      <c r="Q96" s="23" t="s">
        <v>77</v>
      </c>
      <c r="R96" s="23" t="s">
        <v>79</v>
      </c>
      <c r="S96" s="20" t="s">
        <v>342</v>
      </c>
      <c r="T96" s="20"/>
    </row>
    <row r="97" spans="1:20" ht="19.5" customHeight="1" x14ac:dyDescent="0.25">
      <c r="A97" s="17" t="s">
        <v>39</v>
      </c>
      <c r="B97" s="17" t="s">
        <v>358</v>
      </c>
      <c r="C97" s="17" t="s">
        <v>39</v>
      </c>
      <c r="D97" s="17" t="s">
        <v>359</v>
      </c>
      <c r="E97" s="52"/>
      <c r="F97" s="135" t="s">
        <v>360</v>
      </c>
      <c r="G97" s="12" t="s">
        <v>70</v>
      </c>
      <c r="H97" s="12" t="s">
        <v>71</v>
      </c>
      <c r="I97" s="12" t="s">
        <v>72</v>
      </c>
      <c r="J97" s="12" t="s">
        <v>73</v>
      </c>
      <c r="K97" s="12" t="s">
        <v>245</v>
      </c>
      <c r="L97" s="12" t="s">
        <v>240</v>
      </c>
      <c r="M97" s="12" t="s">
        <v>246</v>
      </c>
      <c r="N97" s="12" t="s">
        <v>77</v>
      </c>
      <c r="O97" s="12" t="s">
        <v>77</v>
      </c>
      <c r="P97" s="12" t="s">
        <v>77</v>
      </c>
      <c r="Q97" s="12" t="s">
        <v>77</v>
      </c>
      <c r="R97" s="12" t="s">
        <v>79</v>
      </c>
      <c r="S97" s="17" t="s">
        <v>342</v>
      </c>
      <c r="T97" s="17"/>
    </row>
    <row r="98" spans="1:20" ht="19.5" customHeight="1" x14ac:dyDescent="0.25">
      <c r="A98" s="20" t="s">
        <v>39</v>
      </c>
      <c r="B98" s="20" t="s">
        <v>361</v>
      </c>
      <c r="C98" s="20" t="s">
        <v>39</v>
      </c>
      <c r="D98" s="20" t="s">
        <v>362</v>
      </c>
      <c r="E98" s="136"/>
      <c r="F98" s="134" t="s">
        <v>363</v>
      </c>
      <c r="G98" s="23" t="s">
        <v>70</v>
      </c>
      <c r="H98" s="23" t="s">
        <v>71</v>
      </c>
      <c r="I98" s="23" t="s">
        <v>72</v>
      </c>
      <c r="J98" s="23" t="s">
        <v>73</v>
      </c>
      <c r="K98" s="23" t="s">
        <v>245</v>
      </c>
      <c r="L98" s="23" t="s">
        <v>240</v>
      </c>
      <c r="M98" s="23" t="s">
        <v>246</v>
      </c>
      <c r="N98" s="23" t="s">
        <v>77</v>
      </c>
      <c r="O98" s="23" t="s">
        <v>77</v>
      </c>
      <c r="P98" s="23" t="s">
        <v>77</v>
      </c>
      <c r="Q98" s="23" t="s">
        <v>77</v>
      </c>
      <c r="R98" s="23" t="s">
        <v>79</v>
      </c>
      <c r="S98" s="20" t="s">
        <v>342</v>
      </c>
      <c r="T98" s="20"/>
    </row>
    <row r="99" spans="1:20" ht="19.5" customHeight="1" x14ac:dyDescent="0.25">
      <c r="A99" s="17" t="s">
        <v>39</v>
      </c>
      <c r="B99" s="17" t="s">
        <v>364</v>
      </c>
      <c r="C99" s="17" t="s">
        <v>39</v>
      </c>
      <c r="D99" s="17" t="s">
        <v>365</v>
      </c>
      <c r="E99" s="137"/>
      <c r="F99" s="138" t="s">
        <v>366</v>
      </c>
      <c r="G99" s="12" t="s">
        <v>70</v>
      </c>
      <c r="H99" s="12" t="s">
        <v>71</v>
      </c>
      <c r="I99" s="12" t="s">
        <v>72</v>
      </c>
      <c r="J99" s="12" t="s">
        <v>73</v>
      </c>
      <c r="K99" s="12" t="s">
        <v>245</v>
      </c>
      <c r="L99" s="12" t="s">
        <v>240</v>
      </c>
      <c r="M99" s="12" t="s">
        <v>246</v>
      </c>
      <c r="N99" s="12" t="s">
        <v>77</v>
      </c>
      <c r="O99" s="12" t="s">
        <v>77</v>
      </c>
      <c r="P99" s="12" t="s">
        <v>77</v>
      </c>
      <c r="Q99" s="12" t="s">
        <v>77</v>
      </c>
      <c r="R99" s="12" t="s">
        <v>79</v>
      </c>
      <c r="S99" s="17" t="s">
        <v>342</v>
      </c>
      <c r="T99" s="17"/>
    </row>
    <row r="100" spans="1:20" ht="19.5" customHeight="1" x14ac:dyDescent="0.25">
      <c r="A100" s="20" t="s">
        <v>39</v>
      </c>
      <c r="B100" s="20" t="s">
        <v>367</v>
      </c>
      <c r="C100" s="20" t="s">
        <v>39</v>
      </c>
      <c r="D100" s="20" t="s">
        <v>368</v>
      </c>
      <c r="E100" s="139"/>
      <c r="F100" s="51" t="s">
        <v>369</v>
      </c>
      <c r="G100" s="23" t="s">
        <v>70</v>
      </c>
      <c r="H100" s="23" t="s">
        <v>71</v>
      </c>
      <c r="I100" s="23" t="s">
        <v>72</v>
      </c>
      <c r="J100" s="23" t="s">
        <v>73</v>
      </c>
      <c r="K100" s="23" t="s">
        <v>245</v>
      </c>
      <c r="L100" s="23" t="s">
        <v>240</v>
      </c>
      <c r="M100" s="23" t="s">
        <v>246</v>
      </c>
      <c r="N100" s="23" t="s">
        <v>77</v>
      </c>
      <c r="O100" s="23" t="s">
        <v>77</v>
      </c>
      <c r="P100" s="23" t="s">
        <v>77</v>
      </c>
      <c r="Q100" s="23" t="s">
        <v>77</v>
      </c>
      <c r="R100" s="23" t="s">
        <v>79</v>
      </c>
      <c r="S100" s="20" t="s">
        <v>342</v>
      </c>
      <c r="T100" s="20"/>
    </row>
    <row r="101" spans="1:20" ht="19.5" customHeight="1" x14ac:dyDescent="0.25">
      <c r="A101" s="17" t="s">
        <v>39</v>
      </c>
      <c r="B101" s="17" t="s">
        <v>370</v>
      </c>
      <c r="C101" s="17" t="s">
        <v>39</v>
      </c>
      <c r="D101" s="17" t="s">
        <v>371</v>
      </c>
      <c r="E101" s="140"/>
      <c r="F101" s="141" t="s">
        <v>372</v>
      </c>
      <c r="G101" s="12" t="s">
        <v>70</v>
      </c>
      <c r="H101" s="12" t="s">
        <v>71</v>
      </c>
      <c r="I101" s="12" t="s">
        <v>72</v>
      </c>
      <c r="J101" s="12" t="s">
        <v>73</v>
      </c>
      <c r="K101" s="12" t="s">
        <v>245</v>
      </c>
      <c r="L101" s="12" t="s">
        <v>240</v>
      </c>
      <c r="M101" s="12" t="s">
        <v>246</v>
      </c>
      <c r="N101" s="12" t="s">
        <v>77</v>
      </c>
      <c r="O101" s="12" t="s">
        <v>77</v>
      </c>
      <c r="P101" s="12" t="s">
        <v>77</v>
      </c>
      <c r="Q101" s="12" t="s">
        <v>77</v>
      </c>
      <c r="R101" s="12" t="s">
        <v>79</v>
      </c>
      <c r="S101" s="17" t="s">
        <v>342</v>
      </c>
      <c r="T101" s="17"/>
    </row>
    <row r="102" spans="1:20" ht="19.5" customHeight="1" x14ac:dyDescent="0.25">
      <c r="A102" s="20" t="s">
        <v>39</v>
      </c>
      <c r="B102" s="20" t="s">
        <v>373</v>
      </c>
      <c r="C102" s="20" t="s">
        <v>39</v>
      </c>
      <c r="D102" s="20" t="s">
        <v>374</v>
      </c>
      <c r="E102" s="142"/>
      <c r="F102" s="143" t="s">
        <v>375</v>
      </c>
      <c r="G102" s="23" t="s">
        <v>70</v>
      </c>
      <c r="H102" s="23" t="s">
        <v>71</v>
      </c>
      <c r="I102" s="23" t="s">
        <v>72</v>
      </c>
      <c r="J102" s="23" t="s">
        <v>73</v>
      </c>
      <c r="K102" s="23" t="s">
        <v>245</v>
      </c>
      <c r="L102" s="23" t="s">
        <v>240</v>
      </c>
      <c r="M102" s="23" t="s">
        <v>246</v>
      </c>
      <c r="N102" s="23" t="s">
        <v>77</v>
      </c>
      <c r="O102" s="23" t="s">
        <v>77</v>
      </c>
      <c r="P102" s="23" t="s">
        <v>77</v>
      </c>
      <c r="Q102" s="23" t="s">
        <v>77</v>
      </c>
      <c r="R102" s="23" t="s">
        <v>79</v>
      </c>
      <c r="S102" s="20" t="s">
        <v>342</v>
      </c>
      <c r="T102" s="20"/>
    </row>
    <row r="103" spans="1:20" ht="19.5" customHeight="1" x14ac:dyDescent="0.25">
      <c r="A103" s="17" t="s">
        <v>39</v>
      </c>
      <c r="B103" s="17" t="s">
        <v>376</v>
      </c>
      <c r="C103" s="17" t="s">
        <v>39</v>
      </c>
      <c r="D103" s="17" t="s">
        <v>377</v>
      </c>
      <c r="E103" s="12"/>
      <c r="F103" s="42" t="s">
        <v>114</v>
      </c>
      <c r="G103" s="12" t="s">
        <v>70</v>
      </c>
      <c r="H103" s="12" t="s">
        <v>71</v>
      </c>
      <c r="I103" s="12" t="s">
        <v>72</v>
      </c>
      <c r="J103" s="12" t="s">
        <v>73</v>
      </c>
      <c r="K103" s="12" t="s">
        <v>245</v>
      </c>
      <c r="L103" s="12" t="s">
        <v>240</v>
      </c>
      <c r="M103" s="12" t="s">
        <v>246</v>
      </c>
      <c r="N103" s="12" t="s">
        <v>77</v>
      </c>
      <c r="O103" s="12" t="s">
        <v>77</v>
      </c>
      <c r="P103" s="12" t="s">
        <v>77</v>
      </c>
      <c r="Q103" s="12" t="s">
        <v>77</v>
      </c>
      <c r="R103" s="12" t="s">
        <v>79</v>
      </c>
      <c r="S103" s="17" t="s">
        <v>342</v>
      </c>
      <c r="T103" s="17"/>
    </row>
    <row r="104" spans="1:20" ht="19.5" customHeight="1" x14ac:dyDescent="0.25">
      <c r="A104" s="20" t="s">
        <v>39</v>
      </c>
      <c r="B104" s="20" t="s">
        <v>378</v>
      </c>
      <c r="C104" s="20" t="s">
        <v>39</v>
      </c>
      <c r="D104" s="20" t="s">
        <v>379</v>
      </c>
      <c r="E104" s="144"/>
      <c r="F104" s="145" t="s">
        <v>380</v>
      </c>
      <c r="G104" s="23" t="s">
        <v>70</v>
      </c>
      <c r="H104" s="23" t="s">
        <v>71</v>
      </c>
      <c r="I104" s="23" t="s">
        <v>72</v>
      </c>
      <c r="J104" s="23" t="s">
        <v>73</v>
      </c>
      <c r="K104" s="23" t="s">
        <v>245</v>
      </c>
      <c r="L104" s="23" t="s">
        <v>240</v>
      </c>
      <c r="M104" s="23" t="s">
        <v>246</v>
      </c>
      <c r="N104" s="23" t="s">
        <v>77</v>
      </c>
      <c r="O104" s="23" t="s">
        <v>77</v>
      </c>
      <c r="P104" s="23" t="s">
        <v>77</v>
      </c>
      <c r="Q104" s="23" t="s">
        <v>77</v>
      </c>
      <c r="R104" s="23" t="s">
        <v>79</v>
      </c>
      <c r="S104" s="20" t="s">
        <v>342</v>
      </c>
      <c r="T104" s="20"/>
    </row>
    <row r="105" spans="1:20" ht="19.5" customHeight="1" x14ac:dyDescent="0.25">
      <c r="A105" s="17" t="s">
        <v>39</v>
      </c>
      <c r="B105" s="17" t="s">
        <v>381</v>
      </c>
      <c r="C105" s="17" t="s">
        <v>39</v>
      </c>
      <c r="D105" s="17" t="s">
        <v>382</v>
      </c>
      <c r="E105" s="146"/>
      <c r="F105" s="147" t="s">
        <v>383</v>
      </c>
      <c r="G105" s="12" t="s">
        <v>70</v>
      </c>
      <c r="H105" s="12" t="s">
        <v>71</v>
      </c>
      <c r="I105" s="12" t="s">
        <v>72</v>
      </c>
      <c r="J105" s="12" t="s">
        <v>73</v>
      </c>
      <c r="K105" s="12" t="s">
        <v>245</v>
      </c>
      <c r="L105" s="12" t="s">
        <v>240</v>
      </c>
      <c r="M105" s="12" t="s">
        <v>246</v>
      </c>
      <c r="N105" s="12" t="s">
        <v>77</v>
      </c>
      <c r="O105" s="12" t="s">
        <v>77</v>
      </c>
      <c r="P105" s="12" t="s">
        <v>77</v>
      </c>
      <c r="Q105" s="12" t="s">
        <v>77</v>
      </c>
      <c r="R105" s="12" t="s">
        <v>79</v>
      </c>
      <c r="S105" s="17" t="s">
        <v>342</v>
      </c>
      <c r="T105" s="17"/>
    </row>
    <row r="106" spans="1:20" ht="19.5" customHeight="1" x14ac:dyDescent="0.25">
      <c r="A106" s="20" t="s">
        <v>39</v>
      </c>
      <c r="B106" s="20" t="s">
        <v>384</v>
      </c>
      <c r="C106" s="20" t="s">
        <v>39</v>
      </c>
      <c r="D106" s="20" t="s">
        <v>385</v>
      </c>
      <c r="E106" s="43"/>
      <c r="F106" s="148" t="s">
        <v>386</v>
      </c>
      <c r="G106" s="23" t="s">
        <v>70</v>
      </c>
      <c r="H106" s="23" t="s">
        <v>71</v>
      </c>
      <c r="I106" s="23" t="s">
        <v>72</v>
      </c>
      <c r="J106" s="23" t="s">
        <v>73</v>
      </c>
      <c r="K106" s="23" t="s">
        <v>245</v>
      </c>
      <c r="L106" s="23" t="s">
        <v>240</v>
      </c>
      <c r="M106" s="23" t="s">
        <v>246</v>
      </c>
      <c r="N106" s="23" t="s">
        <v>77</v>
      </c>
      <c r="O106" s="23" t="s">
        <v>77</v>
      </c>
      <c r="P106" s="23" t="s">
        <v>77</v>
      </c>
      <c r="Q106" s="23" t="s">
        <v>77</v>
      </c>
      <c r="R106" s="23" t="s">
        <v>79</v>
      </c>
      <c r="S106" s="20" t="s">
        <v>342</v>
      </c>
      <c r="T106" s="20"/>
    </row>
    <row r="107" spans="1:20" ht="19.5" customHeight="1" x14ac:dyDescent="0.25">
      <c r="A107" s="17" t="s">
        <v>39</v>
      </c>
      <c r="B107" s="17" t="s">
        <v>387</v>
      </c>
      <c r="C107" s="17" t="s">
        <v>39</v>
      </c>
      <c r="D107" s="17" t="s">
        <v>388</v>
      </c>
      <c r="E107" s="149"/>
      <c r="F107" s="110" t="s">
        <v>389</v>
      </c>
      <c r="G107" s="12" t="s">
        <v>70</v>
      </c>
      <c r="H107" s="12" t="s">
        <v>71</v>
      </c>
      <c r="I107" s="12" t="s">
        <v>72</v>
      </c>
      <c r="J107" s="12" t="s">
        <v>73</v>
      </c>
      <c r="K107" s="12" t="s">
        <v>245</v>
      </c>
      <c r="L107" s="12" t="s">
        <v>240</v>
      </c>
      <c r="M107" s="12" t="s">
        <v>246</v>
      </c>
      <c r="N107" s="12" t="s">
        <v>77</v>
      </c>
      <c r="O107" s="12" t="s">
        <v>77</v>
      </c>
      <c r="P107" s="12" t="s">
        <v>77</v>
      </c>
      <c r="Q107" s="12" t="s">
        <v>77</v>
      </c>
      <c r="R107" s="12" t="s">
        <v>79</v>
      </c>
      <c r="S107" s="17" t="s">
        <v>342</v>
      </c>
      <c r="T107" s="17"/>
    </row>
    <row r="108" spans="1:20" ht="19.5" customHeight="1" x14ac:dyDescent="0.25">
      <c r="A108" s="20" t="s">
        <v>39</v>
      </c>
      <c r="B108" s="20" t="s">
        <v>390</v>
      </c>
      <c r="C108" s="20" t="s">
        <v>39</v>
      </c>
      <c r="D108" s="20" t="s">
        <v>391</v>
      </c>
      <c r="E108" s="150"/>
      <c r="F108" s="151" t="s">
        <v>392</v>
      </c>
      <c r="G108" s="23" t="s">
        <v>70</v>
      </c>
      <c r="H108" s="23" t="s">
        <v>71</v>
      </c>
      <c r="I108" s="23" t="s">
        <v>72</v>
      </c>
      <c r="J108" s="23" t="s">
        <v>73</v>
      </c>
      <c r="K108" s="23" t="s">
        <v>245</v>
      </c>
      <c r="L108" s="23" t="s">
        <v>240</v>
      </c>
      <c r="M108" s="23" t="s">
        <v>246</v>
      </c>
      <c r="N108" s="23" t="s">
        <v>77</v>
      </c>
      <c r="O108" s="23" t="s">
        <v>77</v>
      </c>
      <c r="P108" s="23" t="s">
        <v>77</v>
      </c>
      <c r="Q108" s="23" t="s">
        <v>77</v>
      </c>
      <c r="R108" s="23" t="s">
        <v>79</v>
      </c>
      <c r="S108" s="20" t="s">
        <v>342</v>
      </c>
      <c r="T108" s="20"/>
    </row>
    <row r="109" spans="1:20" ht="19.5" customHeight="1" x14ac:dyDescent="0.25">
      <c r="A109" s="17" t="s">
        <v>39</v>
      </c>
      <c r="B109" s="17" t="s">
        <v>393</v>
      </c>
      <c r="C109" s="17" t="s">
        <v>39</v>
      </c>
      <c r="D109" s="17" t="s">
        <v>394</v>
      </c>
      <c r="E109" s="55"/>
      <c r="F109" s="152" t="s">
        <v>395</v>
      </c>
      <c r="G109" s="12" t="s">
        <v>70</v>
      </c>
      <c r="H109" s="12" t="s">
        <v>71</v>
      </c>
      <c r="I109" s="12" t="s">
        <v>72</v>
      </c>
      <c r="J109" s="12" t="s">
        <v>73</v>
      </c>
      <c r="K109" s="12" t="s">
        <v>245</v>
      </c>
      <c r="L109" s="12" t="s">
        <v>240</v>
      </c>
      <c r="M109" s="12" t="s">
        <v>246</v>
      </c>
      <c r="N109" s="12" t="s">
        <v>77</v>
      </c>
      <c r="O109" s="12" t="s">
        <v>77</v>
      </c>
      <c r="P109" s="12" t="s">
        <v>77</v>
      </c>
      <c r="Q109" s="12" t="s">
        <v>77</v>
      </c>
      <c r="R109" s="12" t="s">
        <v>79</v>
      </c>
      <c r="S109" s="17" t="s">
        <v>342</v>
      </c>
      <c r="T109" s="17"/>
    </row>
    <row r="110" spans="1:20" ht="19.5" customHeight="1" x14ac:dyDescent="0.25">
      <c r="A110" s="20" t="s">
        <v>39</v>
      </c>
      <c r="B110" s="20" t="s">
        <v>396</v>
      </c>
      <c r="C110" s="20" t="s">
        <v>39</v>
      </c>
      <c r="D110" s="20" t="s">
        <v>397</v>
      </c>
      <c r="E110" s="153"/>
      <c r="F110" s="154" t="s">
        <v>398</v>
      </c>
      <c r="G110" s="23" t="s">
        <v>70</v>
      </c>
      <c r="H110" s="23" t="s">
        <v>71</v>
      </c>
      <c r="I110" s="23" t="s">
        <v>72</v>
      </c>
      <c r="J110" s="23" t="s">
        <v>73</v>
      </c>
      <c r="K110" s="23" t="s">
        <v>245</v>
      </c>
      <c r="L110" s="23" t="s">
        <v>240</v>
      </c>
      <c r="M110" s="23" t="s">
        <v>246</v>
      </c>
      <c r="N110" s="23" t="s">
        <v>77</v>
      </c>
      <c r="O110" s="23" t="s">
        <v>77</v>
      </c>
      <c r="P110" s="23" t="s">
        <v>77</v>
      </c>
      <c r="Q110" s="23" t="s">
        <v>77</v>
      </c>
      <c r="R110" s="23" t="s">
        <v>79</v>
      </c>
      <c r="S110" s="20" t="s">
        <v>342</v>
      </c>
      <c r="T110" s="20"/>
    </row>
    <row r="111" spans="1:20" ht="19.5" customHeight="1" x14ac:dyDescent="0.25">
      <c r="A111" s="17" t="s">
        <v>39</v>
      </c>
      <c r="B111" s="17" t="s">
        <v>399</v>
      </c>
      <c r="C111" s="17" t="s">
        <v>39</v>
      </c>
      <c r="D111" s="17" t="s">
        <v>400</v>
      </c>
      <c r="E111" s="155"/>
      <c r="F111" s="145" t="s">
        <v>401</v>
      </c>
      <c r="G111" s="12" t="s">
        <v>70</v>
      </c>
      <c r="H111" s="12" t="s">
        <v>71</v>
      </c>
      <c r="I111" s="12" t="s">
        <v>72</v>
      </c>
      <c r="J111" s="12" t="s">
        <v>73</v>
      </c>
      <c r="K111" s="12" t="s">
        <v>245</v>
      </c>
      <c r="L111" s="12" t="s">
        <v>240</v>
      </c>
      <c r="M111" s="12" t="s">
        <v>246</v>
      </c>
      <c r="N111" s="12" t="s">
        <v>77</v>
      </c>
      <c r="O111" s="12" t="s">
        <v>77</v>
      </c>
      <c r="P111" s="12" t="s">
        <v>77</v>
      </c>
      <c r="Q111" s="12" t="s">
        <v>77</v>
      </c>
      <c r="R111" s="12" t="s">
        <v>79</v>
      </c>
      <c r="S111" s="17" t="s">
        <v>342</v>
      </c>
      <c r="T111" s="17"/>
    </row>
    <row r="112" spans="1:20" ht="19.5" customHeight="1" x14ac:dyDescent="0.25">
      <c r="A112" s="20" t="s">
        <v>39</v>
      </c>
      <c r="B112" s="20" t="s">
        <v>402</v>
      </c>
      <c r="C112" s="20" t="s">
        <v>39</v>
      </c>
      <c r="D112" s="20" t="s">
        <v>403</v>
      </c>
      <c r="E112" s="98"/>
      <c r="F112" s="156" t="s">
        <v>404</v>
      </c>
      <c r="G112" s="23" t="s">
        <v>70</v>
      </c>
      <c r="H112" s="23" t="s">
        <v>71</v>
      </c>
      <c r="I112" s="23" t="s">
        <v>72</v>
      </c>
      <c r="J112" s="23" t="s">
        <v>73</v>
      </c>
      <c r="K112" s="23" t="s">
        <v>245</v>
      </c>
      <c r="L112" s="23" t="s">
        <v>240</v>
      </c>
      <c r="M112" s="23" t="s">
        <v>246</v>
      </c>
      <c r="N112" s="23" t="s">
        <v>77</v>
      </c>
      <c r="O112" s="23" t="s">
        <v>77</v>
      </c>
      <c r="P112" s="23" t="s">
        <v>77</v>
      </c>
      <c r="Q112" s="23" t="s">
        <v>77</v>
      </c>
      <c r="R112" s="23" t="s">
        <v>79</v>
      </c>
      <c r="S112" s="20" t="s">
        <v>342</v>
      </c>
      <c r="T112" s="20"/>
    </row>
    <row r="113" spans="1:20" ht="19.5" customHeight="1" x14ac:dyDescent="0.25">
      <c r="A113" s="17" t="s">
        <v>39</v>
      </c>
      <c r="B113" s="17" t="s">
        <v>405</v>
      </c>
      <c r="C113" s="17" t="s">
        <v>39</v>
      </c>
      <c r="D113" s="17" t="s">
        <v>406</v>
      </c>
      <c r="E113" s="157"/>
      <c r="F113" s="158" t="s">
        <v>407</v>
      </c>
      <c r="G113" s="12" t="s">
        <v>70</v>
      </c>
      <c r="H113" s="12" t="s">
        <v>71</v>
      </c>
      <c r="I113" s="12" t="s">
        <v>72</v>
      </c>
      <c r="J113" s="12" t="s">
        <v>73</v>
      </c>
      <c r="K113" s="12" t="s">
        <v>245</v>
      </c>
      <c r="L113" s="12" t="s">
        <v>240</v>
      </c>
      <c r="M113" s="12" t="s">
        <v>246</v>
      </c>
      <c r="N113" s="12" t="s">
        <v>77</v>
      </c>
      <c r="O113" s="12" t="s">
        <v>77</v>
      </c>
      <c r="P113" s="12" t="s">
        <v>77</v>
      </c>
      <c r="Q113" s="12" t="s">
        <v>77</v>
      </c>
      <c r="R113" s="12" t="s">
        <v>79</v>
      </c>
      <c r="S113" s="17" t="s">
        <v>342</v>
      </c>
      <c r="T113" s="17"/>
    </row>
    <row r="114" spans="1:20" ht="19.5" customHeight="1" x14ac:dyDescent="0.25">
      <c r="A114" s="20" t="s">
        <v>39</v>
      </c>
      <c r="B114" s="20" t="s">
        <v>408</v>
      </c>
      <c r="C114" s="20" t="s">
        <v>39</v>
      </c>
      <c r="D114" s="20" t="s">
        <v>409</v>
      </c>
      <c r="E114" s="159"/>
      <c r="F114" s="89" t="s">
        <v>410</v>
      </c>
      <c r="G114" s="23" t="s">
        <v>70</v>
      </c>
      <c r="H114" s="23" t="s">
        <v>71</v>
      </c>
      <c r="I114" s="23" t="s">
        <v>72</v>
      </c>
      <c r="J114" s="23" t="s">
        <v>73</v>
      </c>
      <c r="K114" s="23" t="s">
        <v>245</v>
      </c>
      <c r="L114" s="23" t="s">
        <v>240</v>
      </c>
      <c r="M114" s="23" t="s">
        <v>246</v>
      </c>
      <c r="N114" s="23" t="s">
        <v>77</v>
      </c>
      <c r="O114" s="23" t="s">
        <v>77</v>
      </c>
      <c r="P114" s="23" t="s">
        <v>77</v>
      </c>
      <c r="Q114" s="23" t="s">
        <v>77</v>
      </c>
      <c r="R114" s="23" t="s">
        <v>79</v>
      </c>
      <c r="S114" s="20" t="s">
        <v>342</v>
      </c>
      <c r="T114" s="20"/>
    </row>
    <row r="115" spans="1:20" ht="19.5" customHeight="1" x14ac:dyDescent="0.25">
      <c r="A115" s="17" t="s">
        <v>40</v>
      </c>
      <c r="B115" s="17" t="s">
        <v>411</v>
      </c>
      <c r="C115" s="17" t="s">
        <v>40</v>
      </c>
      <c r="D115" s="17" t="s">
        <v>277</v>
      </c>
      <c r="E115" s="160"/>
      <c r="F115" s="133" t="s">
        <v>412</v>
      </c>
      <c r="G115" s="12" t="s">
        <v>70</v>
      </c>
      <c r="H115" s="12" t="s">
        <v>141</v>
      </c>
      <c r="I115" s="12" t="s">
        <v>72</v>
      </c>
      <c r="J115" s="12" t="s">
        <v>73</v>
      </c>
      <c r="K115" s="12" t="s">
        <v>413</v>
      </c>
      <c r="L115" s="12" t="s">
        <v>240</v>
      </c>
      <c r="M115" s="12" t="s">
        <v>241</v>
      </c>
      <c r="N115" s="12" t="s">
        <v>77</v>
      </c>
      <c r="O115" s="12" t="s">
        <v>77</v>
      </c>
      <c r="P115" s="12" t="s">
        <v>77</v>
      </c>
      <c r="Q115" s="12" t="s">
        <v>77</v>
      </c>
      <c r="R115" s="12" t="s">
        <v>195</v>
      </c>
      <c r="S115" s="17" t="s">
        <v>414</v>
      </c>
      <c r="T115" s="17" t="s">
        <v>415</v>
      </c>
    </row>
    <row r="116" spans="1:20" ht="19.5" customHeight="1" x14ac:dyDescent="0.25">
      <c r="A116" s="20" t="s">
        <v>41</v>
      </c>
      <c r="B116" s="20" t="s">
        <v>416</v>
      </c>
      <c r="C116" s="20" t="s">
        <v>41</v>
      </c>
      <c r="D116" s="20" t="s">
        <v>86</v>
      </c>
      <c r="E116" s="47"/>
      <c r="F116" s="25" t="s">
        <v>128</v>
      </c>
      <c r="G116" s="23" t="s">
        <v>70</v>
      </c>
      <c r="H116" s="23" t="s">
        <v>71</v>
      </c>
      <c r="I116" s="23" t="s">
        <v>72</v>
      </c>
      <c r="J116" s="23" t="s">
        <v>73</v>
      </c>
      <c r="K116" s="23" t="s">
        <v>245</v>
      </c>
      <c r="L116" s="23" t="s">
        <v>240</v>
      </c>
      <c r="M116" s="23" t="s">
        <v>246</v>
      </c>
      <c r="N116" s="23" t="s">
        <v>77</v>
      </c>
      <c r="O116" s="23" t="s">
        <v>77</v>
      </c>
      <c r="P116" s="23" t="s">
        <v>77</v>
      </c>
      <c r="Q116" s="23" t="s">
        <v>77</v>
      </c>
      <c r="R116" s="23" t="s">
        <v>79</v>
      </c>
      <c r="S116" s="20" t="s">
        <v>417</v>
      </c>
      <c r="T116" s="20" t="s">
        <v>418</v>
      </c>
    </row>
    <row r="117" spans="1:20" ht="19.5" customHeight="1" x14ac:dyDescent="0.25">
      <c r="A117" s="17" t="s">
        <v>41</v>
      </c>
      <c r="B117" s="17" t="s">
        <v>419</v>
      </c>
      <c r="C117" s="17" t="s">
        <v>41</v>
      </c>
      <c r="D117" s="17" t="s">
        <v>260</v>
      </c>
      <c r="E117" s="161"/>
      <c r="F117" s="162" t="s">
        <v>420</v>
      </c>
      <c r="G117" s="12" t="s">
        <v>70</v>
      </c>
      <c r="H117" s="12" t="s">
        <v>71</v>
      </c>
      <c r="I117" s="12" t="s">
        <v>72</v>
      </c>
      <c r="J117" s="12" t="s">
        <v>73</v>
      </c>
      <c r="K117" s="12" t="s">
        <v>245</v>
      </c>
      <c r="L117" s="12" t="s">
        <v>240</v>
      </c>
      <c r="M117" s="12" t="s">
        <v>246</v>
      </c>
      <c r="N117" s="12" t="s">
        <v>77</v>
      </c>
      <c r="O117" s="12" t="s">
        <v>77</v>
      </c>
      <c r="P117" s="12" t="s">
        <v>77</v>
      </c>
      <c r="Q117" s="12" t="s">
        <v>77</v>
      </c>
      <c r="R117" s="12" t="s">
        <v>79</v>
      </c>
      <c r="S117" s="17" t="s">
        <v>417</v>
      </c>
      <c r="T117" s="17" t="s">
        <v>418</v>
      </c>
    </row>
    <row r="118" spans="1:20" ht="19.5" customHeight="1" x14ac:dyDescent="0.25">
      <c r="A118" s="20" t="s">
        <v>41</v>
      </c>
      <c r="B118" s="20" t="s">
        <v>421</v>
      </c>
      <c r="C118" s="20" t="s">
        <v>41</v>
      </c>
      <c r="D118" s="20" t="s">
        <v>422</v>
      </c>
      <c r="E118" s="163"/>
      <c r="F118" s="133" t="s">
        <v>423</v>
      </c>
      <c r="G118" s="23" t="s">
        <v>70</v>
      </c>
      <c r="H118" s="23" t="s">
        <v>71</v>
      </c>
      <c r="I118" s="23" t="s">
        <v>72</v>
      </c>
      <c r="J118" s="23" t="s">
        <v>73</v>
      </c>
      <c r="K118" s="23" t="s">
        <v>245</v>
      </c>
      <c r="L118" s="23" t="s">
        <v>240</v>
      </c>
      <c r="M118" s="23" t="s">
        <v>246</v>
      </c>
      <c r="N118" s="23" t="s">
        <v>77</v>
      </c>
      <c r="O118" s="23" t="s">
        <v>77</v>
      </c>
      <c r="P118" s="23" t="s">
        <v>77</v>
      </c>
      <c r="Q118" s="23" t="s">
        <v>77</v>
      </c>
      <c r="R118" s="23" t="s">
        <v>79</v>
      </c>
      <c r="S118" s="20" t="s">
        <v>417</v>
      </c>
      <c r="T118" s="20" t="s">
        <v>418</v>
      </c>
    </row>
    <row r="119" spans="1:20" ht="19.5" customHeight="1" x14ac:dyDescent="0.25">
      <c r="A119" s="17" t="s">
        <v>41</v>
      </c>
      <c r="B119" s="17" t="s">
        <v>424</v>
      </c>
      <c r="C119" s="17" t="s">
        <v>41</v>
      </c>
      <c r="D119" s="17" t="s">
        <v>277</v>
      </c>
      <c r="E119" s="164"/>
      <c r="F119" s="165" t="s">
        <v>425</v>
      </c>
      <c r="G119" s="12" t="s">
        <v>70</v>
      </c>
      <c r="H119" s="12" t="s">
        <v>71</v>
      </c>
      <c r="I119" s="12" t="s">
        <v>72</v>
      </c>
      <c r="J119" s="12" t="s">
        <v>73</v>
      </c>
      <c r="K119" s="12" t="s">
        <v>245</v>
      </c>
      <c r="L119" s="12" t="s">
        <v>240</v>
      </c>
      <c r="M119" s="12" t="s">
        <v>246</v>
      </c>
      <c r="N119" s="12" t="s">
        <v>77</v>
      </c>
      <c r="O119" s="12" t="s">
        <v>77</v>
      </c>
      <c r="P119" s="12" t="s">
        <v>77</v>
      </c>
      <c r="Q119" s="12" t="s">
        <v>77</v>
      </c>
      <c r="R119" s="12" t="s">
        <v>79</v>
      </c>
      <c r="S119" s="17" t="s">
        <v>417</v>
      </c>
      <c r="T119" s="17" t="s">
        <v>426</v>
      </c>
    </row>
    <row r="120" spans="1:20" ht="19.5" customHeight="1" x14ac:dyDescent="0.25">
      <c r="A120" s="20" t="s">
        <v>41</v>
      </c>
      <c r="B120" s="20" t="s">
        <v>427</v>
      </c>
      <c r="C120" s="20" t="s">
        <v>41</v>
      </c>
      <c r="D120" s="20" t="s">
        <v>107</v>
      </c>
      <c r="E120" s="114"/>
      <c r="F120" s="115" t="s">
        <v>428</v>
      </c>
      <c r="G120" s="23" t="s">
        <v>70</v>
      </c>
      <c r="H120" s="23" t="s">
        <v>71</v>
      </c>
      <c r="I120" s="23" t="s">
        <v>72</v>
      </c>
      <c r="J120" s="23" t="s">
        <v>73</v>
      </c>
      <c r="K120" s="23" t="s">
        <v>245</v>
      </c>
      <c r="L120" s="23" t="s">
        <v>240</v>
      </c>
      <c r="M120" s="23" t="s">
        <v>246</v>
      </c>
      <c r="N120" s="23" t="s">
        <v>77</v>
      </c>
      <c r="O120" s="23" t="s">
        <v>77</v>
      </c>
      <c r="P120" s="23" t="s">
        <v>77</v>
      </c>
      <c r="Q120" s="23" t="s">
        <v>77</v>
      </c>
      <c r="R120" s="23" t="s">
        <v>79</v>
      </c>
      <c r="S120" s="20" t="s">
        <v>417</v>
      </c>
      <c r="T120" s="20" t="s">
        <v>418</v>
      </c>
    </row>
    <row r="121" spans="1:20" ht="19.5" customHeight="1" x14ac:dyDescent="0.25">
      <c r="A121" s="17" t="s">
        <v>41</v>
      </c>
      <c r="B121" s="17" t="s">
        <v>429</v>
      </c>
      <c r="C121" s="17" t="s">
        <v>41</v>
      </c>
      <c r="D121" s="17" t="s">
        <v>113</v>
      </c>
      <c r="E121" s="166"/>
      <c r="F121" s="49" t="s">
        <v>430</v>
      </c>
      <c r="G121" s="12" t="s">
        <v>70</v>
      </c>
      <c r="H121" s="12" t="s">
        <v>71</v>
      </c>
      <c r="I121" s="12" t="s">
        <v>72</v>
      </c>
      <c r="J121" s="12" t="s">
        <v>73</v>
      </c>
      <c r="K121" s="12" t="s">
        <v>245</v>
      </c>
      <c r="L121" s="12" t="s">
        <v>240</v>
      </c>
      <c r="M121" s="12" t="s">
        <v>246</v>
      </c>
      <c r="N121" s="12" t="s">
        <v>77</v>
      </c>
      <c r="O121" s="12" t="s">
        <v>77</v>
      </c>
      <c r="P121" s="12" t="s">
        <v>77</v>
      </c>
      <c r="Q121" s="12" t="s">
        <v>77</v>
      </c>
      <c r="R121" s="12" t="s">
        <v>79</v>
      </c>
      <c r="S121" s="17" t="s">
        <v>417</v>
      </c>
      <c r="T121" s="17" t="s">
        <v>418</v>
      </c>
    </row>
    <row r="122" spans="1:20" ht="19.5" customHeight="1" x14ac:dyDescent="0.25">
      <c r="A122" s="20" t="s">
        <v>42</v>
      </c>
      <c r="B122" s="20" t="s">
        <v>431</v>
      </c>
      <c r="C122" s="20" t="s">
        <v>42</v>
      </c>
      <c r="D122" s="20" t="s">
        <v>277</v>
      </c>
      <c r="E122" s="167"/>
      <c r="F122" s="168" t="s">
        <v>432</v>
      </c>
      <c r="G122" s="23" t="s">
        <v>70</v>
      </c>
      <c r="H122" s="23" t="s">
        <v>71</v>
      </c>
      <c r="I122" s="23" t="s">
        <v>72</v>
      </c>
      <c r="J122" s="23" t="s">
        <v>73</v>
      </c>
      <c r="K122" s="23" t="s">
        <v>245</v>
      </c>
      <c r="L122" s="23" t="s">
        <v>240</v>
      </c>
      <c r="M122" s="23" t="s">
        <v>246</v>
      </c>
      <c r="N122" s="23" t="s">
        <v>77</v>
      </c>
      <c r="O122" s="23" t="s">
        <v>77</v>
      </c>
      <c r="P122" s="23" t="s">
        <v>77</v>
      </c>
      <c r="Q122" s="23" t="s">
        <v>77</v>
      </c>
      <c r="R122" s="23" t="s">
        <v>79</v>
      </c>
      <c r="S122" s="20" t="s">
        <v>433</v>
      </c>
      <c r="T122" s="20" t="s">
        <v>434</v>
      </c>
    </row>
    <row r="123" spans="1:20" ht="19.5" customHeight="1" x14ac:dyDescent="0.25">
      <c r="A123" s="17" t="s">
        <v>42</v>
      </c>
      <c r="B123" s="17" t="s">
        <v>435</v>
      </c>
      <c r="C123" s="17" t="s">
        <v>42</v>
      </c>
      <c r="D123" s="17" t="s">
        <v>104</v>
      </c>
      <c r="E123" s="169"/>
      <c r="F123" s="170" t="s">
        <v>436</v>
      </c>
      <c r="G123" s="12" t="s">
        <v>70</v>
      </c>
      <c r="H123" s="12" t="s">
        <v>71</v>
      </c>
      <c r="I123" s="12" t="s">
        <v>72</v>
      </c>
      <c r="J123" s="12" t="s">
        <v>73</v>
      </c>
      <c r="K123" s="12" t="s">
        <v>245</v>
      </c>
      <c r="L123" s="12" t="s">
        <v>240</v>
      </c>
      <c r="M123" s="12" t="s">
        <v>246</v>
      </c>
      <c r="N123" s="12" t="s">
        <v>77</v>
      </c>
      <c r="O123" s="12" t="s">
        <v>77</v>
      </c>
      <c r="P123" s="12" t="s">
        <v>77</v>
      </c>
      <c r="Q123" s="12" t="s">
        <v>77</v>
      </c>
      <c r="R123" s="12" t="s">
        <v>79</v>
      </c>
      <c r="S123" s="17" t="s">
        <v>433</v>
      </c>
      <c r="T123" s="17" t="s">
        <v>437</v>
      </c>
    </row>
    <row r="124" spans="1:20" ht="19.5" customHeight="1" x14ac:dyDescent="0.25">
      <c r="A124" s="20" t="s">
        <v>42</v>
      </c>
      <c r="B124" s="20" t="s">
        <v>438</v>
      </c>
      <c r="C124" s="20" t="s">
        <v>42</v>
      </c>
      <c r="D124" s="20" t="s">
        <v>107</v>
      </c>
      <c r="E124" s="171"/>
      <c r="F124" s="172" t="s">
        <v>439</v>
      </c>
      <c r="G124" s="23" t="s">
        <v>70</v>
      </c>
      <c r="H124" s="23" t="s">
        <v>71</v>
      </c>
      <c r="I124" s="23" t="s">
        <v>72</v>
      </c>
      <c r="J124" s="23" t="s">
        <v>73</v>
      </c>
      <c r="K124" s="23" t="s">
        <v>245</v>
      </c>
      <c r="L124" s="23" t="s">
        <v>240</v>
      </c>
      <c r="M124" s="23" t="s">
        <v>246</v>
      </c>
      <c r="N124" s="23" t="s">
        <v>77</v>
      </c>
      <c r="O124" s="23" t="s">
        <v>77</v>
      </c>
      <c r="P124" s="23" t="s">
        <v>77</v>
      </c>
      <c r="Q124" s="23" t="s">
        <v>77</v>
      </c>
      <c r="R124" s="23" t="s">
        <v>79</v>
      </c>
      <c r="S124" s="20" t="s">
        <v>433</v>
      </c>
      <c r="T124" s="20" t="s">
        <v>437</v>
      </c>
    </row>
    <row r="125" spans="1:20" ht="19.5" customHeight="1" x14ac:dyDescent="0.25">
      <c r="A125" s="17" t="s">
        <v>43</v>
      </c>
      <c r="B125" s="17" t="s">
        <v>440</v>
      </c>
      <c r="C125" s="17" t="s">
        <v>43</v>
      </c>
      <c r="D125" s="17" t="s">
        <v>89</v>
      </c>
      <c r="E125" s="90"/>
      <c r="F125" s="91" t="s">
        <v>441</v>
      </c>
      <c r="G125" s="12" t="s">
        <v>70</v>
      </c>
      <c r="H125" s="12" t="s">
        <v>71</v>
      </c>
      <c r="I125" s="12" t="s">
        <v>72</v>
      </c>
      <c r="J125" s="12" t="s">
        <v>73</v>
      </c>
      <c r="K125" s="12" t="s">
        <v>245</v>
      </c>
      <c r="L125" s="12" t="s">
        <v>240</v>
      </c>
      <c r="M125" s="12" t="s">
        <v>246</v>
      </c>
      <c r="N125" s="12" t="s">
        <v>77</v>
      </c>
      <c r="O125" s="12" t="s">
        <v>77</v>
      </c>
      <c r="P125" s="12" t="s">
        <v>77</v>
      </c>
      <c r="Q125" s="12" t="s">
        <v>77</v>
      </c>
      <c r="R125" s="12" t="s">
        <v>79</v>
      </c>
      <c r="S125" s="17" t="s">
        <v>442</v>
      </c>
      <c r="T125" s="17"/>
    </row>
    <row r="126" spans="1:20" ht="19.5" customHeight="1" x14ac:dyDescent="0.25">
      <c r="A126" s="20" t="s">
        <v>43</v>
      </c>
      <c r="B126" s="20" t="s">
        <v>443</v>
      </c>
      <c r="C126" s="20" t="s">
        <v>43</v>
      </c>
      <c r="D126" s="20" t="s">
        <v>444</v>
      </c>
      <c r="E126" s="173"/>
      <c r="F126" s="174" t="s">
        <v>445</v>
      </c>
      <c r="G126" s="23" t="s">
        <v>70</v>
      </c>
      <c r="H126" s="23" t="s">
        <v>71</v>
      </c>
      <c r="I126" s="23" t="s">
        <v>72</v>
      </c>
      <c r="J126" s="23" t="s">
        <v>73</v>
      </c>
      <c r="K126" s="23" t="s">
        <v>245</v>
      </c>
      <c r="L126" s="23" t="s">
        <v>240</v>
      </c>
      <c r="M126" s="23" t="s">
        <v>246</v>
      </c>
      <c r="N126" s="23" t="s">
        <v>77</v>
      </c>
      <c r="O126" s="23" t="s">
        <v>77</v>
      </c>
      <c r="P126" s="23" t="s">
        <v>77</v>
      </c>
      <c r="Q126" s="23" t="s">
        <v>77</v>
      </c>
      <c r="R126" s="23" t="s">
        <v>79</v>
      </c>
      <c r="S126" s="20" t="s">
        <v>442</v>
      </c>
      <c r="T126" s="20"/>
    </row>
    <row r="127" spans="1:20" ht="19.5" customHeight="1" x14ac:dyDescent="0.25">
      <c r="A127" s="17" t="s">
        <v>43</v>
      </c>
      <c r="B127" s="17" t="s">
        <v>446</v>
      </c>
      <c r="C127" s="17" t="s">
        <v>43</v>
      </c>
      <c r="D127" s="17" t="s">
        <v>374</v>
      </c>
      <c r="E127" s="175"/>
      <c r="F127" s="176" t="s">
        <v>447</v>
      </c>
      <c r="G127" s="12" t="s">
        <v>70</v>
      </c>
      <c r="H127" s="12" t="s">
        <v>71</v>
      </c>
      <c r="I127" s="12" t="s">
        <v>72</v>
      </c>
      <c r="J127" s="12" t="s">
        <v>73</v>
      </c>
      <c r="K127" s="12" t="s">
        <v>245</v>
      </c>
      <c r="L127" s="12" t="s">
        <v>240</v>
      </c>
      <c r="M127" s="12" t="s">
        <v>246</v>
      </c>
      <c r="N127" s="12" t="s">
        <v>77</v>
      </c>
      <c r="O127" s="12" t="s">
        <v>77</v>
      </c>
      <c r="P127" s="12" t="s">
        <v>77</v>
      </c>
      <c r="Q127" s="12" t="s">
        <v>77</v>
      </c>
      <c r="R127" s="12" t="s">
        <v>79</v>
      </c>
      <c r="S127" s="17" t="s">
        <v>442</v>
      </c>
      <c r="T127" s="17"/>
    </row>
    <row r="128" spans="1:20" ht="19.5" customHeight="1" x14ac:dyDescent="0.25">
      <c r="A128" s="20" t="s">
        <v>43</v>
      </c>
      <c r="B128" s="20" t="s">
        <v>448</v>
      </c>
      <c r="C128" s="20" t="s">
        <v>43</v>
      </c>
      <c r="D128" s="20" t="s">
        <v>449</v>
      </c>
      <c r="E128" s="142"/>
      <c r="F128" s="176" t="s">
        <v>450</v>
      </c>
      <c r="G128" s="23" t="s">
        <v>70</v>
      </c>
      <c r="H128" s="23" t="s">
        <v>71</v>
      </c>
      <c r="I128" s="23" t="s">
        <v>72</v>
      </c>
      <c r="J128" s="23" t="s">
        <v>73</v>
      </c>
      <c r="K128" s="23" t="s">
        <v>245</v>
      </c>
      <c r="L128" s="23" t="s">
        <v>240</v>
      </c>
      <c r="M128" s="23" t="s">
        <v>246</v>
      </c>
      <c r="N128" s="23" t="s">
        <v>77</v>
      </c>
      <c r="O128" s="23" t="s">
        <v>77</v>
      </c>
      <c r="P128" s="23" t="s">
        <v>77</v>
      </c>
      <c r="Q128" s="23" t="s">
        <v>77</v>
      </c>
      <c r="R128" s="23" t="s">
        <v>79</v>
      </c>
      <c r="S128" s="20" t="s">
        <v>442</v>
      </c>
      <c r="T128" s="20"/>
    </row>
    <row r="129" spans="1:20" ht="19.5" customHeight="1" x14ac:dyDescent="0.25">
      <c r="A129" s="17" t="s">
        <v>43</v>
      </c>
      <c r="B129" s="17" t="s">
        <v>451</v>
      </c>
      <c r="C129" s="17" t="s">
        <v>43</v>
      </c>
      <c r="D129" s="17" t="s">
        <v>452</v>
      </c>
      <c r="E129" s="177"/>
      <c r="F129" s="51" t="s">
        <v>453</v>
      </c>
      <c r="G129" s="12" t="s">
        <v>70</v>
      </c>
      <c r="H129" s="12" t="s">
        <v>71</v>
      </c>
      <c r="I129" s="12" t="s">
        <v>72</v>
      </c>
      <c r="J129" s="12" t="s">
        <v>73</v>
      </c>
      <c r="K129" s="12" t="s">
        <v>245</v>
      </c>
      <c r="L129" s="12" t="s">
        <v>240</v>
      </c>
      <c r="M129" s="12" t="s">
        <v>246</v>
      </c>
      <c r="N129" s="12" t="s">
        <v>77</v>
      </c>
      <c r="O129" s="12" t="s">
        <v>77</v>
      </c>
      <c r="P129" s="12" t="s">
        <v>77</v>
      </c>
      <c r="Q129" s="12" t="s">
        <v>77</v>
      </c>
      <c r="R129" s="12" t="s">
        <v>79</v>
      </c>
      <c r="S129" s="17" t="s">
        <v>442</v>
      </c>
      <c r="T129" s="17"/>
    </row>
    <row r="130" spans="1:20" ht="19.5" customHeight="1" x14ac:dyDescent="0.25">
      <c r="A130" s="20" t="s">
        <v>43</v>
      </c>
      <c r="B130" s="20" t="s">
        <v>454</v>
      </c>
      <c r="C130" s="20" t="s">
        <v>43</v>
      </c>
      <c r="D130" s="20" t="s">
        <v>98</v>
      </c>
      <c r="E130" s="178"/>
      <c r="F130" s="179" t="s">
        <v>455</v>
      </c>
      <c r="G130" s="23" t="s">
        <v>70</v>
      </c>
      <c r="H130" s="23" t="s">
        <v>71</v>
      </c>
      <c r="I130" s="23" t="s">
        <v>72</v>
      </c>
      <c r="J130" s="23" t="s">
        <v>73</v>
      </c>
      <c r="K130" s="23" t="s">
        <v>245</v>
      </c>
      <c r="L130" s="23" t="s">
        <v>240</v>
      </c>
      <c r="M130" s="23" t="s">
        <v>246</v>
      </c>
      <c r="N130" s="23" t="s">
        <v>77</v>
      </c>
      <c r="O130" s="23" t="s">
        <v>77</v>
      </c>
      <c r="P130" s="23" t="s">
        <v>77</v>
      </c>
      <c r="Q130" s="23" t="s">
        <v>77</v>
      </c>
      <c r="R130" s="23" t="s">
        <v>79</v>
      </c>
      <c r="S130" s="20" t="s">
        <v>442</v>
      </c>
      <c r="T130" s="20"/>
    </row>
    <row r="131" spans="1:20" ht="19.5" customHeight="1" x14ac:dyDescent="0.25">
      <c r="A131" s="17" t="s">
        <v>43</v>
      </c>
      <c r="B131" s="17" t="s">
        <v>456</v>
      </c>
      <c r="C131" s="17" t="s">
        <v>43</v>
      </c>
      <c r="D131" s="17" t="s">
        <v>101</v>
      </c>
      <c r="E131" s="180"/>
      <c r="F131" s="181" t="s">
        <v>457</v>
      </c>
      <c r="G131" s="12" t="s">
        <v>70</v>
      </c>
      <c r="H131" s="12" t="s">
        <v>71</v>
      </c>
      <c r="I131" s="12" t="s">
        <v>72</v>
      </c>
      <c r="J131" s="12" t="s">
        <v>73</v>
      </c>
      <c r="K131" s="12" t="s">
        <v>245</v>
      </c>
      <c r="L131" s="12" t="s">
        <v>240</v>
      </c>
      <c r="M131" s="12" t="s">
        <v>246</v>
      </c>
      <c r="N131" s="12" t="s">
        <v>77</v>
      </c>
      <c r="O131" s="12" t="s">
        <v>77</v>
      </c>
      <c r="P131" s="12" t="s">
        <v>77</v>
      </c>
      <c r="Q131" s="12" t="s">
        <v>77</v>
      </c>
      <c r="R131" s="12" t="s">
        <v>79</v>
      </c>
      <c r="S131" s="17" t="s">
        <v>442</v>
      </c>
      <c r="T131" s="17"/>
    </row>
    <row r="132" spans="1:20" ht="19.5" customHeight="1" x14ac:dyDescent="0.25">
      <c r="A132" s="20" t="s">
        <v>43</v>
      </c>
      <c r="B132" s="20" t="s">
        <v>458</v>
      </c>
      <c r="C132" s="20" t="s">
        <v>43</v>
      </c>
      <c r="D132" s="20" t="s">
        <v>104</v>
      </c>
      <c r="E132" s="182"/>
      <c r="F132" s="183" t="s">
        <v>459</v>
      </c>
      <c r="G132" s="23" t="s">
        <v>70</v>
      </c>
      <c r="H132" s="23" t="s">
        <v>71</v>
      </c>
      <c r="I132" s="23" t="s">
        <v>72</v>
      </c>
      <c r="J132" s="23" t="s">
        <v>73</v>
      </c>
      <c r="K132" s="23" t="s">
        <v>245</v>
      </c>
      <c r="L132" s="23" t="s">
        <v>240</v>
      </c>
      <c r="M132" s="23" t="s">
        <v>246</v>
      </c>
      <c r="N132" s="23" t="s">
        <v>77</v>
      </c>
      <c r="O132" s="23" t="s">
        <v>77</v>
      </c>
      <c r="P132" s="23" t="s">
        <v>77</v>
      </c>
      <c r="Q132" s="23" t="s">
        <v>77</v>
      </c>
      <c r="R132" s="23" t="s">
        <v>79</v>
      </c>
      <c r="S132" s="20" t="s">
        <v>442</v>
      </c>
      <c r="T132" s="20"/>
    </row>
    <row r="133" spans="1:20" ht="19.5" customHeight="1" x14ac:dyDescent="0.25">
      <c r="A133" s="17" t="s">
        <v>43</v>
      </c>
      <c r="B133" s="17" t="s">
        <v>460</v>
      </c>
      <c r="C133" s="17" t="s">
        <v>43</v>
      </c>
      <c r="D133" s="17" t="s">
        <v>461</v>
      </c>
      <c r="E133" s="21"/>
      <c r="F133" s="118" t="s">
        <v>462</v>
      </c>
      <c r="G133" s="12" t="s">
        <v>70</v>
      </c>
      <c r="H133" s="12" t="s">
        <v>71</v>
      </c>
      <c r="I133" s="12" t="s">
        <v>72</v>
      </c>
      <c r="J133" s="12" t="s">
        <v>73</v>
      </c>
      <c r="K133" s="12" t="s">
        <v>245</v>
      </c>
      <c r="L133" s="12" t="s">
        <v>240</v>
      </c>
      <c r="M133" s="12" t="s">
        <v>246</v>
      </c>
      <c r="N133" s="12" t="s">
        <v>77</v>
      </c>
      <c r="O133" s="12" t="s">
        <v>77</v>
      </c>
      <c r="P133" s="12" t="s">
        <v>77</v>
      </c>
      <c r="Q133" s="12" t="s">
        <v>77</v>
      </c>
      <c r="R133" s="12" t="s">
        <v>79</v>
      </c>
      <c r="S133" s="17" t="s">
        <v>463</v>
      </c>
      <c r="T133" s="17"/>
    </row>
    <row r="134" spans="1:20" ht="19.5" customHeight="1" x14ac:dyDescent="0.25">
      <c r="A134" s="20" t="s">
        <v>44</v>
      </c>
      <c r="B134" s="20" t="s">
        <v>464</v>
      </c>
      <c r="C134" s="20" t="s">
        <v>44</v>
      </c>
      <c r="D134" s="20" t="s">
        <v>86</v>
      </c>
      <c r="E134" s="47"/>
      <c r="F134" s="25" t="s">
        <v>128</v>
      </c>
      <c r="G134" s="23" t="s">
        <v>70</v>
      </c>
      <c r="H134" s="23" t="s">
        <v>71</v>
      </c>
      <c r="I134" s="23" t="s">
        <v>72</v>
      </c>
      <c r="J134" s="23" t="s">
        <v>73</v>
      </c>
      <c r="K134" s="23" t="s">
        <v>465</v>
      </c>
      <c r="L134" s="23" t="s">
        <v>466</v>
      </c>
      <c r="M134" s="23" t="s">
        <v>76</v>
      </c>
      <c r="N134" s="23" t="s">
        <v>77</v>
      </c>
      <c r="O134" s="23" t="s">
        <v>77</v>
      </c>
      <c r="P134" s="23" t="s">
        <v>77</v>
      </c>
      <c r="Q134" s="23" t="s">
        <v>77</v>
      </c>
      <c r="R134" s="23" t="s">
        <v>79</v>
      </c>
      <c r="S134" s="20" t="s">
        <v>467</v>
      </c>
      <c r="T134" s="20" t="s">
        <v>468</v>
      </c>
    </row>
    <row r="135" spans="1:20" ht="19.5" customHeight="1" x14ac:dyDescent="0.25">
      <c r="A135" s="17" t="s">
        <v>45</v>
      </c>
      <c r="B135" s="17" t="s">
        <v>469</v>
      </c>
      <c r="C135" s="17" t="s">
        <v>45</v>
      </c>
      <c r="D135" s="17" t="s">
        <v>113</v>
      </c>
      <c r="E135" s="184"/>
      <c r="F135" s="71" t="s">
        <v>470</v>
      </c>
      <c r="G135" s="12" t="s">
        <v>70</v>
      </c>
      <c r="H135" s="12" t="s">
        <v>71</v>
      </c>
      <c r="I135" s="12" t="s">
        <v>72</v>
      </c>
      <c r="J135" s="12" t="s">
        <v>73</v>
      </c>
      <c r="K135" s="12" t="s">
        <v>471</v>
      </c>
      <c r="L135" s="12" t="s">
        <v>240</v>
      </c>
      <c r="M135" s="12" t="s">
        <v>246</v>
      </c>
      <c r="N135" s="12" t="s">
        <v>77</v>
      </c>
      <c r="O135" s="12" t="s">
        <v>77</v>
      </c>
      <c r="P135" s="12" t="s">
        <v>77</v>
      </c>
      <c r="Q135" s="12" t="s">
        <v>77</v>
      </c>
      <c r="R135" s="12" t="s">
        <v>79</v>
      </c>
      <c r="S135" s="17" t="s">
        <v>472</v>
      </c>
      <c r="T135" s="17" t="s">
        <v>473</v>
      </c>
    </row>
    <row r="136" spans="1:20" ht="19.5" customHeight="1" x14ac:dyDescent="0.25">
      <c r="A136" s="20" t="s">
        <v>46</v>
      </c>
      <c r="B136" s="20" t="s">
        <v>474</v>
      </c>
      <c r="C136" s="20" t="s">
        <v>475</v>
      </c>
      <c r="D136" s="20" t="s">
        <v>476</v>
      </c>
      <c r="E136" s="116"/>
      <c r="F136" s="41" t="s">
        <v>477</v>
      </c>
      <c r="G136" s="23" t="s">
        <v>70</v>
      </c>
      <c r="H136" s="23" t="s">
        <v>71</v>
      </c>
      <c r="I136" s="23" t="s">
        <v>72</v>
      </c>
      <c r="J136" s="23" t="s">
        <v>73</v>
      </c>
      <c r="K136" s="23" t="s">
        <v>478</v>
      </c>
      <c r="L136" s="23" t="s">
        <v>240</v>
      </c>
      <c r="M136" s="23" t="s">
        <v>246</v>
      </c>
      <c r="N136" s="23" t="s">
        <v>136</v>
      </c>
      <c r="O136" s="23" t="s">
        <v>78</v>
      </c>
      <c r="P136" s="23" t="s">
        <v>78</v>
      </c>
      <c r="Q136" s="23" t="s">
        <v>77</v>
      </c>
      <c r="R136" s="23" t="s">
        <v>131</v>
      </c>
      <c r="S136" s="20" t="s">
        <v>479</v>
      </c>
      <c r="T136" s="20" t="s">
        <v>480</v>
      </c>
    </row>
    <row r="137" spans="1:20" ht="19.5" customHeight="1" x14ac:dyDescent="0.25">
      <c r="A137" s="17" t="s">
        <v>46</v>
      </c>
      <c r="B137" s="17" t="s">
        <v>481</v>
      </c>
      <c r="C137" s="17" t="s">
        <v>475</v>
      </c>
      <c r="D137" s="17" t="s">
        <v>86</v>
      </c>
      <c r="E137" s="47"/>
      <c r="F137" s="25" t="s">
        <v>128</v>
      </c>
      <c r="G137" s="12" t="s">
        <v>70</v>
      </c>
      <c r="H137" s="12" t="s">
        <v>71</v>
      </c>
      <c r="I137" s="12" t="s">
        <v>72</v>
      </c>
      <c r="J137" s="12" t="s">
        <v>73</v>
      </c>
      <c r="K137" s="12" t="s">
        <v>478</v>
      </c>
      <c r="L137" s="12" t="s">
        <v>240</v>
      </c>
      <c r="M137" s="12" t="s">
        <v>246</v>
      </c>
      <c r="N137" s="12" t="s">
        <v>136</v>
      </c>
      <c r="O137" s="12" t="s">
        <v>78</v>
      </c>
      <c r="P137" s="12" t="s">
        <v>78</v>
      </c>
      <c r="Q137" s="12" t="s">
        <v>77</v>
      </c>
      <c r="R137" s="12" t="s">
        <v>131</v>
      </c>
      <c r="S137" s="17" t="s">
        <v>479</v>
      </c>
      <c r="T137" s="17" t="s">
        <v>480</v>
      </c>
    </row>
    <row r="138" spans="1:20" ht="19.5" customHeight="1" x14ac:dyDescent="0.25">
      <c r="A138" s="20" t="s">
        <v>46</v>
      </c>
      <c r="B138" s="20" t="s">
        <v>482</v>
      </c>
      <c r="C138" s="20" t="s">
        <v>475</v>
      </c>
      <c r="D138" s="20" t="s">
        <v>113</v>
      </c>
      <c r="E138" s="184"/>
      <c r="F138" s="71" t="s">
        <v>470</v>
      </c>
      <c r="G138" s="23" t="s">
        <v>70</v>
      </c>
      <c r="H138" s="23" t="s">
        <v>71</v>
      </c>
      <c r="I138" s="23" t="s">
        <v>72</v>
      </c>
      <c r="J138" s="23" t="s">
        <v>73</v>
      </c>
      <c r="K138" s="23" t="s">
        <v>478</v>
      </c>
      <c r="L138" s="23" t="s">
        <v>240</v>
      </c>
      <c r="M138" s="23" t="s">
        <v>246</v>
      </c>
      <c r="N138" s="23" t="s">
        <v>136</v>
      </c>
      <c r="O138" s="23" t="s">
        <v>78</v>
      </c>
      <c r="P138" s="23" t="s">
        <v>78</v>
      </c>
      <c r="Q138" s="23" t="s">
        <v>77</v>
      </c>
      <c r="R138" s="23" t="s">
        <v>131</v>
      </c>
      <c r="S138" s="20" t="s">
        <v>479</v>
      </c>
      <c r="T138" s="20" t="s">
        <v>480</v>
      </c>
    </row>
    <row r="139" spans="1:20" ht="19.5" customHeight="1" x14ac:dyDescent="0.25">
      <c r="A139" s="185" t="s">
        <v>483</v>
      </c>
      <c r="B139" s="185" t="s">
        <v>484</v>
      </c>
      <c r="C139" s="185" t="s">
        <v>485</v>
      </c>
      <c r="D139" s="185" t="s">
        <v>86</v>
      </c>
      <c r="E139" s="186"/>
      <c r="F139" s="186" t="s">
        <v>128</v>
      </c>
      <c r="G139" s="186" t="s">
        <v>70</v>
      </c>
      <c r="H139" s="186" t="s">
        <v>71</v>
      </c>
      <c r="I139" s="186" t="s">
        <v>72</v>
      </c>
      <c r="J139" s="186" t="s">
        <v>73</v>
      </c>
      <c r="K139" s="186" t="s">
        <v>486</v>
      </c>
      <c r="L139" s="186" t="s">
        <v>135</v>
      </c>
      <c r="M139" s="186" t="s">
        <v>118</v>
      </c>
      <c r="N139" s="186" t="s">
        <v>136</v>
      </c>
      <c r="O139" s="186" t="s">
        <v>78</v>
      </c>
      <c r="P139" s="186" t="s">
        <v>136</v>
      </c>
      <c r="Q139" s="186" t="s">
        <v>77</v>
      </c>
      <c r="R139" s="186" t="s">
        <v>131</v>
      </c>
      <c r="S139" s="185" t="s">
        <v>487</v>
      </c>
      <c r="T139" s="185" t="s">
        <v>488</v>
      </c>
    </row>
    <row r="140" spans="1:20" ht="19.5" customHeight="1" x14ac:dyDescent="0.25">
      <c r="A140" s="185" t="s">
        <v>483</v>
      </c>
      <c r="B140" s="185" t="s">
        <v>489</v>
      </c>
      <c r="C140" s="185" t="s">
        <v>485</v>
      </c>
      <c r="D140" s="185" t="s">
        <v>490</v>
      </c>
      <c r="E140" s="186"/>
      <c r="F140" s="186" t="s">
        <v>491</v>
      </c>
      <c r="G140" s="186" t="s">
        <v>70</v>
      </c>
      <c r="H140" s="186" t="s">
        <v>71</v>
      </c>
      <c r="I140" s="186" t="s">
        <v>72</v>
      </c>
      <c r="J140" s="186" t="s">
        <v>73</v>
      </c>
      <c r="K140" s="186" t="s">
        <v>486</v>
      </c>
      <c r="L140" s="186" t="s">
        <v>135</v>
      </c>
      <c r="M140" s="186" t="s">
        <v>118</v>
      </c>
      <c r="N140" s="186" t="s">
        <v>136</v>
      </c>
      <c r="O140" s="186" t="s">
        <v>78</v>
      </c>
      <c r="P140" s="186" t="s">
        <v>136</v>
      </c>
      <c r="Q140" s="186" t="s">
        <v>77</v>
      </c>
      <c r="R140" s="186" t="s">
        <v>131</v>
      </c>
      <c r="S140" s="185" t="s">
        <v>487</v>
      </c>
      <c r="T140" s="185" t="s">
        <v>488</v>
      </c>
    </row>
    <row r="141" spans="1:20" ht="19.5" customHeight="1" x14ac:dyDescent="0.25">
      <c r="A141" s="185" t="s">
        <v>492</v>
      </c>
      <c r="B141" s="185" t="s">
        <v>493</v>
      </c>
      <c r="C141" s="185" t="s">
        <v>492</v>
      </c>
      <c r="D141" s="185" t="s">
        <v>86</v>
      </c>
      <c r="E141" s="186"/>
      <c r="F141" s="186" t="s">
        <v>128</v>
      </c>
      <c r="G141" s="186" t="s">
        <v>70</v>
      </c>
      <c r="H141" s="186" t="s">
        <v>71</v>
      </c>
      <c r="I141" s="186" t="s">
        <v>72</v>
      </c>
      <c r="J141" s="186" t="s">
        <v>73</v>
      </c>
      <c r="K141" s="186" t="s">
        <v>156</v>
      </c>
      <c r="L141" s="186" t="s">
        <v>157</v>
      </c>
      <c r="M141" s="186" t="s">
        <v>76</v>
      </c>
      <c r="N141" s="186" t="s">
        <v>77</v>
      </c>
      <c r="O141" s="186" t="s">
        <v>77</v>
      </c>
      <c r="P141" s="186" t="s">
        <v>77</v>
      </c>
      <c r="Q141" s="186" t="s">
        <v>77</v>
      </c>
      <c r="R141" s="186" t="s">
        <v>79</v>
      </c>
      <c r="S141" s="185" t="s">
        <v>494</v>
      </c>
      <c r="T141" s="185" t="s">
        <v>495</v>
      </c>
    </row>
    <row r="142" spans="1:20" ht="19.5" customHeight="1" x14ac:dyDescent="0.25">
      <c r="A142" s="185" t="s">
        <v>496</v>
      </c>
      <c r="B142" s="185" t="s">
        <v>497</v>
      </c>
      <c r="C142" s="185" t="s">
        <v>496</v>
      </c>
      <c r="D142" s="185" t="s">
        <v>113</v>
      </c>
      <c r="E142" s="186"/>
      <c r="F142" s="186" t="s">
        <v>498</v>
      </c>
      <c r="G142" s="186" t="s">
        <v>70</v>
      </c>
      <c r="H142" s="186" t="s">
        <v>71</v>
      </c>
      <c r="I142" s="186" t="s">
        <v>72</v>
      </c>
      <c r="J142" s="186" t="s">
        <v>73</v>
      </c>
      <c r="K142" s="186" t="s">
        <v>478</v>
      </c>
      <c r="L142" s="186" t="s">
        <v>240</v>
      </c>
      <c r="M142" s="186" t="s">
        <v>246</v>
      </c>
      <c r="N142" s="186" t="s">
        <v>77</v>
      </c>
      <c r="O142" s="186" t="s">
        <v>77</v>
      </c>
      <c r="P142" s="186" t="s">
        <v>77</v>
      </c>
      <c r="Q142" s="186" t="s">
        <v>77</v>
      </c>
      <c r="R142" s="186" t="s">
        <v>79</v>
      </c>
      <c r="S142" s="185" t="s">
        <v>499</v>
      </c>
      <c r="T142" s="185" t="s">
        <v>500</v>
      </c>
    </row>
  </sheetData>
  <autoFilter ref="A2:T703" xr:uid="{00000000-0009-0000-0000-000001000000}"/>
  <mergeCells count="1">
    <mergeCell ref="A1:T1"/>
  </mergeCells>
  <conditionalFormatting sqref="J3:J703">
    <cfRule type="expression" dxfId="20" priority="18">
      <formula>$J3="Yes"</formula>
    </cfRule>
  </conditionalFormatting>
  <conditionalFormatting sqref="N3:N703">
    <cfRule type="expression" dxfId="19" priority="6">
      <formula>NOT(ISERROR(SEARCH("✓",$N3)))</formula>
    </cfRule>
    <cfRule type="expression" dxfId="18" priority="7">
      <formula>NOT(ISERROR(SEARCH("✗",$N3)))</formula>
    </cfRule>
    <cfRule type="expression" dxfId="17" priority="8">
      <formula>NOT(ISERROR(SEARCH("⚠",$N3)))</formula>
    </cfRule>
  </conditionalFormatting>
  <conditionalFormatting sqref="O3:O703">
    <cfRule type="expression" dxfId="16" priority="9">
      <formula>NOT(ISERROR(SEARCH("✓",$O3)))</formula>
    </cfRule>
    <cfRule type="expression" dxfId="15" priority="10">
      <formula>NOT(ISERROR(SEARCH("✗",$O3)))</formula>
    </cfRule>
    <cfRule type="expression" dxfId="14" priority="11">
      <formula>NOT(ISERROR(SEARCH("⚠",$O3)))</formula>
    </cfRule>
  </conditionalFormatting>
  <conditionalFormatting sqref="P3:P703">
    <cfRule type="expression" dxfId="13" priority="12">
      <formula>NOT(ISERROR(SEARCH("✓",$P3)))</formula>
    </cfRule>
    <cfRule type="expression" dxfId="12" priority="13">
      <formula>NOT(ISERROR(SEARCH("✗",$P3)))</formula>
    </cfRule>
    <cfRule type="expression" dxfId="11" priority="14">
      <formula>NOT(ISERROR(SEARCH("⚠",$P3)))</formula>
    </cfRule>
  </conditionalFormatting>
  <conditionalFormatting sqref="Q3:Q703">
    <cfRule type="expression" dxfId="10" priority="15">
      <formula>NOT(ISERROR(SEARCH("✓",$Q3)))</formula>
    </cfRule>
    <cfRule type="expression" dxfId="9" priority="16">
      <formula>NOT(ISERROR(SEARCH("✗",$Q3)))</formula>
    </cfRule>
    <cfRule type="expression" dxfId="8" priority="17">
      <formula>NOT(ISERROR(SEARCH("⚠",$Q3)))</formula>
    </cfRule>
  </conditionalFormatting>
  <conditionalFormatting sqref="R3:R703">
    <cfRule type="expression" dxfId="7" priority="2">
      <formula>$R3="S"</formula>
    </cfRule>
    <cfRule type="expression" dxfId="6" priority="3">
      <formula>$R3="A"</formula>
    </cfRule>
    <cfRule type="expression" dxfId="5" priority="4">
      <formula>$R3="B"</formula>
    </cfRule>
    <cfRule type="expression" dxfId="4" priority="5">
      <formula>$R3="C"</formula>
    </cfRule>
  </conditionalFormatting>
  <conditionalFormatting sqref="T3:T703">
    <cfRule type="expression" dxfId="3" priority="19">
      <formula>NOT(ISERROR(SEARCH("hardened nozzle",$T3)))</formula>
    </cfRule>
  </conditionalFormatting>
  <dataValidations count="5">
    <dataValidation type="list" allowBlank="1" sqref="R3:R243" xr:uid="{00000000-0002-0000-0100-000000000000}">
      <formula1>"S,A,B,C"</formula1>
      <formula2>0</formula2>
    </dataValidation>
    <dataValidation type="list" allowBlank="1" sqref="I3:I243" xr:uid="{00000000-0002-0000-0100-000001000000}">
      <formula1>"Cardboard,Plastic"</formula1>
      <formula2>0</formula2>
    </dataValidation>
    <dataValidation type="list" allowBlank="1" sqref="J3:J243" xr:uid="{00000000-0002-0000-0100-000002000000}">
      <formula1>"Yes,No"</formula1>
      <formula2>0</formula2>
    </dataValidation>
    <dataValidation type="list" allowBlank="1" sqref="G3:G243" xr:uid="{00000000-0002-0000-0100-000003000000}">
      <formula1>"1.75mm,2.85mm"</formula1>
      <formula2>0</formula2>
    </dataValidation>
    <dataValidation type="list" allowBlank="1" sqref="N3:Q243" xr:uid="{00000000-0002-0000-0100-000004000000}">
      <formula1>"✓,✗,⚠"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H31"/>
  <sheetViews>
    <sheetView zoomScaleNormal="100" workbookViewId="0">
      <pane ySplit="2" topLeftCell="A3" activePane="bottomLeft" state="frozen"/>
      <selection pane="bottomLeft" sqref="A1:H1"/>
    </sheetView>
  </sheetViews>
  <sheetFormatPr defaultColWidth="8.7109375" defaultRowHeight="15" x14ac:dyDescent="0.25"/>
  <cols>
    <col min="1" max="1" width="14.85546875" bestFit="1" customWidth="1"/>
    <col min="2" max="2" width="16.140625" bestFit="1" customWidth="1"/>
    <col min="3" max="3" width="15.42578125" bestFit="1" customWidth="1"/>
    <col min="4" max="4" width="15" bestFit="1" customWidth="1"/>
    <col min="5" max="5" width="16" bestFit="1" customWidth="1"/>
    <col min="6" max="6" width="20.42578125" bestFit="1" customWidth="1"/>
    <col min="7" max="7" width="19" bestFit="1" customWidth="1"/>
    <col min="8" max="8" width="203.85546875" bestFit="1" customWidth="1"/>
  </cols>
  <sheetData>
    <row r="1" spans="1:8" ht="30" customHeight="1" x14ac:dyDescent="0.25">
      <c r="A1" s="191" t="s">
        <v>501</v>
      </c>
      <c r="B1" s="191"/>
      <c r="C1" s="191"/>
      <c r="D1" s="191"/>
      <c r="E1" s="191"/>
      <c r="F1" s="191"/>
      <c r="G1" s="191"/>
      <c r="H1" s="191"/>
    </row>
    <row r="2" spans="1:8" ht="33.75" customHeight="1" x14ac:dyDescent="0.25">
      <c r="A2" s="16" t="s">
        <v>502</v>
      </c>
      <c r="B2" s="16" t="s">
        <v>57</v>
      </c>
      <c r="C2" s="16" t="s">
        <v>58</v>
      </c>
      <c r="D2" s="16" t="s">
        <v>503</v>
      </c>
      <c r="E2" s="16" t="s">
        <v>504</v>
      </c>
      <c r="F2" s="16" t="s">
        <v>505</v>
      </c>
      <c r="G2" s="16" t="s">
        <v>59</v>
      </c>
      <c r="H2" s="16" t="s">
        <v>66</v>
      </c>
    </row>
    <row r="3" spans="1:8" ht="19.5" customHeight="1" x14ac:dyDescent="0.25">
      <c r="A3" s="17" t="s">
        <v>35</v>
      </c>
      <c r="B3" s="12" t="s">
        <v>245</v>
      </c>
      <c r="C3" s="12" t="s">
        <v>240</v>
      </c>
      <c r="D3" s="12" t="s">
        <v>73</v>
      </c>
      <c r="E3" s="12" t="s">
        <v>506</v>
      </c>
      <c r="F3" s="12" t="s">
        <v>507</v>
      </c>
      <c r="G3" s="12" t="s">
        <v>246</v>
      </c>
      <c r="H3" s="17" t="s">
        <v>508</v>
      </c>
    </row>
    <row r="4" spans="1:8" ht="19.5" customHeight="1" x14ac:dyDescent="0.25">
      <c r="A4" s="20" t="s">
        <v>39</v>
      </c>
      <c r="B4" s="23" t="s">
        <v>245</v>
      </c>
      <c r="C4" s="23" t="s">
        <v>240</v>
      </c>
      <c r="D4" s="23" t="s">
        <v>73</v>
      </c>
      <c r="E4" s="23" t="s">
        <v>506</v>
      </c>
      <c r="F4" s="23" t="s">
        <v>507</v>
      </c>
      <c r="G4" s="23" t="s">
        <v>246</v>
      </c>
      <c r="H4" s="20" t="s">
        <v>509</v>
      </c>
    </row>
    <row r="5" spans="1:8" ht="19.5" customHeight="1" x14ac:dyDescent="0.25">
      <c r="A5" s="17" t="s">
        <v>43</v>
      </c>
      <c r="B5" s="12" t="s">
        <v>245</v>
      </c>
      <c r="C5" s="12" t="s">
        <v>240</v>
      </c>
      <c r="D5" s="12" t="s">
        <v>73</v>
      </c>
      <c r="E5" s="12" t="s">
        <v>506</v>
      </c>
      <c r="F5" s="12" t="s">
        <v>507</v>
      </c>
      <c r="G5" s="12" t="s">
        <v>246</v>
      </c>
      <c r="H5" s="17" t="s">
        <v>510</v>
      </c>
    </row>
    <row r="6" spans="1:8" ht="19.5" customHeight="1" x14ac:dyDescent="0.25">
      <c r="A6" s="20" t="s">
        <v>30</v>
      </c>
      <c r="B6" s="23" t="s">
        <v>156</v>
      </c>
      <c r="C6" s="23" t="s">
        <v>157</v>
      </c>
      <c r="D6" s="23" t="s">
        <v>73</v>
      </c>
      <c r="E6" s="23" t="s">
        <v>506</v>
      </c>
      <c r="F6" s="23" t="s">
        <v>506</v>
      </c>
      <c r="G6" s="23" t="s">
        <v>76</v>
      </c>
      <c r="H6" s="20" t="s">
        <v>511</v>
      </c>
    </row>
    <row r="7" spans="1:8" ht="19.5" customHeight="1" x14ac:dyDescent="0.25">
      <c r="A7" s="17" t="s">
        <v>31</v>
      </c>
      <c r="B7" s="12" t="s">
        <v>193</v>
      </c>
      <c r="C7" s="12" t="s">
        <v>194</v>
      </c>
      <c r="D7" s="12" t="s">
        <v>73</v>
      </c>
      <c r="E7" s="12" t="s">
        <v>506</v>
      </c>
      <c r="F7" s="12" t="s">
        <v>506</v>
      </c>
      <c r="G7" s="12" t="s">
        <v>76</v>
      </c>
      <c r="H7" s="17" t="s">
        <v>512</v>
      </c>
    </row>
    <row r="8" spans="1:8" ht="19.5" customHeight="1" x14ac:dyDescent="0.25">
      <c r="A8" s="20" t="s">
        <v>492</v>
      </c>
      <c r="B8" s="23" t="s">
        <v>156</v>
      </c>
      <c r="C8" s="23" t="s">
        <v>157</v>
      </c>
      <c r="D8" s="23" t="s">
        <v>73</v>
      </c>
      <c r="E8" s="23" t="s">
        <v>506</v>
      </c>
      <c r="F8" s="23" t="s">
        <v>506</v>
      </c>
      <c r="G8" s="23" t="s">
        <v>76</v>
      </c>
      <c r="H8" s="20" t="s">
        <v>513</v>
      </c>
    </row>
    <row r="9" spans="1:8" ht="19.5" customHeight="1" x14ac:dyDescent="0.25">
      <c r="A9" s="17" t="s">
        <v>24</v>
      </c>
      <c r="B9" s="12" t="s">
        <v>74</v>
      </c>
      <c r="C9" s="12" t="s">
        <v>75</v>
      </c>
      <c r="D9" s="12" t="s">
        <v>506</v>
      </c>
      <c r="E9" s="12" t="s">
        <v>506</v>
      </c>
      <c r="F9" s="12" t="s">
        <v>506</v>
      </c>
      <c r="G9" s="12" t="s">
        <v>76</v>
      </c>
      <c r="H9" s="17" t="s">
        <v>514</v>
      </c>
    </row>
    <row r="10" spans="1:8" ht="19.5" customHeight="1" x14ac:dyDescent="0.25">
      <c r="A10" s="20" t="s">
        <v>25</v>
      </c>
      <c r="B10" s="23" t="s">
        <v>74</v>
      </c>
      <c r="C10" s="23" t="s">
        <v>75</v>
      </c>
      <c r="D10" s="23" t="s">
        <v>506</v>
      </c>
      <c r="E10" s="23" t="s">
        <v>506</v>
      </c>
      <c r="F10" s="23" t="s">
        <v>506</v>
      </c>
      <c r="G10" s="23" t="s">
        <v>118</v>
      </c>
      <c r="H10" s="20" t="s">
        <v>515</v>
      </c>
    </row>
    <row r="11" spans="1:8" ht="19.5" customHeight="1" x14ac:dyDescent="0.25">
      <c r="A11" s="17" t="s">
        <v>44</v>
      </c>
      <c r="B11" s="12" t="s">
        <v>465</v>
      </c>
      <c r="C11" s="12" t="s">
        <v>466</v>
      </c>
      <c r="D11" s="12" t="s">
        <v>73</v>
      </c>
      <c r="E11" s="12" t="s">
        <v>506</v>
      </c>
      <c r="F11" s="12" t="s">
        <v>506</v>
      </c>
      <c r="G11" s="12" t="s">
        <v>76</v>
      </c>
      <c r="H11" s="17" t="s">
        <v>516</v>
      </c>
    </row>
    <row r="12" spans="1:8" ht="19.5" customHeight="1" x14ac:dyDescent="0.25">
      <c r="A12" s="20" t="s">
        <v>33</v>
      </c>
      <c r="B12" s="23" t="s">
        <v>193</v>
      </c>
      <c r="C12" s="23" t="s">
        <v>157</v>
      </c>
      <c r="D12" s="23" t="s">
        <v>73</v>
      </c>
      <c r="E12" s="23" t="s">
        <v>506</v>
      </c>
      <c r="F12" s="23" t="s">
        <v>506</v>
      </c>
      <c r="G12" s="23" t="s">
        <v>76</v>
      </c>
      <c r="H12" s="20" t="s">
        <v>517</v>
      </c>
    </row>
    <row r="13" spans="1:8" ht="19.5" customHeight="1" x14ac:dyDescent="0.25">
      <c r="A13" s="17" t="s">
        <v>41</v>
      </c>
      <c r="B13" s="12" t="s">
        <v>245</v>
      </c>
      <c r="C13" s="12" t="s">
        <v>240</v>
      </c>
      <c r="D13" s="12" t="s">
        <v>73</v>
      </c>
      <c r="E13" s="12" t="s">
        <v>506</v>
      </c>
      <c r="F13" s="12" t="s">
        <v>507</v>
      </c>
      <c r="G13" s="12" t="s">
        <v>246</v>
      </c>
      <c r="H13" s="17" t="s">
        <v>518</v>
      </c>
    </row>
    <row r="14" spans="1:8" ht="19.5" customHeight="1" x14ac:dyDescent="0.25">
      <c r="A14" s="20" t="s">
        <v>483</v>
      </c>
      <c r="B14" s="23" t="s">
        <v>486</v>
      </c>
      <c r="C14" s="23" t="s">
        <v>135</v>
      </c>
      <c r="D14" s="23" t="s">
        <v>73</v>
      </c>
      <c r="E14" s="23" t="s">
        <v>136</v>
      </c>
      <c r="F14" s="23" t="s">
        <v>506</v>
      </c>
      <c r="G14" s="23" t="s">
        <v>118</v>
      </c>
      <c r="H14" s="20" t="s">
        <v>519</v>
      </c>
    </row>
    <row r="15" spans="1:8" ht="19.5" customHeight="1" x14ac:dyDescent="0.25">
      <c r="A15" s="17" t="s">
        <v>27</v>
      </c>
      <c r="B15" s="12" t="s">
        <v>129</v>
      </c>
      <c r="C15" s="12" t="s">
        <v>135</v>
      </c>
      <c r="D15" s="12" t="s">
        <v>73</v>
      </c>
      <c r="E15" s="12" t="s">
        <v>506</v>
      </c>
      <c r="F15" s="12" t="s">
        <v>506</v>
      </c>
      <c r="G15" s="12" t="s">
        <v>118</v>
      </c>
      <c r="H15" s="17" t="s">
        <v>520</v>
      </c>
    </row>
    <row r="16" spans="1:8" ht="19.5" customHeight="1" x14ac:dyDescent="0.25">
      <c r="A16" s="20" t="s">
        <v>29</v>
      </c>
      <c r="B16" s="23" t="s">
        <v>129</v>
      </c>
      <c r="C16" s="23" t="s">
        <v>150</v>
      </c>
      <c r="D16" s="23" t="s">
        <v>506</v>
      </c>
      <c r="E16" s="23" t="s">
        <v>136</v>
      </c>
      <c r="F16" s="23" t="s">
        <v>506</v>
      </c>
      <c r="G16" s="23" t="s">
        <v>118</v>
      </c>
      <c r="H16" s="20" t="s">
        <v>521</v>
      </c>
    </row>
    <row r="17" spans="1:8" ht="19.5" customHeight="1" x14ac:dyDescent="0.25">
      <c r="A17" s="17" t="s">
        <v>45</v>
      </c>
      <c r="B17" s="12" t="s">
        <v>471</v>
      </c>
      <c r="C17" s="12" t="s">
        <v>240</v>
      </c>
      <c r="D17" s="12" t="s">
        <v>73</v>
      </c>
      <c r="E17" s="12" t="s">
        <v>506</v>
      </c>
      <c r="F17" s="12" t="s">
        <v>506</v>
      </c>
      <c r="G17" s="12" t="s">
        <v>246</v>
      </c>
      <c r="H17" s="17" t="s">
        <v>522</v>
      </c>
    </row>
    <row r="18" spans="1:8" ht="19.5" customHeight="1" x14ac:dyDescent="0.25">
      <c r="A18" s="20" t="s">
        <v>496</v>
      </c>
      <c r="B18" s="23" t="s">
        <v>478</v>
      </c>
      <c r="C18" s="23" t="s">
        <v>240</v>
      </c>
      <c r="D18" s="23" t="s">
        <v>73</v>
      </c>
      <c r="E18" s="23" t="s">
        <v>506</v>
      </c>
      <c r="F18" s="23" t="s">
        <v>506</v>
      </c>
      <c r="G18" s="23" t="s">
        <v>246</v>
      </c>
      <c r="H18" s="20" t="s">
        <v>523</v>
      </c>
    </row>
    <row r="19" spans="1:8" ht="19.5" customHeight="1" x14ac:dyDescent="0.25">
      <c r="A19" s="17" t="s">
        <v>44</v>
      </c>
      <c r="B19" s="12" t="s">
        <v>465</v>
      </c>
      <c r="C19" s="12" t="s">
        <v>466</v>
      </c>
      <c r="D19" s="12" t="s">
        <v>73</v>
      </c>
      <c r="E19" s="12" t="s">
        <v>506</v>
      </c>
      <c r="F19" s="12" t="s">
        <v>506</v>
      </c>
      <c r="G19" s="12" t="s">
        <v>76</v>
      </c>
      <c r="H19" s="17" t="s">
        <v>524</v>
      </c>
    </row>
    <row r="20" spans="1:8" ht="19.5" customHeight="1" x14ac:dyDescent="0.25">
      <c r="A20" s="20" t="s">
        <v>33</v>
      </c>
      <c r="B20" s="23" t="s">
        <v>193</v>
      </c>
      <c r="C20" s="23" t="s">
        <v>157</v>
      </c>
      <c r="D20" s="23" t="s">
        <v>73</v>
      </c>
      <c r="E20" s="23" t="s">
        <v>506</v>
      </c>
      <c r="F20" s="23" t="s">
        <v>506</v>
      </c>
      <c r="G20" s="23" t="s">
        <v>76</v>
      </c>
      <c r="H20" s="20" t="s">
        <v>517</v>
      </c>
    </row>
    <row r="21" spans="1:8" ht="19.5" customHeight="1" x14ac:dyDescent="0.25">
      <c r="A21" s="17" t="s">
        <v>41</v>
      </c>
      <c r="B21" s="12" t="s">
        <v>245</v>
      </c>
      <c r="C21" s="12" t="s">
        <v>240</v>
      </c>
      <c r="D21" s="12" t="s">
        <v>73</v>
      </c>
      <c r="E21" s="12" t="s">
        <v>506</v>
      </c>
      <c r="F21" s="12" t="s">
        <v>507</v>
      </c>
      <c r="G21" s="12" t="s">
        <v>246</v>
      </c>
      <c r="H21" s="17" t="s">
        <v>518</v>
      </c>
    </row>
    <row r="22" spans="1:8" ht="19.5" customHeight="1" x14ac:dyDescent="0.25">
      <c r="A22" s="20" t="s">
        <v>483</v>
      </c>
      <c r="B22" s="23" t="s">
        <v>486</v>
      </c>
      <c r="C22" s="23" t="s">
        <v>135</v>
      </c>
      <c r="D22" s="23" t="s">
        <v>73</v>
      </c>
      <c r="E22" s="23" t="s">
        <v>136</v>
      </c>
      <c r="F22" s="23" t="s">
        <v>506</v>
      </c>
      <c r="G22" s="23" t="s">
        <v>118</v>
      </c>
      <c r="H22" s="20" t="s">
        <v>519</v>
      </c>
    </row>
    <row r="23" spans="1:8" ht="19.5" customHeight="1" x14ac:dyDescent="0.25">
      <c r="A23" s="17" t="s">
        <v>27</v>
      </c>
      <c r="B23" s="12" t="s">
        <v>129</v>
      </c>
      <c r="C23" s="12" t="s">
        <v>135</v>
      </c>
      <c r="D23" s="12" t="s">
        <v>73</v>
      </c>
      <c r="E23" s="12" t="s">
        <v>136</v>
      </c>
      <c r="F23" s="12" t="s">
        <v>506</v>
      </c>
      <c r="G23" s="12" t="s">
        <v>118</v>
      </c>
      <c r="H23" s="17" t="s">
        <v>525</v>
      </c>
    </row>
    <row r="24" spans="1:8" ht="19.5" customHeight="1" x14ac:dyDescent="0.25">
      <c r="A24" s="20" t="s">
        <v>29</v>
      </c>
      <c r="B24" s="23" t="s">
        <v>129</v>
      </c>
      <c r="C24" s="23" t="s">
        <v>150</v>
      </c>
      <c r="D24" s="23" t="s">
        <v>506</v>
      </c>
      <c r="E24" s="23" t="s">
        <v>136</v>
      </c>
      <c r="F24" s="23" t="s">
        <v>506</v>
      </c>
      <c r="G24" s="23" t="s">
        <v>118</v>
      </c>
      <c r="H24" s="20" t="s">
        <v>521</v>
      </c>
    </row>
    <row r="25" spans="1:8" ht="19.5" customHeight="1" x14ac:dyDescent="0.25">
      <c r="A25" s="17" t="s">
        <v>45</v>
      </c>
      <c r="B25" s="12" t="s">
        <v>471</v>
      </c>
      <c r="C25" s="12" t="s">
        <v>240</v>
      </c>
      <c r="D25" s="12" t="s">
        <v>73</v>
      </c>
      <c r="E25" s="12" t="s">
        <v>506</v>
      </c>
      <c r="F25" s="12" t="s">
        <v>506</v>
      </c>
      <c r="G25" s="12" t="s">
        <v>246</v>
      </c>
      <c r="H25" s="17" t="s">
        <v>522</v>
      </c>
    </row>
    <row r="26" spans="1:8" ht="19.5" customHeight="1" x14ac:dyDescent="0.25">
      <c r="A26" s="20" t="s">
        <v>496</v>
      </c>
      <c r="B26" s="23" t="s">
        <v>478</v>
      </c>
      <c r="C26" s="23" t="s">
        <v>240</v>
      </c>
      <c r="D26" s="23" t="s">
        <v>73</v>
      </c>
      <c r="E26" s="23" t="s">
        <v>506</v>
      </c>
      <c r="F26" s="23" t="s">
        <v>506</v>
      </c>
      <c r="G26" s="23" t="s">
        <v>246</v>
      </c>
      <c r="H26" s="20" t="s">
        <v>523</v>
      </c>
    </row>
    <row r="27" spans="1:8" ht="19.5" customHeight="1" x14ac:dyDescent="0.25">
      <c r="A27" s="17" t="s">
        <v>38</v>
      </c>
      <c r="B27" s="12" t="s">
        <v>245</v>
      </c>
      <c r="C27" s="12" t="s">
        <v>240</v>
      </c>
      <c r="D27" s="12" t="s">
        <v>73</v>
      </c>
      <c r="E27" s="12" t="s">
        <v>506</v>
      </c>
      <c r="F27" s="12" t="s">
        <v>507</v>
      </c>
      <c r="G27" s="12" t="s">
        <v>246</v>
      </c>
      <c r="H27" s="17" t="s">
        <v>526</v>
      </c>
    </row>
    <row r="28" spans="1:8" ht="19.5" customHeight="1" x14ac:dyDescent="0.25">
      <c r="A28" s="20" t="s">
        <v>42</v>
      </c>
      <c r="B28" s="23" t="s">
        <v>245</v>
      </c>
      <c r="C28" s="23" t="s">
        <v>240</v>
      </c>
      <c r="D28" s="23" t="s">
        <v>73</v>
      </c>
      <c r="E28" s="23" t="s">
        <v>506</v>
      </c>
      <c r="F28" s="23" t="s">
        <v>507</v>
      </c>
      <c r="G28" s="23" t="s">
        <v>246</v>
      </c>
      <c r="H28" s="20" t="s">
        <v>527</v>
      </c>
    </row>
    <row r="29" spans="1:8" ht="19.5" customHeight="1" x14ac:dyDescent="0.25">
      <c r="A29" s="17" t="s">
        <v>36</v>
      </c>
      <c r="B29" s="12" t="s">
        <v>245</v>
      </c>
      <c r="C29" s="12" t="s">
        <v>240</v>
      </c>
      <c r="D29" s="12" t="s">
        <v>73</v>
      </c>
      <c r="E29" s="12" t="s">
        <v>506</v>
      </c>
      <c r="F29" s="12" t="s">
        <v>507</v>
      </c>
      <c r="G29" s="12" t="s">
        <v>246</v>
      </c>
      <c r="H29" s="17" t="s">
        <v>528</v>
      </c>
    </row>
    <row r="30" spans="1:8" ht="19.5" customHeight="1" x14ac:dyDescent="0.25">
      <c r="A30" s="20" t="s">
        <v>26</v>
      </c>
      <c r="B30" s="23" t="s">
        <v>129</v>
      </c>
      <c r="C30" s="23" t="s">
        <v>130</v>
      </c>
      <c r="D30" s="23" t="s">
        <v>506</v>
      </c>
      <c r="E30" s="23" t="s">
        <v>506</v>
      </c>
      <c r="F30" s="23" t="s">
        <v>506</v>
      </c>
      <c r="G30" s="23" t="s">
        <v>118</v>
      </c>
      <c r="H30" s="20" t="s">
        <v>529</v>
      </c>
    </row>
    <row r="31" spans="1:8" ht="19.5" customHeight="1" x14ac:dyDescent="0.25">
      <c r="A31" s="17" t="s">
        <v>46</v>
      </c>
      <c r="B31" s="12" t="s">
        <v>478</v>
      </c>
      <c r="C31" s="12" t="s">
        <v>240</v>
      </c>
      <c r="D31" s="12" t="s">
        <v>73</v>
      </c>
      <c r="E31" s="12" t="s">
        <v>136</v>
      </c>
      <c r="F31" s="12" t="s">
        <v>506</v>
      </c>
      <c r="G31" s="12" t="s">
        <v>246</v>
      </c>
      <c r="H31" s="17" t="s">
        <v>530</v>
      </c>
    </row>
  </sheetData>
  <autoFilter ref="A2:H63" xr:uid="{00000000-0009-0000-0000-000002000000}"/>
  <mergeCells count="1">
    <mergeCell ref="A1:H1"/>
  </mergeCells>
  <conditionalFormatting sqref="D3:D42">
    <cfRule type="expression" dxfId="2" priority="2">
      <formula>$D3="Yes"</formula>
    </cfRule>
  </conditionalFormatting>
  <conditionalFormatting sqref="E3:E42">
    <cfRule type="expression" dxfId="1" priority="3">
      <formula>$E3="No"</formula>
    </cfRule>
    <cfRule type="expression" dxfId="0" priority="4">
      <formula>NOT(ISERROR(SEARCH("⚠",$E3)))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</sheetPr>
  <dimension ref="A1:C8"/>
  <sheetViews>
    <sheetView zoomScaleNormal="100" workbookViewId="0">
      <selection sqref="A1:C1"/>
    </sheetView>
  </sheetViews>
  <sheetFormatPr defaultColWidth="8.7109375" defaultRowHeight="15" x14ac:dyDescent="0.25"/>
  <cols>
    <col min="1" max="1" width="14.28515625" bestFit="1" customWidth="1"/>
    <col min="2" max="2" width="219.7109375" bestFit="1" customWidth="1"/>
    <col min="3" max="3" width="72.85546875" bestFit="1" customWidth="1"/>
  </cols>
  <sheetData>
    <row r="1" spans="1:3" ht="25.5" customHeight="1" x14ac:dyDescent="0.25">
      <c r="A1" s="197" t="s">
        <v>531</v>
      </c>
      <c r="B1" s="197"/>
      <c r="C1" s="197"/>
    </row>
    <row r="2" spans="1:3" ht="21.75" customHeight="1" x14ac:dyDescent="0.25">
      <c r="A2" s="13" t="s">
        <v>532</v>
      </c>
      <c r="B2" s="13" t="s">
        <v>533</v>
      </c>
      <c r="C2" s="13" t="s">
        <v>66</v>
      </c>
    </row>
    <row r="3" spans="1:3" ht="18" customHeight="1" x14ac:dyDescent="0.25">
      <c r="A3" s="187" t="s">
        <v>534</v>
      </c>
      <c r="B3" s="188" t="s">
        <v>535</v>
      </c>
      <c r="C3" s="189"/>
    </row>
    <row r="4" spans="1:3" ht="18" customHeight="1" x14ac:dyDescent="0.25">
      <c r="A4" s="187" t="s">
        <v>536</v>
      </c>
      <c r="B4" s="190" t="s">
        <v>537</v>
      </c>
      <c r="C4" s="189"/>
    </row>
    <row r="5" spans="1:3" ht="18" customHeight="1" x14ac:dyDescent="0.25">
      <c r="A5" s="187" t="s">
        <v>538</v>
      </c>
      <c r="B5" s="190" t="s">
        <v>539</v>
      </c>
      <c r="C5" s="189" t="s">
        <v>540</v>
      </c>
    </row>
    <row r="6" spans="1:3" ht="18" customHeight="1" x14ac:dyDescent="0.25">
      <c r="A6" s="187" t="s">
        <v>541</v>
      </c>
      <c r="B6" s="190" t="s">
        <v>542</v>
      </c>
      <c r="C6" s="189" t="s">
        <v>543</v>
      </c>
    </row>
    <row r="7" spans="1:3" ht="18" customHeight="1" x14ac:dyDescent="0.25">
      <c r="A7" s="187" t="s">
        <v>544</v>
      </c>
      <c r="B7" s="190" t="s">
        <v>545</v>
      </c>
      <c r="C7" s="189" t="s">
        <v>546</v>
      </c>
    </row>
    <row r="8" spans="1:3" ht="18" customHeight="1" x14ac:dyDescent="0.25">
      <c r="A8" s="187" t="s">
        <v>547</v>
      </c>
      <c r="B8" s="190" t="s">
        <v>548</v>
      </c>
      <c r="C8" s="189" t="s">
        <v>549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Catalog</vt:lpstr>
      <vt:lpstr>Material Guide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Wayne Varnado</cp:lastModifiedBy>
  <cp:revision>0</cp:revision>
  <dcterms:created xsi:type="dcterms:W3CDTF">2026-10-04T18:45:14Z</dcterms:created>
  <dcterms:modified xsi:type="dcterms:W3CDTF">2026-10-05T17:51:07Z</dcterms:modified>
  <dc:language>en-US</dc:language>
</cp:coreProperties>
</file>