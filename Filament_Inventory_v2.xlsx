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wvarn\Downloads\"/>
    </mc:Choice>
  </mc:AlternateContent>
  <xr:revisionPtr revIDLastSave="0" documentId="13_ncr:1_{85BB4D49-EBB7-4532-B99F-9F1969FB1B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" sheetId="1" r:id="rId1"/>
    <sheet name="Inventory" sheetId="2" r:id="rId2"/>
    <sheet name="Config" sheetId="3" r:id="rId3"/>
  </sheets>
  <definedNames>
    <definedName name="_xlnm._FilterDatabase" localSheetId="1" hidden="1">Inventory!$A$2:$U$67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7" i="2" l="1"/>
  <c r="O67" i="2"/>
  <c r="U66" i="2"/>
  <c r="O66" i="2"/>
  <c r="B6" i="1" s="1"/>
  <c r="U65" i="2"/>
  <c r="O65" i="2"/>
  <c r="U64" i="2"/>
  <c r="O64" i="2"/>
  <c r="U63" i="2"/>
  <c r="O63" i="2"/>
  <c r="U62" i="2"/>
  <c r="O62" i="2"/>
  <c r="U61" i="2"/>
  <c r="O61" i="2"/>
  <c r="U60" i="2"/>
  <c r="O60" i="2"/>
  <c r="U59" i="2"/>
  <c r="O59" i="2"/>
  <c r="U58" i="2"/>
  <c r="O58" i="2"/>
  <c r="U57" i="2"/>
  <c r="O57" i="2"/>
  <c r="U56" i="2"/>
  <c r="O56" i="2"/>
  <c r="U55" i="2"/>
  <c r="O55" i="2"/>
  <c r="U54" i="2"/>
  <c r="O54" i="2"/>
  <c r="U53" i="2"/>
  <c r="O53" i="2"/>
  <c r="U52" i="2"/>
  <c r="O52" i="2"/>
  <c r="U51" i="2"/>
  <c r="O51" i="2"/>
  <c r="U50" i="2"/>
  <c r="O50" i="2"/>
  <c r="U49" i="2"/>
  <c r="O49" i="2"/>
  <c r="U48" i="2"/>
  <c r="O48" i="2"/>
  <c r="U47" i="2"/>
  <c r="O47" i="2"/>
  <c r="U46" i="2"/>
  <c r="O46" i="2"/>
  <c r="U45" i="2"/>
  <c r="O45" i="2"/>
  <c r="U44" i="2"/>
  <c r="O44" i="2"/>
  <c r="U43" i="2"/>
  <c r="O43" i="2"/>
  <c r="U42" i="2"/>
  <c r="O42" i="2"/>
  <c r="U41" i="2"/>
  <c r="O41" i="2"/>
  <c r="U40" i="2"/>
  <c r="O40" i="2"/>
  <c r="U39" i="2"/>
  <c r="O39" i="2"/>
  <c r="U38" i="2"/>
  <c r="O38" i="2"/>
  <c r="U37" i="2"/>
  <c r="O37" i="2"/>
  <c r="U36" i="2"/>
  <c r="O36" i="2"/>
  <c r="U35" i="2"/>
  <c r="O35" i="2"/>
  <c r="U34" i="2"/>
  <c r="O34" i="2"/>
  <c r="U33" i="2"/>
  <c r="O33" i="2"/>
  <c r="U32" i="2"/>
  <c r="O32" i="2"/>
  <c r="U31" i="2"/>
  <c r="O31" i="2"/>
  <c r="U30" i="2"/>
  <c r="O30" i="2"/>
  <c r="U29" i="2"/>
  <c r="O29" i="2"/>
  <c r="U28" i="2"/>
  <c r="O28" i="2"/>
  <c r="U27" i="2"/>
  <c r="O27" i="2"/>
  <c r="U26" i="2"/>
  <c r="O26" i="2"/>
  <c r="U25" i="2"/>
  <c r="O25" i="2"/>
  <c r="U24" i="2"/>
  <c r="O24" i="2"/>
  <c r="U23" i="2"/>
  <c r="O23" i="2"/>
  <c r="U22" i="2"/>
  <c r="O22" i="2"/>
  <c r="U21" i="2"/>
  <c r="O21" i="2"/>
  <c r="U20" i="2"/>
  <c r="O20" i="2"/>
  <c r="U19" i="2"/>
  <c r="O19" i="2"/>
  <c r="U18" i="2"/>
  <c r="O18" i="2"/>
  <c r="U17" i="2"/>
  <c r="O17" i="2"/>
  <c r="U16" i="2"/>
  <c r="O16" i="2"/>
  <c r="U15" i="2"/>
  <c r="O15" i="2"/>
  <c r="U14" i="2"/>
  <c r="O14" i="2"/>
  <c r="U13" i="2"/>
  <c r="O13" i="2"/>
  <c r="U12" i="2"/>
  <c r="O12" i="2"/>
  <c r="U11" i="2"/>
  <c r="O11" i="2"/>
  <c r="U10" i="2"/>
  <c r="O10" i="2"/>
  <c r="U9" i="2"/>
  <c r="O9" i="2"/>
  <c r="U8" i="2"/>
  <c r="O8" i="2"/>
  <c r="U7" i="2"/>
  <c r="O7" i="2"/>
  <c r="U6" i="2"/>
  <c r="O6" i="2"/>
  <c r="U5" i="2"/>
  <c r="O5" i="2"/>
  <c r="U4" i="2"/>
  <c r="O4" i="2"/>
  <c r="U3" i="2"/>
  <c r="O3" i="2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B7" i="1"/>
  <c r="B5" i="1"/>
  <c r="B4" i="1"/>
</calcChain>
</file>

<file path=xl/sharedStrings.xml><?xml version="1.0" encoding="utf-8"?>
<sst xmlns="http://schemas.openxmlformats.org/spreadsheetml/2006/main" count="227" uniqueCount="120">
  <si>
    <t>Filament Inventory — Dashboard</t>
  </si>
  <si>
    <t xml:space="preserve">  SUMMARY</t>
  </si>
  <si>
    <t>Total Spools in Stock</t>
  </si>
  <si>
    <t>Total Inventory Value</t>
  </si>
  <si>
    <t>Items at Reorder Point</t>
  </si>
  <si>
    <t>Reorder Threshold (from Config)</t>
  </si>
  <si>
    <t xml:space="preserve">  BY BRAND</t>
  </si>
  <si>
    <t>Brand</t>
  </si>
  <si>
    <t>Spools in Stock</t>
  </si>
  <si>
    <t>Total Value</t>
  </si>
  <si>
    <t>AzureFilm</t>
  </si>
  <si>
    <t>Bambu Lab</t>
  </si>
  <si>
    <t>Creality Hyper</t>
  </si>
  <si>
    <t>Hatchbox</t>
  </si>
  <si>
    <t>MatterHackers</t>
  </si>
  <si>
    <t>Overture</t>
  </si>
  <si>
    <t>Polymaker</t>
  </si>
  <si>
    <t>Prusament</t>
  </si>
  <si>
    <t>SUNLU</t>
  </si>
  <si>
    <t>VoxelPLA</t>
  </si>
  <si>
    <t>eSUN</t>
  </si>
  <si>
    <t>Filament Inventory — On-Hand Spools (All Brands)</t>
  </si>
  <si>
    <t>SKU</t>
  </si>
  <si>
    <t>Material Type</t>
  </si>
  <si>
    <t>Product Name</t>
  </si>
  <si>
    <t>Color Name</t>
  </si>
  <si>
    <t>Color Swatch</t>
  </si>
  <si>
    <t>Hex Code</t>
  </si>
  <si>
    <t>Diameter</t>
  </si>
  <si>
    <t>Lot / Batch Code</t>
  </si>
  <si>
    <t>Date Purchased</t>
  </si>
  <si>
    <t>Where Purchased</t>
  </si>
  <si>
    <t>List Price</t>
  </si>
  <si>
    <t>Price Paid</t>
  </si>
  <si>
    <t>Quantity in Stock</t>
  </si>
  <si>
    <t>Reorder Flag</t>
  </si>
  <si>
    <t>Opened / Sealed</t>
  </si>
  <si>
    <t>Condition</t>
  </si>
  <si>
    <t>Moisture Rating</t>
  </si>
  <si>
    <t>Last Dried Date</t>
  </si>
  <si>
    <t>Notes</t>
  </si>
  <si>
    <t>AZ-PLA-WHT</t>
  </si>
  <si>
    <t>PLA</t>
  </si>
  <si>
    <t>AzureFilm Original PLA</t>
  </si>
  <si>
    <t>White</t>
  </si>
  <si>
    <t>#F3F3EB</t>
  </si>
  <si>
    <t>1.75mm</t>
  </si>
  <si>
    <t>azurefilm.com</t>
  </si>
  <si>
    <t>Sealed</t>
  </si>
  <si>
    <t>New</t>
  </si>
  <si>
    <t>Dry</t>
  </si>
  <si>
    <t>AZ-PET-BLK</t>
  </si>
  <si>
    <t>PETG</t>
  </si>
  <si>
    <t>AzureFilm PETG</t>
  </si>
  <si>
    <t>Black</t>
  </si>
  <si>
    <t>#0D0D0D</t>
  </si>
  <si>
    <t>Opened</t>
  </si>
  <si>
    <t>Good</t>
  </si>
  <si>
    <t>BL-PETG-BK</t>
  </si>
  <si>
    <t>PETG Basic</t>
  </si>
  <si>
    <t>#000000</t>
  </si>
  <si>
    <t>BL-PLAB-WH</t>
  </si>
  <si>
    <t>PLA Basic</t>
  </si>
  <si>
    <t>Jade White</t>
  </si>
  <si>
    <t>#FFFFFF</t>
  </si>
  <si>
    <t>CRH-PLA-WH</t>
  </si>
  <si>
    <t>Hyper PLA</t>
  </si>
  <si>
    <t>#F5F5F5</t>
  </si>
  <si>
    <t>Amazon</t>
  </si>
  <si>
    <t>HX-PLA175-WH</t>
  </si>
  <si>
    <t>Hatchbox PLA</t>
  </si>
  <si>
    <t>OK</t>
  </si>
  <si>
    <t>Using AMS Adapter Ring</t>
  </si>
  <si>
    <t>MH-PRO-PLA-WH</t>
  </si>
  <si>
    <t>PLA (PRO Series)</t>
  </si>
  <si>
    <t>PRO Series PLA</t>
  </si>
  <si>
    <t>OV-PLA-BLA1</t>
  </si>
  <si>
    <t>Overture PLA</t>
  </si>
  <si>
    <t>overture3d.com</t>
  </si>
  <si>
    <t>OV-MAT-BLA1</t>
  </si>
  <si>
    <t>PLA Matte</t>
  </si>
  <si>
    <t>Overture Matte PLA</t>
  </si>
  <si>
    <t>#1D1E1E</t>
  </si>
  <si>
    <t>New line added in deep-dive pass</t>
  </si>
  <si>
    <t>PM-MAT-01</t>
  </si>
  <si>
    <t>Panchroma Matte PLA</t>
  </si>
  <si>
    <t>Charcoal Black</t>
  </si>
  <si>
    <t>#1C1C1C</t>
  </si>
  <si>
    <t>shop.polymaker.com</t>
  </si>
  <si>
    <t>PRUSPL-GBKL</t>
  </si>
  <si>
    <t>Prusament PLA</t>
  </si>
  <si>
    <t>Galaxy Black</t>
  </si>
  <si>
    <t>#1A1A2E</t>
  </si>
  <si>
    <t>Prusa3D</t>
  </si>
  <si>
    <t>Custom +10°C profile set in Bambu Studio</t>
  </si>
  <si>
    <t>SL-PLAP-01</t>
  </si>
  <si>
    <t>PLA+</t>
  </si>
  <si>
    <t>SUNLU PLA+</t>
  </si>
  <si>
    <t>store.sunlu.com</t>
  </si>
  <si>
    <t>SL-ASA-01</t>
  </si>
  <si>
    <t>ASA</t>
  </si>
  <si>
    <t>SUNLU ASA</t>
  </si>
  <si>
    <t>E-PLAP-01</t>
  </si>
  <si>
    <t>eSUN PLA+</t>
  </si>
  <si>
    <t>esun3dstore.com</t>
  </si>
  <si>
    <t>E-ASAP-01</t>
  </si>
  <si>
    <t>eSUN ASA+</t>
  </si>
  <si>
    <t>⚙  Configuration</t>
  </si>
  <si>
    <t>Setting</t>
  </si>
  <si>
    <t>Value</t>
  </si>
  <si>
    <t>Reorder Threshold</t>
  </si>
  <si>
    <t>Reorder Flag fires when Qty in Stock &lt;= this value</t>
  </si>
  <si>
    <t>File Version</t>
  </si>
  <si>
    <t>v1</t>
  </si>
  <si>
    <t>Generated</t>
  </si>
  <si>
    <t>2026-07-25</t>
  </si>
  <si>
    <t>Date this file was last generated by build_inventory.py</t>
  </si>
  <si>
    <t>Scope Note</t>
  </si>
  <si>
    <t>Covers on-hand spool inventory only, across all 11 brand catalogs. Catalog reference data (colors, hex, SKUs, tiers) lives in the per-brand workbooks.</t>
  </si>
  <si>
    <t>Split from per-brand Inventory Tracker sheets, 2026-07-23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</si>
</sst>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b/>
      <sz val="10"/>
      <color rgb="FF7F6000"/>
      <name val="Arial"/>
    </font>
    <font>
      <sz val="10"/>
      <color rgb="FF000000"/>
      <name val="Arial"/>
    </font>
    <font>
      <b/>
      <sz val="13"/>
      <color rgb="FFFFFFFF"/>
      <name val="Arial"/>
    </font>
    <font>
      <b/>
      <sz val="12"/>
      <color rgb="FFFFFFFF"/>
      <name val="Arial"/>
    </font>
    <font>
      <i/>
      <sz val="10"/>
      <color rgb="FF000000"/>
      <name val="Arial"/>
    </font>
    <font>
      <sz val="10"/>
      <color rgb="FF7F6000"/>
      <name val="Arial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FFF2CC"/>
      </patternFill>
    </fill>
    <fill>
      <patternFill patternType="solid">
        <fgColor rgb="FFF3F3EB"/>
      </patternFill>
    </fill>
    <fill>
      <patternFill patternType="solid">
        <fgColor rgb="FF0D0D0D"/>
      </patternFill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1D1E1E"/>
      </patternFill>
    </fill>
    <fill>
      <patternFill patternType="solid">
        <fgColor rgb="FF1C1C1C"/>
      </patternFill>
    </fill>
    <fill>
      <patternFill patternType="solid">
        <fgColor rgb="FF1A1A2E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3" fontId="0" fillId="0" borderId="0" xfId="0" applyNumberFormat="1"/>
    <xf numFmtId="0" fontId="8" fillId="0" borderId="1" xfId="0" applyFont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0" xfId="0"/>
    <xf numFmtId="164" fontId="4" fillId="4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1">
    <dxf>
      <font>
        <b/>
        <color rgb="FF9C5700"/>
        <name val="Arial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F21"/>
  <sheetViews>
    <sheetView tabSelected="1" workbookViewId="0">
      <selection sqref="A1:F1"/>
    </sheetView>
  </sheetViews>
  <sheetFormatPr defaultRowHeight="15" x14ac:dyDescent="0.25"/>
  <cols>
    <col min="1" max="1" width="22" customWidth="1"/>
    <col min="2" max="6" width="16" customWidth="1"/>
  </cols>
  <sheetData>
    <row r="1" spans="1:6" ht="30" customHeight="1" x14ac:dyDescent="0.25">
      <c r="A1" s="23" t="s">
        <v>0</v>
      </c>
      <c r="B1" s="21"/>
      <c r="C1" s="21"/>
      <c r="D1" s="21"/>
      <c r="E1" s="21"/>
      <c r="F1" s="21"/>
    </row>
    <row r="3" spans="1:6" ht="18" customHeight="1" x14ac:dyDescent="0.25">
      <c r="A3" s="24" t="s">
        <v>1</v>
      </c>
      <c r="B3" s="21"/>
      <c r="C3" s="21"/>
      <c r="D3" s="21"/>
      <c r="E3" s="21"/>
      <c r="F3" s="21"/>
    </row>
    <row r="4" spans="1:6" ht="20.100000000000001" customHeight="1" x14ac:dyDescent="0.25">
      <c r="A4" s="1" t="s">
        <v>2</v>
      </c>
      <c r="B4" s="20">
        <f>SUM(Inventory!N3:N67)</f>
        <v>22</v>
      </c>
      <c r="C4" s="21"/>
    </row>
    <row r="5" spans="1:6" ht="20.100000000000001" customHeight="1" x14ac:dyDescent="0.25">
      <c r="A5" s="1" t="s">
        <v>3</v>
      </c>
      <c r="B5" s="22">
        <f>SUMPRODUCT(IF(Inventory!M3:M67="",0,Inventory!M3:M67)*IF(Inventory!N3:N67="",0,Inventory!N3:N67))</f>
        <v>419.26</v>
      </c>
      <c r="C5" s="21"/>
    </row>
    <row r="6" spans="1:6" ht="20.100000000000001" customHeight="1" x14ac:dyDescent="0.25">
      <c r="A6" s="1" t="s">
        <v>4</v>
      </c>
      <c r="B6" s="20">
        <f>COUNTIF(Inventory!O3:O67,"*REORDER*")</f>
        <v>8</v>
      </c>
      <c r="C6" s="21"/>
    </row>
    <row r="7" spans="1:6" ht="20.100000000000001" customHeight="1" x14ac:dyDescent="0.25">
      <c r="A7" s="1" t="s">
        <v>5</v>
      </c>
      <c r="B7" s="20">
        <f>Config!$B$3</f>
        <v>1</v>
      </c>
      <c r="C7" s="21"/>
    </row>
    <row r="9" spans="1:6" ht="18" customHeight="1" x14ac:dyDescent="0.25">
      <c r="A9" s="24" t="s">
        <v>6</v>
      </c>
      <c r="B9" s="21"/>
      <c r="C9" s="21"/>
      <c r="D9" s="21"/>
      <c r="E9" s="21"/>
      <c r="F9" s="21"/>
    </row>
    <row r="10" spans="1:6" ht="21.95" customHeight="1" x14ac:dyDescent="0.25">
      <c r="A10" s="3" t="s">
        <v>7</v>
      </c>
      <c r="B10" s="3" t="s">
        <v>8</v>
      </c>
      <c r="C10" s="3" t="s">
        <v>9</v>
      </c>
    </row>
    <row r="11" spans="1:6" ht="18" customHeight="1" x14ac:dyDescent="0.25">
      <c r="A11" s="4" t="s">
        <v>10</v>
      </c>
      <c r="B11" s="5">
        <f>IFERROR(SUMIF(Inventory!A3:A67,A11,Inventory!N3:N67),0)</f>
        <v>3</v>
      </c>
      <c r="C11" s="6">
        <f>IFERROR(SUMPRODUCT((Inventory!A3:A67=A11)*IF(Inventory!M3:M67="",0,Inventory!M3:M67)*IF(Inventory!N3:N67="",0,Inventory!N3:N67)),0)</f>
        <v>64.699999999999989</v>
      </c>
    </row>
    <row r="12" spans="1:6" ht="18" customHeight="1" x14ac:dyDescent="0.25">
      <c r="A12" s="4" t="s">
        <v>11</v>
      </c>
      <c r="B12" s="5">
        <f>IFERROR(SUMIF(Inventory!A3:A67,A12,Inventory!N3:N67),0)</f>
        <v>3</v>
      </c>
      <c r="C12" s="6">
        <f>IFERROR(SUMPRODUCT((Inventory!A3:A67=A12)*IF(Inventory!M3:M67="",0,Inventory!M3:M67)*IF(Inventory!N3:N67="",0,Inventory!N3:N67)),0)</f>
        <v>59.98</v>
      </c>
    </row>
    <row r="13" spans="1:6" ht="18" customHeight="1" x14ac:dyDescent="0.25">
      <c r="A13" s="4" t="s">
        <v>12</v>
      </c>
      <c r="B13" s="5">
        <f>IFERROR(SUMIF(Inventory!A3:A67,A13,Inventory!N3:N67),0)</f>
        <v>1</v>
      </c>
      <c r="C13" s="6">
        <f>IFERROR(SUMPRODUCT((Inventory!A3:A67=A13)*IF(Inventory!M3:M67="",0,Inventory!M3:M67)*IF(Inventory!N3:N67="",0,Inventory!N3:N67)),0)</f>
        <v>17.989999999999998</v>
      </c>
    </row>
    <row r="14" spans="1:6" ht="18" customHeight="1" x14ac:dyDescent="0.25">
      <c r="A14" s="4" t="s">
        <v>13</v>
      </c>
      <c r="B14" s="5">
        <f>IFERROR(SUMIF(Inventory!A3:A67,A14,Inventory!N3:N67),0)</f>
        <v>2</v>
      </c>
      <c r="C14" s="6">
        <f>IFERROR(SUMPRODUCT((Inventory!A3:A67=A14)*IF(Inventory!M3:M67="",0,Inventory!M3:M67)*IF(Inventory!N3:N67="",0,Inventory!N3:N67)),0)</f>
        <v>39.979999999999997</v>
      </c>
    </row>
    <row r="15" spans="1:6" ht="18" customHeight="1" x14ac:dyDescent="0.25">
      <c r="A15" s="4" t="s">
        <v>14</v>
      </c>
      <c r="B15" s="5">
        <f>IFERROR(SUMIF(Inventory!A3:A67,A15,Inventory!N3:N67),0)</f>
        <v>1</v>
      </c>
      <c r="C15" s="6">
        <f>IFERROR(SUMPRODUCT((Inventory!A3:A67=A15)*IF(Inventory!M3:M67="",0,Inventory!M3:M67)*IF(Inventory!N3:N67="",0,Inventory!N3:N67)),0)</f>
        <v>22.99</v>
      </c>
    </row>
    <row r="16" spans="1:6" ht="18" customHeight="1" x14ac:dyDescent="0.25">
      <c r="A16" s="4" t="s">
        <v>15</v>
      </c>
      <c r="B16" s="5">
        <f>IFERROR(SUMIF(Inventory!A3:A67,A16,Inventory!N3:N67),0)</f>
        <v>3</v>
      </c>
      <c r="C16" s="6">
        <f>IFERROR(SUMPRODUCT((Inventory!A3:A67=A16)*IF(Inventory!M3:M67="",0,Inventory!M3:M67)*IF(Inventory!N3:N67="",0,Inventory!N3:N67)),0)</f>
        <v>44.97</v>
      </c>
    </row>
    <row r="17" spans="1:3" ht="18" customHeight="1" x14ac:dyDescent="0.25">
      <c r="A17" s="4" t="s">
        <v>16</v>
      </c>
      <c r="B17" s="5">
        <f>IFERROR(SUMIF(Inventory!A3:A67,A17,Inventory!N3:N67),0)</f>
        <v>2</v>
      </c>
      <c r="C17" s="6">
        <f>IFERROR(SUMPRODUCT((Inventory!A3:A67=A17)*IF(Inventory!M3:M67="",0,Inventory!M3:M67)*IF(Inventory!N3:N67="",0,Inventory!N3:N67)),0)</f>
        <v>39.979999999999997</v>
      </c>
    </row>
    <row r="18" spans="1:3" ht="18" customHeight="1" x14ac:dyDescent="0.25">
      <c r="A18" s="4" t="s">
        <v>17</v>
      </c>
      <c r="B18" s="5">
        <f>IFERROR(SUMIF(Inventory!A3:A67,A18,Inventory!N3:N67),0)</f>
        <v>1</v>
      </c>
      <c r="C18" s="6">
        <f>IFERROR(SUMPRODUCT((Inventory!A3:A67=A18)*IF(Inventory!M3:M67="",0,Inventory!M3:M67)*IF(Inventory!N3:N67="",0,Inventory!N3:N67)),0)</f>
        <v>0</v>
      </c>
    </row>
    <row r="19" spans="1:3" ht="18" customHeight="1" x14ac:dyDescent="0.25">
      <c r="A19" s="4" t="s">
        <v>18</v>
      </c>
      <c r="B19" s="5">
        <f>IFERROR(SUMIF(Inventory!A3:A67,A19,Inventory!N3:N67),0)</f>
        <v>3</v>
      </c>
      <c r="C19" s="6">
        <f>IFERROR(SUMPRODUCT((Inventory!A3:A67=A19)*IF(Inventory!M3:M67="",0,Inventory!M3:M67)*IF(Inventory!N3:N67="",0,Inventory!N3:N67)),0)</f>
        <v>0</v>
      </c>
    </row>
    <row r="20" spans="1:3" ht="18" customHeight="1" x14ac:dyDescent="0.25">
      <c r="A20" s="4" t="s">
        <v>19</v>
      </c>
      <c r="B20" s="5">
        <f>IFERROR(SUMIF(Inventory!A3:A67,A20,Inventory!N3:N67),0)</f>
        <v>0</v>
      </c>
      <c r="C20" s="6">
        <f>IFERROR(SUMPRODUCT((Inventory!A3:A67=A20)*IF(Inventory!M3:M67="",0,Inventory!M3:M67)*IF(Inventory!N3:N67="",0,Inventory!N3:N67)),0)</f>
        <v>0</v>
      </c>
    </row>
    <row r="21" spans="1:3" ht="18" customHeight="1" x14ac:dyDescent="0.25">
      <c r="A21" s="4" t="s">
        <v>20</v>
      </c>
      <c r="B21" s="5">
        <f>IFERROR(SUMIF(Inventory!A3:A67,A21,Inventory!N3:N67),0)</f>
        <v>3</v>
      </c>
      <c r="C21" s="6">
        <f>IFERROR(SUMPRODUCT((Inventory!A3:A67=A21)*IF(Inventory!M3:M67="",0,Inventory!M3:M67)*IF(Inventory!N3:N67="",0,Inventory!N3:N67)),0)</f>
        <v>0</v>
      </c>
    </row>
  </sheetData>
  <mergeCells count="7">
    <mergeCell ref="B6:C6"/>
    <mergeCell ref="B7:C7"/>
    <mergeCell ref="B5:C5"/>
    <mergeCell ref="A1:F1"/>
    <mergeCell ref="A9:F9"/>
    <mergeCell ref="A3:F3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75623"/>
  </sheetPr>
  <dimension ref="A1:U67"/>
  <sheetViews>
    <sheetView workbookViewId="0">
      <pane xSplit="2" ySplit="2" topLeftCell="C3" activePane="bottomRight" state="frozen"/>
      <selection pane="topRight"/>
      <selection pane="bottomLeft"/>
      <selection pane="bottomRight" sqref="A1:U1"/>
    </sheetView>
  </sheetViews>
  <sheetFormatPr defaultRowHeight="15" x14ac:dyDescent="0.25"/>
  <cols>
    <col min="1" max="1" width="13.28515625" bestFit="1" customWidth="1"/>
    <col min="2" max="2" width="16.42578125" bestFit="1" customWidth="1"/>
    <col min="3" max="3" width="18.140625" bestFit="1" customWidth="1"/>
    <col min="4" max="4" width="20.7109375" bestFit="1" customWidth="1"/>
    <col min="5" max="5" width="16.28515625" bestFit="1" customWidth="1"/>
    <col min="6" max="6" width="12.28515625" bestFit="1" customWidth="1"/>
    <col min="7" max="7" width="14.42578125" bestFit="1" customWidth="1"/>
    <col min="8" max="8" width="13.140625" bestFit="1" customWidth="1"/>
    <col min="9" max="9" width="20.7109375" bestFit="1" customWidth="1"/>
    <col min="10" max="10" width="15.140625" bestFit="1" customWidth="1"/>
    <col min="11" max="11" width="22" bestFit="1" customWidth="1"/>
    <col min="12" max="13" width="12" customWidth="1"/>
    <col min="14" max="14" width="16" customWidth="1"/>
    <col min="15" max="16" width="14" customWidth="1"/>
    <col min="17" max="17" width="12" customWidth="1"/>
    <col min="18" max="18" width="13.28515625" bestFit="1" customWidth="1"/>
    <col min="19" max="19" width="14.7109375" bestFit="1" customWidth="1"/>
    <col min="20" max="20" width="36.85546875" bestFit="1" customWidth="1"/>
    <col min="21" max="21" width="16" bestFit="1" customWidth="1"/>
  </cols>
  <sheetData>
    <row r="1" spans="1:21" ht="26.1" customHeight="1" x14ac:dyDescent="0.25">
      <c r="A1" s="25" t="s">
        <v>21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</row>
    <row r="2" spans="1:21" ht="27.95" customHeight="1" x14ac:dyDescent="0.25">
      <c r="A2" s="3" t="s">
        <v>7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  <c r="L2" s="3" t="s">
        <v>32</v>
      </c>
      <c r="M2" s="3" t="s">
        <v>33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40</v>
      </c>
      <c r="U2" s="3" t="s">
        <v>9</v>
      </c>
    </row>
    <row r="3" spans="1:21" ht="20.100000000000001" customHeight="1" x14ac:dyDescent="0.25">
      <c r="A3" s="4" t="s">
        <v>10</v>
      </c>
      <c r="B3" s="7" t="s">
        <v>41</v>
      </c>
      <c r="C3" s="4" t="s">
        <v>42</v>
      </c>
      <c r="D3" s="4" t="s">
        <v>43</v>
      </c>
      <c r="E3" s="4" t="s">
        <v>44</v>
      </c>
      <c r="F3" s="8"/>
      <c r="G3" s="4" t="s">
        <v>45</v>
      </c>
      <c r="H3" s="7" t="s">
        <v>46</v>
      </c>
      <c r="I3" s="4"/>
      <c r="J3" s="4"/>
      <c r="K3" s="4" t="s">
        <v>47</v>
      </c>
      <c r="L3" s="9">
        <v>22.9</v>
      </c>
      <c r="M3" s="9">
        <v>19.899999999999999</v>
      </c>
      <c r="N3" s="5">
        <v>2</v>
      </c>
      <c r="O3" s="7" t="str">
        <f>IF(OR(N3="",Config!$B$3=""),"",IF(N3&lt;=Config!$B$3,"⚠ REORDER",""))</f>
        <v/>
      </c>
      <c r="P3" s="7" t="s">
        <v>48</v>
      </c>
      <c r="Q3" s="7" t="s">
        <v>49</v>
      </c>
      <c r="R3" s="7" t="s">
        <v>50</v>
      </c>
      <c r="S3" s="4"/>
      <c r="T3" s="4"/>
      <c r="U3" s="9">
        <f t="shared" ref="U3:U34" si="0">IF(OR(M3="",N3=""),0,M3*N3)</f>
        <v>39.799999999999997</v>
      </c>
    </row>
    <row r="4" spans="1:21" ht="20.100000000000001" customHeight="1" x14ac:dyDescent="0.25">
      <c r="A4" s="4" t="s">
        <v>10</v>
      </c>
      <c r="B4" s="7" t="s">
        <v>51</v>
      </c>
      <c r="C4" s="4" t="s">
        <v>52</v>
      </c>
      <c r="D4" s="4" t="s">
        <v>53</v>
      </c>
      <c r="E4" s="4" t="s">
        <v>54</v>
      </c>
      <c r="F4" s="10"/>
      <c r="G4" s="4" t="s">
        <v>55</v>
      </c>
      <c r="H4" s="7" t="s">
        <v>46</v>
      </c>
      <c r="I4" s="4"/>
      <c r="J4" s="4"/>
      <c r="K4" s="4" t="s">
        <v>47</v>
      </c>
      <c r="L4" s="9">
        <v>24.9</v>
      </c>
      <c r="M4" s="9">
        <v>24.9</v>
      </c>
      <c r="N4" s="5">
        <v>1</v>
      </c>
      <c r="O4" s="7" t="str">
        <f>IF(OR(N4="",Config!$B$3=""),"",IF(N4&lt;=Config!$B$3,"⚠ REORDER",""))</f>
        <v>⚠ REORDER</v>
      </c>
      <c r="P4" s="7" t="s">
        <v>56</v>
      </c>
      <c r="Q4" s="7" t="s">
        <v>57</v>
      </c>
      <c r="R4" s="7" t="s">
        <v>50</v>
      </c>
      <c r="S4" s="4"/>
      <c r="T4" s="4"/>
      <c r="U4" s="9">
        <f t="shared" si="0"/>
        <v>24.9</v>
      </c>
    </row>
    <row r="5" spans="1:21" ht="20.100000000000001" customHeight="1" x14ac:dyDescent="0.25">
      <c r="A5" s="4" t="s">
        <v>11</v>
      </c>
      <c r="B5" s="7" t="s">
        <v>58</v>
      </c>
      <c r="C5" s="4" t="s">
        <v>59</v>
      </c>
      <c r="D5" s="4" t="s">
        <v>59</v>
      </c>
      <c r="E5" s="4" t="s">
        <v>54</v>
      </c>
      <c r="F5" s="11"/>
      <c r="G5" s="4" t="s">
        <v>60</v>
      </c>
      <c r="H5" s="7" t="s">
        <v>46</v>
      </c>
      <c r="I5" s="4"/>
      <c r="J5" s="4"/>
      <c r="K5" s="4" t="s">
        <v>11</v>
      </c>
      <c r="L5" s="9">
        <v>20</v>
      </c>
      <c r="M5" s="9">
        <v>20</v>
      </c>
      <c r="N5" s="5">
        <v>1</v>
      </c>
      <c r="O5" s="7" t="str">
        <f>IF(OR(N5="",Config!$B$3=""),"",IF(N5&lt;=Config!$B$3,"⚠ REORDER",""))</f>
        <v>⚠ REORDER</v>
      </c>
      <c r="P5" s="7" t="s">
        <v>48</v>
      </c>
      <c r="Q5" s="7" t="s">
        <v>49</v>
      </c>
      <c r="R5" s="7" t="s">
        <v>50</v>
      </c>
      <c r="S5" s="4"/>
      <c r="T5" s="4"/>
      <c r="U5" s="9">
        <f t="shared" si="0"/>
        <v>20</v>
      </c>
    </row>
    <row r="6" spans="1:21" ht="20.100000000000001" customHeight="1" x14ac:dyDescent="0.25">
      <c r="A6" s="4" t="s">
        <v>11</v>
      </c>
      <c r="B6" s="7" t="s">
        <v>61</v>
      </c>
      <c r="C6" s="4" t="s">
        <v>62</v>
      </c>
      <c r="D6" s="4" t="s">
        <v>62</v>
      </c>
      <c r="E6" s="4" t="s">
        <v>63</v>
      </c>
      <c r="F6" s="12"/>
      <c r="G6" s="4" t="s">
        <v>64</v>
      </c>
      <c r="H6" s="7" t="s">
        <v>46</v>
      </c>
      <c r="I6" s="4"/>
      <c r="J6" s="4"/>
      <c r="K6" s="4" t="s">
        <v>11</v>
      </c>
      <c r="L6" s="9">
        <v>19.989999999999998</v>
      </c>
      <c r="M6" s="9">
        <v>19.989999999999998</v>
      </c>
      <c r="N6" s="5">
        <v>2</v>
      </c>
      <c r="O6" s="7" t="str">
        <f>IF(OR(N6="",Config!$B$3=""),"",IF(N6&lt;=Config!$B$3,"⚠ REORDER",""))</f>
        <v/>
      </c>
      <c r="P6" s="7" t="s">
        <v>56</v>
      </c>
      <c r="Q6" s="7" t="s">
        <v>57</v>
      </c>
      <c r="R6" s="7" t="s">
        <v>50</v>
      </c>
      <c r="S6" s="4"/>
      <c r="T6" s="4"/>
      <c r="U6" s="9">
        <f t="shared" si="0"/>
        <v>39.979999999999997</v>
      </c>
    </row>
    <row r="7" spans="1:21" ht="20.100000000000001" customHeight="1" x14ac:dyDescent="0.25">
      <c r="A7" s="4" t="s">
        <v>12</v>
      </c>
      <c r="B7" s="7" t="s">
        <v>65</v>
      </c>
      <c r="C7" s="4" t="s">
        <v>42</v>
      </c>
      <c r="D7" s="4" t="s">
        <v>66</v>
      </c>
      <c r="E7" s="4" t="s">
        <v>44</v>
      </c>
      <c r="F7" s="13"/>
      <c r="G7" s="4" t="s">
        <v>67</v>
      </c>
      <c r="H7" s="7" t="s">
        <v>46</v>
      </c>
      <c r="I7" s="4"/>
      <c r="J7" s="4"/>
      <c r="K7" s="4" t="s">
        <v>68</v>
      </c>
      <c r="L7" s="9">
        <v>19.989999999999998</v>
      </c>
      <c r="M7" s="9">
        <v>17.989999999999998</v>
      </c>
      <c r="N7" s="5">
        <v>1</v>
      </c>
      <c r="O7" s="7" t="str">
        <f>IF(OR(N7="",Config!$B$3=""),"",IF(N7&lt;=Config!$B$3,"⚠ REORDER",""))</f>
        <v>⚠ REORDER</v>
      </c>
      <c r="P7" s="7" t="s">
        <v>48</v>
      </c>
      <c r="Q7" s="7" t="s">
        <v>49</v>
      </c>
      <c r="R7" s="7" t="s">
        <v>50</v>
      </c>
      <c r="S7" s="4"/>
      <c r="T7" s="4"/>
      <c r="U7" s="9">
        <f t="shared" si="0"/>
        <v>17.989999999999998</v>
      </c>
    </row>
    <row r="8" spans="1:21" ht="20.100000000000001" customHeight="1" x14ac:dyDescent="0.25">
      <c r="A8" s="4" t="s">
        <v>13</v>
      </c>
      <c r="B8" s="7" t="s">
        <v>69</v>
      </c>
      <c r="C8" s="4" t="s">
        <v>42</v>
      </c>
      <c r="D8" s="4" t="s">
        <v>70</v>
      </c>
      <c r="E8" s="4" t="s">
        <v>44</v>
      </c>
      <c r="F8" s="13"/>
      <c r="G8" s="4" t="s">
        <v>67</v>
      </c>
      <c r="H8" s="7" t="s">
        <v>46</v>
      </c>
      <c r="I8" s="4"/>
      <c r="J8" s="4"/>
      <c r="K8" s="4" t="s">
        <v>68</v>
      </c>
      <c r="L8" s="9">
        <v>21.99</v>
      </c>
      <c r="M8" s="9">
        <v>19.989999999999998</v>
      </c>
      <c r="N8" s="5">
        <v>2</v>
      </c>
      <c r="O8" s="7" t="str">
        <f>IF(OR(N8="",Config!$B$3=""),"",IF(N8&lt;=Config!$B$3,"⚠ REORDER",""))</f>
        <v/>
      </c>
      <c r="P8" s="7" t="s">
        <v>56</v>
      </c>
      <c r="Q8" s="7" t="s">
        <v>57</v>
      </c>
      <c r="R8" s="7" t="s">
        <v>71</v>
      </c>
      <c r="S8" s="4"/>
      <c r="T8" s="4" t="s">
        <v>72</v>
      </c>
      <c r="U8" s="9">
        <f t="shared" si="0"/>
        <v>39.979999999999997</v>
      </c>
    </row>
    <row r="9" spans="1:21" ht="20.100000000000001" customHeight="1" x14ac:dyDescent="0.25">
      <c r="A9" s="4" t="s">
        <v>14</v>
      </c>
      <c r="B9" s="7" t="s">
        <v>73</v>
      </c>
      <c r="C9" s="4" t="s">
        <v>74</v>
      </c>
      <c r="D9" s="4" t="s">
        <v>75</v>
      </c>
      <c r="E9" s="4" t="s">
        <v>44</v>
      </c>
      <c r="F9" s="13"/>
      <c r="G9" s="4" t="s">
        <v>67</v>
      </c>
      <c r="H9" s="7" t="s">
        <v>46</v>
      </c>
      <c r="I9" s="4"/>
      <c r="J9" s="4"/>
      <c r="K9" s="4" t="s">
        <v>14</v>
      </c>
      <c r="L9" s="9">
        <v>22.99</v>
      </c>
      <c r="M9" s="9">
        <v>22.99</v>
      </c>
      <c r="N9" s="5">
        <v>1</v>
      </c>
      <c r="O9" s="7" t="str">
        <f>IF(OR(N9="",Config!$B$3=""),"",IF(N9&lt;=Config!$B$3,"⚠ REORDER",""))</f>
        <v>⚠ REORDER</v>
      </c>
      <c r="P9" s="7" t="s">
        <v>48</v>
      </c>
      <c r="Q9" s="7" t="s">
        <v>49</v>
      </c>
      <c r="R9" s="7" t="s">
        <v>50</v>
      </c>
      <c r="S9" s="4"/>
      <c r="T9" s="4"/>
      <c r="U9" s="9">
        <f t="shared" si="0"/>
        <v>22.99</v>
      </c>
    </row>
    <row r="10" spans="1:21" ht="20.100000000000001" customHeight="1" x14ac:dyDescent="0.25">
      <c r="A10" s="4" t="s">
        <v>15</v>
      </c>
      <c r="B10" s="7" t="s">
        <v>76</v>
      </c>
      <c r="C10" s="4" t="s">
        <v>42</v>
      </c>
      <c r="D10" s="4" t="s">
        <v>77</v>
      </c>
      <c r="E10" s="4" t="s">
        <v>54</v>
      </c>
      <c r="F10" s="11"/>
      <c r="G10" s="4" t="s">
        <v>60</v>
      </c>
      <c r="H10" s="7" t="s">
        <v>46</v>
      </c>
      <c r="I10" s="4"/>
      <c r="J10" s="4"/>
      <c r="K10" s="4" t="s">
        <v>78</v>
      </c>
      <c r="L10" s="9">
        <v>22.99</v>
      </c>
      <c r="M10" s="9">
        <v>13.99</v>
      </c>
      <c r="N10" s="5">
        <v>2</v>
      </c>
      <c r="O10" s="7" t="str">
        <f>IF(OR(N10="",Config!$B$3=""),"",IF(N10&lt;=Config!$B$3,"⚠ REORDER",""))</f>
        <v/>
      </c>
      <c r="P10" s="7" t="s">
        <v>48</v>
      </c>
      <c r="Q10" s="7" t="s">
        <v>49</v>
      </c>
      <c r="R10" s="7" t="s">
        <v>50</v>
      </c>
      <c r="S10" s="4"/>
      <c r="T10" s="4"/>
      <c r="U10" s="9">
        <f t="shared" si="0"/>
        <v>27.98</v>
      </c>
    </row>
    <row r="11" spans="1:21" ht="20.100000000000001" customHeight="1" x14ac:dyDescent="0.25">
      <c r="A11" s="4" t="s">
        <v>15</v>
      </c>
      <c r="B11" s="7" t="s">
        <v>79</v>
      </c>
      <c r="C11" s="4" t="s">
        <v>80</v>
      </c>
      <c r="D11" s="4" t="s">
        <v>81</v>
      </c>
      <c r="E11" s="4" t="s">
        <v>54</v>
      </c>
      <c r="F11" s="14"/>
      <c r="G11" s="4" t="s">
        <v>82</v>
      </c>
      <c r="H11" s="7" t="s">
        <v>46</v>
      </c>
      <c r="I11" s="4"/>
      <c r="J11" s="4"/>
      <c r="K11" s="4" t="s">
        <v>78</v>
      </c>
      <c r="L11" s="9">
        <v>20.99</v>
      </c>
      <c r="M11" s="9">
        <v>16.989999999999998</v>
      </c>
      <c r="N11" s="5">
        <v>1</v>
      </c>
      <c r="O11" s="7" t="str">
        <f>IF(OR(N11="",Config!$B$3=""),"",IF(N11&lt;=Config!$B$3,"⚠ REORDER",""))</f>
        <v>⚠ REORDER</v>
      </c>
      <c r="P11" s="7" t="s">
        <v>48</v>
      </c>
      <c r="Q11" s="7" t="s">
        <v>49</v>
      </c>
      <c r="R11" s="7" t="s">
        <v>50</v>
      </c>
      <c r="S11" s="4"/>
      <c r="T11" s="4" t="s">
        <v>83</v>
      </c>
      <c r="U11" s="9">
        <f t="shared" si="0"/>
        <v>16.989999999999998</v>
      </c>
    </row>
    <row r="12" spans="1:21" ht="20.100000000000001" customHeight="1" x14ac:dyDescent="0.25">
      <c r="A12" s="4" t="s">
        <v>16</v>
      </c>
      <c r="B12" s="7" t="s">
        <v>84</v>
      </c>
      <c r="C12" s="4" t="s">
        <v>80</v>
      </c>
      <c r="D12" s="4" t="s">
        <v>85</v>
      </c>
      <c r="E12" s="4" t="s">
        <v>86</v>
      </c>
      <c r="F12" s="15"/>
      <c r="G12" s="4" t="s">
        <v>87</v>
      </c>
      <c r="H12" s="7" t="s">
        <v>46</v>
      </c>
      <c r="I12" s="4"/>
      <c r="J12" s="4"/>
      <c r="K12" s="4" t="s">
        <v>88</v>
      </c>
      <c r="L12" s="9">
        <v>21.99</v>
      </c>
      <c r="M12" s="9">
        <v>19.989999999999998</v>
      </c>
      <c r="N12" s="5">
        <v>2</v>
      </c>
      <c r="O12" s="7" t="str">
        <f>IF(OR(N12="",Config!$B$3=""),"",IF(N12&lt;=Config!$B$3,"⚠ REORDER",""))</f>
        <v/>
      </c>
      <c r="P12" s="7" t="s">
        <v>48</v>
      </c>
      <c r="Q12" s="7" t="s">
        <v>49</v>
      </c>
      <c r="R12" s="7" t="s">
        <v>50</v>
      </c>
      <c r="S12" s="4"/>
      <c r="T12" s="4"/>
      <c r="U12" s="9">
        <f t="shared" si="0"/>
        <v>39.979999999999997</v>
      </c>
    </row>
    <row r="13" spans="1:21" ht="20.100000000000001" customHeight="1" x14ac:dyDescent="0.25">
      <c r="A13" s="4" t="s">
        <v>17</v>
      </c>
      <c r="B13" s="7" t="s">
        <v>89</v>
      </c>
      <c r="C13" s="4" t="s">
        <v>42</v>
      </c>
      <c r="D13" s="4" t="s">
        <v>90</v>
      </c>
      <c r="E13" s="4" t="s">
        <v>91</v>
      </c>
      <c r="F13" s="16"/>
      <c r="G13" s="4" t="s">
        <v>92</v>
      </c>
      <c r="H13" s="7" t="s">
        <v>46</v>
      </c>
      <c r="I13" s="4"/>
      <c r="J13" s="4"/>
      <c r="K13" s="4" t="s">
        <v>93</v>
      </c>
      <c r="L13" s="9">
        <v>29.99</v>
      </c>
      <c r="M13" s="9">
        <v>29.99</v>
      </c>
      <c r="N13" s="5">
        <v>1</v>
      </c>
      <c r="O13" s="7" t="str">
        <f>IF(OR(N13="",Config!$B$3=""),"",IF(N13&lt;=Config!$B$3,"⚠ REORDER",""))</f>
        <v>⚠ REORDER</v>
      </c>
      <c r="P13" s="7" t="s">
        <v>56</v>
      </c>
      <c r="Q13" s="7" t="s">
        <v>57</v>
      </c>
      <c r="R13" s="7" t="s">
        <v>50</v>
      </c>
      <c r="S13" s="4"/>
      <c r="T13" s="4" t="s">
        <v>94</v>
      </c>
      <c r="U13" s="9">
        <f t="shared" si="0"/>
        <v>29.99</v>
      </c>
    </row>
    <row r="14" spans="1:21" ht="20.100000000000001" customHeight="1" x14ac:dyDescent="0.25">
      <c r="A14" s="4" t="s">
        <v>18</v>
      </c>
      <c r="B14" s="7" t="s">
        <v>95</v>
      </c>
      <c r="C14" s="4" t="s">
        <v>96</v>
      </c>
      <c r="D14" s="4" t="s">
        <v>97</v>
      </c>
      <c r="E14" s="4" t="s">
        <v>54</v>
      </c>
      <c r="F14" s="11"/>
      <c r="G14" s="4" t="s">
        <v>60</v>
      </c>
      <c r="H14" s="7" t="s">
        <v>46</v>
      </c>
      <c r="I14" s="4"/>
      <c r="J14" s="4"/>
      <c r="K14" s="4" t="s">
        <v>98</v>
      </c>
      <c r="L14" s="9">
        <v>18.989999999999998</v>
      </c>
      <c r="M14" s="9">
        <v>10.86</v>
      </c>
      <c r="N14" s="5">
        <v>2</v>
      </c>
      <c r="O14" s="7" t="str">
        <f>IF(OR(N14="",Config!$B$3=""),"",IF(N14&lt;=Config!$B$3,"⚠ REORDER",""))</f>
        <v/>
      </c>
      <c r="P14" s="7" t="s">
        <v>48</v>
      </c>
      <c r="Q14" s="7" t="s">
        <v>49</v>
      </c>
      <c r="R14" s="7" t="s">
        <v>50</v>
      </c>
      <c r="S14" s="4"/>
      <c r="T14" s="4"/>
      <c r="U14" s="9">
        <f t="shared" si="0"/>
        <v>21.72</v>
      </c>
    </row>
    <row r="15" spans="1:21" ht="20.100000000000001" customHeight="1" x14ac:dyDescent="0.25">
      <c r="A15" s="4" t="s">
        <v>18</v>
      </c>
      <c r="B15" s="7" t="s">
        <v>99</v>
      </c>
      <c r="C15" s="4" t="s">
        <v>100</v>
      </c>
      <c r="D15" s="4" t="s">
        <v>101</v>
      </c>
      <c r="E15" s="4" t="s">
        <v>54</v>
      </c>
      <c r="F15" s="11"/>
      <c r="G15" s="4" t="s">
        <v>60</v>
      </c>
      <c r="H15" s="7" t="s">
        <v>46</v>
      </c>
      <c r="I15" s="4"/>
      <c r="J15" s="4"/>
      <c r="K15" s="4" t="s">
        <v>68</v>
      </c>
      <c r="L15" s="9">
        <v>21.99</v>
      </c>
      <c r="M15" s="9">
        <v>19.989999999999998</v>
      </c>
      <c r="N15" s="5">
        <v>1</v>
      </c>
      <c r="O15" s="7" t="str">
        <f>IF(OR(N15="",Config!$B$3=""),"",IF(N15&lt;=Config!$B$3,"⚠ REORDER",""))</f>
        <v>⚠ REORDER</v>
      </c>
      <c r="P15" s="7" t="s">
        <v>48</v>
      </c>
      <c r="Q15" s="7" t="s">
        <v>49</v>
      </c>
      <c r="R15" s="7" t="s">
        <v>50</v>
      </c>
      <c r="S15" s="4"/>
      <c r="T15" s="4" t="s">
        <v>83</v>
      </c>
      <c r="U15" s="9">
        <f t="shared" si="0"/>
        <v>19.989999999999998</v>
      </c>
    </row>
    <row r="16" spans="1:21" ht="20.100000000000001" customHeight="1" x14ac:dyDescent="0.25">
      <c r="A16" s="4" t="s">
        <v>20</v>
      </c>
      <c r="B16" s="7" t="s">
        <v>102</v>
      </c>
      <c r="C16" s="4" t="s">
        <v>96</v>
      </c>
      <c r="D16" s="4" t="s">
        <v>103</v>
      </c>
      <c r="E16" s="4" t="s">
        <v>54</v>
      </c>
      <c r="F16" s="10"/>
      <c r="G16" s="4" t="s">
        <v>55</v>
      </c>
      <c r="H16" s="7" t="s">
        <v>46</v>
      </c>
      <c r="I16" s="4"/>
      <c r="J16" s="4"/>
      <c r="K16" s="4" t="s">
        <v>104</v>
      </c>
      <c r="L16" s="9">
        <v>22.99</v>
      </c>
      <c r="M16" s="9">
        <v>15.99</v>
      </c>
      <c r="N16" s="5">
        <v>2</v>
      </c>
      <c r="O16" s="7" t="str">
        <f>IF(OR(N16="",Config!$B$3=""),"",IF(N16&lt;=Config!$B$3,"⚠ REORDER",""))</f>
        <v/>
      </c>
      <c r="P16" s="7" t="s">
        <v>48</v>
      </c>
      <c r="Q16" s="7" t="s">
        <v>49</v>
      </c>
      <c r="R16" s="7" t="s">
        <v>50</v>
      </c>
      <c r="S16" s="4"/>
      <c r="T16" s="4"/>
      <c r="U16" s="9">
        <f t="shared" si="0"/>
        <v>31.98</v>
      </c>
    </row>
    <row r="17" spans="1:21" ht="20.100000000000001" customHeight="1" x14ac:dyDescent="0.25">
      <c r="A17" s="4" t="s">
        <v>20</v>
      </c>
      <c r="B17" s="7" t="s">
        <v>105</v>
      </c>
      <c r="C17" s="4" t="s">
        <v>100</v>
      </c>
      <c r="D17" s="4" t="s">
        <v>106</v>
      </c>
      <c r="E17" s="4" t="s">
        <v>54</v>
      </c>
      <c r="F17" s="10"/>
      <c r="G17" s="4" t="s">
        <v>55</v>
      </c>
      <c r="H17" s="7" t="s">
        <v>46</v>
      </c>
      <c r="I17" s="4"/>
      <c r="J17" s="4"/>
      <c r="K17" s="4" t="s">
        <v>104</v>
      </c>
      <c r="L17" s="9">
        <v>24.99</v>
      </c>
      <c r="M17" s="9">
        <v>24.99</v>
      </c>
      <c r="N17" s="5">
        <v>1</v>
      </c>
      <c r="O17" s="7" t="str">
        <f>IF(OR(N17="",Config!$B$3=""),"",IF(N17&lt;=Config!$B$3,"⚠ REORDER",""))</f>
        <v>⚠ REORDER</v>
      </c>
      <c r="P17" s="7" t="s">
        <v>48</v>
      </c>
      <c r="Q17" s="7" t="s">
        <v>49</v>
      </c>
      <c r="R17" s="7" t="s">
        <v>50</v>
      </c>
      <c r="S17" s="4"/>
      <c r="T17" s="4" t="s">
        <v>83</v>
      </c>
      <c r="U17" s="9">
        <f t="shared" si="0"/>
        <v>24.99</v>
      </c>
    </row>
    <row r="18" spans="1:21" x14ac:dyDescent="0.25">
      <c r="N18" s="17"/>
      <c r="O18" s="7" t="str">
        <f>IF(OR(N18="",Config!$B$3=""),"",IF(N18&lt;=Config!$B$3,"⚠ REORDER",""))</f>
        <v/>
      </c>
      <c r="U18" s="6">
        <f t="shared" si="0"/>
        <v>0</v>
      </c>
    </row>
    <row r="19" spans="1:21" x14ac:dyDescent="0.25">
      <c r="N19" s="17"/>
      <c r="O19" s="7" t="str">
        <f>IF(OR(N19="",Config!$B$3=""),"",IF(N19&lt;=Config!$B$3,"⚠ REORDER",""))</f>
        <v/>
      </c>
      <c r="U19" s="6">
        <f t="shared" si="0"/>
        <v>0</v>
      </c>
    </row>
    <row r="20" spans="1:21" x14ac:dyDescent="0.25">
      <c r="N20" s="17"/>
      <c r="O20" s="7" t="str">
        <f>IF(OR(N20="",Config!$B$3=""),"",IF(N20&lt;=Config!$B$3,"⚠ REORDER",""))</f>
        <v/>
      </c>
      <c r="U20" s="6">
        <f t="shared" si="0"/>
        <v>0</v>
      </c>
    </row>
    <row r="21" spans="1:21" x14ac:dyDescent="0.25">
      <c r="N21" s="17"/>
      <c r="O21" s="7" t="str">
        <f>IF(OR(N21="",Config!$B$3=""),"",IF(N21&lt;=Config!$B$3,"⚠ REORDER",""))</f>
        <v/>
      </c>
      <c r="U21" s="6">
        <f t="shared" si="0"/>
        <v>0</v>
      </c>
    </row>
    <row r="22" spans="1:21" x14ac:dyDescent="0.25">
      <c r="N22" s="17"/>
      <c r="O22" s="7" t="str">
        <f>IF(OR(N22="",Config!$B$3=""),"",IF(N22&lt;=Config!$B$3,"⚠ REORDER",""))</f>
        <v/>
      </c>
      <c r="U22" s="6">
        <f t="shared" si="0"/>
        <v>0</v>
      </c>
    </row>
    <row r="23" spans="1:21" x14ac:dyDescent="0.25">
      <c r="N23" s="17"/>
      <c r="O23" s="7" t="str">
        <f>IF(OR(N23="",Config!$B$3=""),"",IF(N23&lt;=Config!$B$3,"⚠ REORDER",""))</f>
        <v/>
      </c>
      <c r="U23" s="6">
        <f t="shared" si="0"/>
        <v>0</v>
      </c>
    </row>
    <row r="24" spans="1:21" x14ac:dyDescent="0.25">
      <c r="N24" s="17"/>
      <c r="O24" s="7" t="str">
        <f>IF(OR(N24="",Config!$B$3=""),"",IF(N24&lt;=Config!$B$3,"⚠ REORDER",""))</f>
        <v/>
      </c>
      <c r="U24" s="6">
        <f t="shared" si="0"/>
        <v>0</v>
      </c>
    </row>
    <row r="25" spans="1:21" x14ac:dyDescent="0.25">
      <c r="N25" s="17"/>
      <c r="O25" s="7" t="str">
        <f>IF(OR(N25="",Config!$B$3=""),"",IF(N25&lt;=Config!$B$3,"⚠ REORDER",""))</f>
        <v/>
      </c>
      <c r="U25" s="6">
        <f t="shared" si="0"/>
        <v>0</v>
      </c>
    </row>
    <row r="26" spans="1:21" x14ac:dyDescent="0.25">
      <c r="N26" s="17"/>
      <c r="O26" s="7" t="str">
        <f>IF(OR(N26="",Config!$B$3=""),"",IF(N26&lt;=Config!$B$3,"⚠ REORDER",""))</f>
        <v/>
      </c>
      <c r="U26" s="6">
        <f t="shared" si="0"/>
        <v>0</v>
      </c>
    </row>
    <row r="27" spans="1:21" x14ac:dyDescent="0.25">
      <c r="N27" s="17"/>
      <c r="O27" s="7" t="str">
        <f>IF(OR(N27="",Config!$B$3=""),"",IF(N27&lt;=Config!$B$3,"⚠ REORDER",""))</f>
        <v/>
      </c>
      <c r="U27" s="6">
        <f t="shared" si="0"/>
        <v>0</v>
      </c>
    </row>
    <row r="28" spans="1:21" x14ac:dyDescent="0.25">
      <c r="N28" s="17"/>
      <c r="O28" s="7" t="str">
        <f>IF(OR(N28="",Config!$B$3=""),"",IF(N28&lt;=Config!$B$3,"⚠ REORDER",""))</f>
        <v/>
      </c>
      <c r="U28" s="6">
        <f t="shared" si="0"/>
        <v>0</v>
      </c>
    </row>
    <row r="29" spans="1:21" x14ac:dyDescent="0.25">
      <c r="N29" s="17"/>
      <c r="O29" s="7" t="str">
        <f>IF(OR(N29="",Config!$B$3=""),"",IF(N29&lt;=Config!$B$3,"⚠ REORDER",""))</f>
        <v/>
      </c>
      <c r="U29" s="6">
        <f t="shared" si="0"/>
        <v>0</v>
      </c>
    </row>
    <row r="30" spans="1:21" x14ac:dyDescent="0.25">
      <c r="N30" s="17"/>
      <c r="O30" s="7" t="str">
        <f>IF(OR(N30="",Config!$B$3=""),"",IF(N30&lt;=Config!$B$3,"⚠ REORDER",""))</f>
        <v/>
      </c>
      <c r="U30" s="6">
        <f t="shared" si="0"/>
        <v>0</v>
      </c>
    </row>
    <row r="31" spans="1:21" x14ac:dyDescent="0.25">
      <c r="N31" s="17"/>
      <c r="O31" s="7" t="str">
        <f>IF(OR(N31="",Config!$B$3=""),"",IF(N31&lt;=Config!$B$3,"⚠ REORDER",""))</f>
        <v/>
      </c>
      <c r="U31" s="6">
        <f t="shared" si="0"/>
        <v>0</v>
      </c>
    </row>
    <row r="32" spans="1:21" x14ac:dyDescent="0.25">
      <c r="N32" s="17"/>
      <c r="O32" s="7" t="str">
        <f>IF(OR(N32="",Config!$B$3=""),"",IF(N32&lt;=Config!$B$3,"⚠ REORDER",""))</f>
        <v/>
      </c>
      <c r="U32" s="6">
        <f t="shared" si="0"/>
        <v>0</v>
      </c>
    </row>
    <row r="33" spans="14:21" x14ac:dyDescent="0.25">
      <c r="N33" s="17"/>
      <c r="O33" s="7" t="str">
        <f>IF(OR(N33="",Config!$B$3=""),"",IF(N33&lt;=Config!$B$3,"⚠ REORDER",""))</f>
        <v/>
      </c>
      <c r="U33" s="6">
        <f t="shared" si="0"/>
        <v>0</v>
      </c>
    </row>
    <row r="34" spans="14:21" x14ac:dyDescent="0.25">
      <c r="N34" s="17"/>
      <c r="O34" s="7" t="str">
        <f>IF(OR(N34="",Config!$B$3=""),"",IF(N34&lt;=Config!$B$3,"⚠ REORDER",""))</f>
        <v/>
      </c>
      <c r="U34" s="6">
        <f t="shared" si="0"/>
        <v>0</v>
      </c>
    </row>
    <row r="35" spans="14:21" x14ac:dyDescent="0.25">
      <c r="N35" s="17"/>
      <c r="O35" s="7" t="str">
        <f>IF(OR(N35="",Config!$B$3=""),"",IF(N35&lt;=Config!$B$3,"⚠ REORDER",""))</f>
        <v/>
      </c>
      <c r="U35" s="6">
        <f t="shared" ref="U35:U67" si="1">IF(OR(M35="",N35=""),0,M35*N35)</f>
        <v>0</v>
      </c>
    </row>
    <row r="36" spans="14:21" x14ac:dyDescent="0.25">
      <c r="N36" s="17"/>
      <c r="O36" s="7" t="str">
        <f>IF(OR(N36="",Config!$B$3=""),"",IF(N36&lt;=Config!$B$3,"⚠ REORDER",""))</f>
        <v/>
      </c>
      <c r="U36" s="6">
        <f t="shared" si="1"/>
        <v>0</v>
      </c>
    </row>
    <row r="37" spans="14:21" x14ac:dyDescent="0.25">
      <c r="N37" s="17"/>
      <c r="O37" s="7" t="str">
        <f>IF(OR(N37="",Config!$B$3=""),"",IF(N37&lt;=Config!$B$3,"⚠ REORDER",""))</f>
        <v/>
      </c>
      <c r="U37" s="6">
        <f t="shared" si="1"/>
        <v>0</v>
      </c>
    </row>
    <row r="38" spans="14:21" x14ac:dyDescent="0.25">
      <c r="N38" s="17"/>
      <c r="O38" s="7" t="str">
        <f>IF(OR(N38="",Config!$B$3=""),"",IF(N38&lt;=Config!$B$3,"⚠ REORDER",""))</f>
        <v/>
      </c>
      <c r="U38" s="6">
        <f t="shared" si="1"/>
        <v>0</v>
      </c>
    </row>
    <row r="39" spans="14:21" x14ac:dyDescent="0.25">
      <c r="N39" s="17"/>
      <c r="O39" s="7" t="str">
        <f>IF(OR(N39="",Config!$B$3=""),"",IF(N39&lt;=Config!$B$3,"⚠ REORDER",""))</f>
        <v/>
      </c>
      <c r="U39" s="6">
        <f t="shared" si="1"/>
        <v>0</v>
      </c>
    </row>
    <row r="40" spans="14:21" x14ac:dyDescent="0.25">
      <c r="N40" s="17"/>
      <c r="O40" s="7" t="str">
        <f>IF(OR(N40="",Config!$B$3=""),"",IF(N40&lt;=Config!$B$3,"⚠ REORDER",""))</f>
        <v/>
      </c>
      <c r="U40" s="6">
        <f t="shared" si="1"/>
        <v>0</v>
      </c>
    </row>
    <row r="41" spans="14:21" x14ac:dyDescent="0.25">
      <c r="N41" s="17"/>
      <c r="O41" s="7" t="str">
        <f>IF(OR(N41="",Config!$B$3=""),"",IF(N41&lt;=Config!$B$3,"⚠ REORDER",""))</f>
        <v/>
      </c>
      <c r="U41" s="6">
        <f t="shared" si="1"/>
        <v>0</v>
      </c>
    </row>
    <row r="42" spans="14:21" x14ac:dyDescent="0.25">
      <c r="N42" s="17"/>
      <c r="O42" s="7" t="str">
        <f>IF(OR(N42="",Config!$B$3=""),"",IF(N42&lt;=Config!$B$3,"⚠ REORDER",""))</f>
        <v/>
      </c>
      <c r="U42" s="6">
        <f t="shared" si="1"/>
        <v>0</v>
      </c>
    </row>
    <row r="43" spans="14:21" x14ac:dyDescent="0.25">
      <c r="N43" s="17"/>
      <c r="O43" s="7" t="str">
        <f>IF(OR(N43="",Config!$B$3=""),"",IF(N43&lt;=Config!$B$3,"⚠ REORDER",""))</f>
        <v/>
      </c>
      <c r="U43" s="6">
        <f t="shared" si="1"/>
        <v>0</v>
      </c>
    </row>
    <row r="44" spans="14:21" x14ac:dyDescent="0.25">
      <c r="N44" s="17"/>
      <c r="O44" s="7" t="str">
        <f>IF(OR(N44="",Config!$B$3=""),"",IF(N44&lt;=Config!$B$3,"⚠ REORDER",""))</f>
        <v/>
      </c>
      <c r="U44" s="6">
        <f t="shared" si="1"/>
        <v>0</v>
      </c>
    </row>
    <row r="45" spans="14:21" x14ac:dyDescent="0.25">
      <c r="N45" s="17"/>
      <c r="O45" s="7" t="str">
        <f>IF(OR(N45="",Config!$B$3=""),"",IF(N45&lt;=Config!$B$3,"⚠ REORDER",""))</f>
        <v/>
      </c>
      <c r="U45" s="6">
        <f t="shared" si="1"/>
        <v>0</v>
      </c>
    </row>
    <row r="46" spans="14:21" x14ac:dyDescent="0.25">
      <c r="N46" s="17"/>
      <c r="O46" s="7" t="str">
        <f>IF(OR(N46="",Config!$B$3=""),"",IF(N46&lt;=Config!$B$3,"⚠ REORDER",""))</f>
        <v/>
      </c>
      <c r="U46" s="6">
        <f t="shared" si="1"/>
        <v>0</v>
      </c>
    </row>
    <row r="47" spans="14:21" x14ac:dyDescent="0.25">
      <c r="N47" s="17"/>
      <c r="O47" s="7" t="str">
        <f>IF(OR(N47="",Config!$B$3=""),"",IF(N47&lt;=Config!$B$3,"⚠ REORDER",""))</f>
        <v/>
      </c>
      <c r="U47" s="6">
        <f t="shared" si="1"/>
        <v>0</v>
      </c>
    </row>
    <row r="48" spans="14:21" x14ac:dyDescent="0.25">
      <c r="N48" s="17"/>
      <c r="O48" s="7" t="str">
        <f>IF(OR(N48="",Config!$B$3=""),"",IF(N48&lt;=Config!$B$3,"⚠ REORDER",""))</f>
        <v/>
      </c>
      <c r="U48" s="6">
        <f t="shared" si="1"/>
        <v>0</v>
      </c>
    </row>
    <row r="49" spans="14:21" x14ac:dyDescent="0.25">
      <c r="N49" s="17"/>
      <c r="O49" s="7" t="str">
        <f>IF(OR(N49="",Config!$B$3=""),"",IF(N49&lt;=Config!$B$3,"⚠ REORDER",""))</f>
        <v/>
      </c>
      <c r="U49" s="6">
        <f t="shared" si="1"/>
        <v>0</v>
      </c>
    </row>
    <row r="50" spans="14:21" x14ac:dyDescent="0.25">
      <c r="N50" s="17"/>
      <c r="O50" s="7" t="str">
        <f>IF(OR(N50="",Config!$B$3=""),"",IF(N50&lt;=Config!$B$3,"⚠ REORDER",""))</f>
        <v/>
      </c>
      <c r="U50" s="6">
        <f t="shared" si="1"/>
        <v>0</v>
      </c>
    </row>
    <row r="51" spans="14:21" x14ac:dyDescent="0.25">
      <c r="N51" s="17"/>
      <c r="O51" s="7" t="str">
        <f>IF(OR(N51="",Config!$B$3=""),"",IF(N51&lt;=Config!$B$3,"⚠ REORDER",""))</f>
        <v/>
      </c>
      <c r="U51" s="6">
        <f t="shared" si="1"/>
        <v>0</v>
      </c>
    </row>
    <row r="52" spans="14:21" x14ac:dyDescent="0.25">
      <c r="N52" s="17"/>
      <c r="O52" s="7" t="str">
        <f>IF(OR(N52="",Config!$B$3=""),"",IF(N52&lt;=Config!$B$3,"⚠ REORDER",""))</f>
        <v/>
      </c>
      <c r="U52" s="6">
        <f t="shared" si="1"/>
        <v>0</v>
      </c>
    </row>
    <row r="53" spans="14:21" x14ac:dyDescent="0.25">
      <c r="N53" s="17"/>
      <c r="O53" s="7" t="str">
        <f>IF(OR(N53="",Config!$B$3=""),"",IF(N53&lt;=Config!$B$3,"⚠ REORDER",""))</f>
        <v/>
      </c>
      <c r="U53" s="6">
        <f t="shared" si="1"/>
        <v>0</v>
      </c>
    </row>
    <row r="54" spans="14:21" x14ac:dyDescent="0.25">
      <c r="N54" s="17"/>
      <c r="O54" s="7" t="str">
        <f>IF(OR(N54="",Config!$B$3=""),"",IF(N54&lt;=Config!$B$3,"⚠ REORDER",""))</f>
        <v/>
      </c>
      <c r="U54" s="6">
        <f t="shared" si="1"/>
        <v>0</v>
      </c>
    </row>
    <row r="55" spans="14:21" x14ac:dyDescent="0.25">
      <c r="N55" s="17"/>
      <c r="O55" s="7" t="str">
        <f>IF(OR(N55="",Config!$B$3=""),"",IF(N55&lt;=Config!$B$3,"⚠ REORDER",""))</f>
        <v/>
      </c>
      <c r="U55" s="6">
        <f t="shared" si="1"/>
        <v>0</v>
      </c>
    </row>
    <row r="56" spans="14:21" x14ac:dyDescent="0.25">
      <c r="N56" s="17"/>
      <c r="O56" s="7" t="str">
        <f>IF(OR(N56="",Config!$B$3=""),"",IF(N56&lt;=Config!$B$3,"⚠ REORDER",""))</f>
        <v/>
      </c>
      <c r="U56" s="6">
        <f t="shared" si="1"/>
        <v>0</v>
      </c>
    </row>
    <row r="57" spans="14:21" x14ac:dyDescent="0.25">
      <c r="N57" s="17"/>
      <c r="O57" s="7" t="str">
        <f>IF(OR(N57="",Config!$B$3=""),"",IF(N57&lt;=Config!$B$3,"⚠ REORDER",""))</f>
        <v/>
      </c>
      <c r="U57" s="6">
        <f t="shared" si="1"/>
        <v>0</v>
      </c>
    </row>
    <row r="58" spans="14:21" x14ac:dyDescent="0.25">
      <c r="N58" s="17"/>
      <c r="O58" s="7" t="str">
        <f>IF(OR(N58="",Config!$B$3=""),"",IF(N58&lt;=Config!$B$3,"⚠ REORDER",""))</f>
        <v/>
      </c>
      <c r="U58" s="6">
        <f t="shared" si="1"/>
        <v>0</v>
      </c>
    </row>
    <row r="59" spans="14:21" x14ac:dyDescent="0.25">
      <c r="N59" s="17"/>
      <c r="O59" s="7" t="str">
        <f>IF(OR(N59="",Config!$B$3=""),"",IF(N59&lt;=Config!$B$3,"⚠ REORDER",""))</f>
        <v/>
      </c>
      <c r="U59" s="6">
        <f t="shared" si="1"/>
        <v>0</v>
      </c>
    </row>
    <row r="60" spans="14:21" x14ac:dyDescent="0.25">
      <c r="N60" s="17"/>
      <c r="O60" s="7" t="str">
        <f>IF(OR(N60="",Config!$B$3=""),"",IF(N60&lt;=Config!$B$3,"⚠ REORDER",""))</f>
        <v/>
      </c>
      <c r="U60" s="6">
        <f t="shared" si="1"/>
        <v>0</v>
      </c>
    </row>
    <row r="61" spans="14:21" x14ac:dyDescent="0.25">
      <c r="N61" s="17"/>
      <c r="O61" s="7" t="str">
        <f>IF(OR(N61="",Config!$B$3=""),"",IF(N61&lt;=Config!$B$3,"⚠ REORDER",""))</f>
        <v/>
      </c>
      <c r="U61" s="6">
        <f t="shared" si="1"/>
        <v>0</v>
      </c>
    </row>
    <row r="62" spans="14:21" x14ac:dyDescent="0.25">
      <c r="N62" s="17"/>
      <c r="O62" s="7" t="str">
        <f>IF(OR(N62="",Config!$B$3=""),"",IF(N62&lt;=Config!$B$3,"⚠ REORDER",""))</f>
        <v/>
      </c>
      <c r="U62" s="6">
        <f t="shared" si="1"/>
        <v>0</v>
      </c>
    </row>
    <row r="63" spans="14:21" x14ac:dyDescent="0.25">
      <c r="N63" s="17"/>
      <c r="O63" s="7" t="str">
        <f>IF(OR(N63="",Config!$B$3=""),"",IF(N63&lt;=Config!$B$3,"⚠ REORDER",""))</f>
        <v/>
      </c>
      <c r="U63" s="6">
        <f t="shared" si="1"/>
        <v>0</v>
      </c>
    </row>
    <row r="64" spans="14:21" x14ac:dyDescent="0.25">
      <c r="N64" s="17"/>
      <c r="O64" s="7" t="str">
        <f>IF(OR(N64="",Config!$B$3=""),"",IF(N64&lt;=Config!$B$3,"⚠ REORDER",""))</f>
        <v/>
      </c>
      <c r="U64" s="6">
        <f t="shared" si="1"/>
        <v>0</v>
      </c>
    </row>
    <row r="65" spans="14:21" x14ac:dyDescent="0.25">
      <c r="N65" s="17"/>
      <c r="O65" s="7" t="str">
        <f>IF(OR(N65="",Config!$B$3=""),"",IF(N65&lt;=Config!$B$3,"⚠ REORDER",""))</f>
        <v/>
      </c>
      <c r="U65" s="6">
        <f t="shared" si="1"/>
        <v>0</v>
      </c>
    </row>
    <row r="66" spans="14:21" x14ac:dyDescent="0.25">
      <c r="N66" s="17"/>
      <c r="O66" s="7" t="str">
        <f>IF(OR(N66="",Config!$B$3=""),"",IF(N66&lt;=Config!$B$3,"⚠ REORDER",""))</f>
        <v/>
      </c>
      <c r="U66" s="6">
        <f t="shared" si="1"/>
        <v>0</v>
      </c>
    </row>
    <row r="67" spans="14:21" x14ac:dyDescent="0.25">
      <c r="N67" s="17"/>
      <c r="O67" s="7" t="str">
        <f>IF(OR(N67="",Config!$B$3=""),"",IF(N67&lt;=Config!$B$3,"⚠ REORDER",""))</f>
        <v/>
      </c>
      <c r="U67" s="6">
        <f t="shared" si="1"/>
        <v>0</v>
      </c>
    </row>
  </sheetData>
  <autoFilter ref="A2:U67" xr:uid="{00000000-0009-0000-0000-000001000000}"/>
  <mergeCells count="1">
    <mergeCell ref="A1:U1"/>
  </mergeCells>
  <conditionalFormatting sqref="O3:O67">
    <cfRule type="containsText" dxfId="0" priority="1" operator="containsText" text="REORDER">
      <formula>NOT(ISERROR(SEARCH("REORDER",O3)))</formula>
    </cfRule>
  </conditionalFormatting>
  <dataValidations count="5">
    <dataValidation type="list" allowBlank="1" sqref="A3:A67" xr:uid="{00000000-0002-0000-0100-000000000000}">
      <formula1>"AzureFilm,Bambu Lab,Creality Hyper,Hatchbox,MatterHackers,Overture,Polymaker,Prusament,SUNLU,VoxelPLA,eSUN"</formula1>
    </dataValidation>
    <dataValidation type="list" allowBlank="1" sqref="P3:P67" xr:uid="{00000000-0002-0000-0100-000001000000}">
      <formula1>"Opened,Sealed"</formula1>
    </dataValidation>
    <dataValidation type="list" allowBlank="1" sqref="Q3:Q67" xr:uid="{00000000-0002-0000-0100-000002000000}">
      <formula1>"New,Good,Fair,Poor"</formula1>
    </dataValidation>
    <dataValidation type="list" allowBlank="1" sqref="R3:R67" xr:uid="{00000000-0002-0000-0100-000003000000}">
      <formula1>"Dry,OK,Damp,Wet"</formula1>
    </dataValidation>
    <dataValidation type="list" allowBlank="1" sqref="H3:H67" xr:uid="{00000000-0002-0000-0100-000004000000}">
      <formula1>"1.75mm,2.85mm"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F7F7F"/>
  </sheetPr>
  <dimension ref="A1:C6"/>
  <sheetViews>
    <sheetView workbookViewId="0"/>
  </sheetViews>
  <sheetFormatPr defaultRowHeight="15" x14ac:dyDescent="0.25"/>
  <cols>
    <col min="1" max="1" width="20" customWidth="1"/>
    <col min="2" max="2" width="56" customWidth="1"/>
    <col min="3" max="3" width="70" customWidth="1"/>
  </cols>
  <sheetData>
    <row r="1" spans="1:3" ht="26.1" customHeight="1" x14ac:dyDescent="0.25">
      <c r="A1" s="26" t="s">
        <v>107</v>
      </c>
      <c r="B1" s="21"/>
      <c r="C1" s="21"/>
    </row>
    <row r="2" spans="1:3" ht="21.95" customHeight="1" x14ac:dyDescent="0.25">
      <c r="A2" s="3" t="s">
        <v>108</v>
      </c>
      <c r="B2" s="3" t="s">
        <v>109</v>
      </c>
      <c r="C2" s="3" t="s">
        <v>40</v>
      </c>
    </row>
    <row r="3" spans="1:3" ht="18" customHeight="1" x14ac:dyDescent="0.25">
      <c r="A3" s="1" t="s">
        <v>110</v>
      </c>
      <c r="B3" s="2">
        <v>1</v>
      </c>
      <c r="C3" s="18" t="s">
        <v>111</v>
      </c>
    </row>
    <row r="4" spans="1:3" ht="18" customHeight="1" x14ac:dyDescent="0.25">
      <c r="A4" s="1" t="s">
        <v>112</v>
      </c>
      <c r="B4" s="19" t="s">
        <v>113</v>
      </c>
      <c r="C4" s="18"/>
    </row>
    <row r="5" spans="1:3" ht="18" customHeight="1" x14ac:dyDescent="0.25">
      <c r="A5" s="1" t="s">
        <v>114</v>
      </c>
      <c r="B5" s="19" t="s">
        <v>115</v>
      </c>
      <c r="C5" s="18" t="s">
        <v>116</v>
      </c>
    </row>
    <row r="6" spans="1:3" ht="18" customHeight="1" x14ac:dyDescent="0.25">
      <c r="A6" s="1" t="s">
        <v>117</v>
      </c>
      <c r="B6" s="19" t="s">
        <v>118</v>
      </c>
      <c r="C6" s="18" t="s">
        <v>119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Inventory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Wayne Varnado</cp:lastModifiedBy>
  <dcterms:created xsi:type="dcterms:W3CDTF">2026-07-25T16:08:14Z</dcterms:created>
  <dcterms:modified xsi:type="dcterms:W3CDTF">2026-07-25T16:11:22Z</dcterms:modified>
</cp:coreProperties>
</file>